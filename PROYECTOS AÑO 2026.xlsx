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revisions/revisionHeaders.xml" ContentType="application/vnd.openxmlformats-officedocument.spreadsheetml.revisionHeaders+xml"/>
  <Override PartName="/xl/revisions/revisionLog342.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113.xml" ContentType="application/vnd.openxmlformats-officedocument.spreadsheetml.revisionLog+xml"/>
  <Override PartName="/xl/revisions/revisionLog295.xml" ContentType="application/vnd.openxmlformats-officedocument.spreadsheetml.revisionLog+xml"/>
  <Override PartName="/xl/revisions/revisionLog21.xml" ContentType="application/vnd.openxmlformats-officedocument.spreadsheetml.revisionLog+xml"/>
  <Override PartName="/xl/revisions/revisionLog63.xml" ContentType="application/vnd.openxmlformats-officedocument.spreadsheetml.revisionLog+xml"/>
  <Override PartName="/xl/revisions/revisionLog155.xml" ContentType="application/vnd.openxmlformats-officedocument.spreadsheetml.revisionLog+xml"/>
  <Override PartName="/xl/revisions/revisionLog320.xml" ContentType="application/vnd.openxmlformats-officedocument.spreadsheetml.revisionLog+xml"/>
  <Override PartName="/xl/revisions/revisionLog166.xml" ContentType="application/vnd.openxmlformats-officedocument.spreadsheetml.revisionLog+xml"/>
  <Override PartName="/xl/revisions/revisionLog222.xml" ContentType="application/vnd.openxmlformats-officedocument.spreadsheetml.revisionLog+xml"/>
  <Override PartName="/xl/revisions/revisionLog264.xml" ContentType="application/vnd.openxmlformats-officedocument.spreadsheetml.revisionLog+xml"/>
  <Override PartName="/xl/revisions/revisionLog32.xml" ContentType="application/vnd.openxmlformats-officedocument.spreadsheetml.revisionLog+xml"/>
  <Override PartName="/xl/revisions/revisionLog74.xml" ContentType="application/vnd.openxmlformats-officedocument.spreadsheetml.revisionLog+xml"/>
  <Override PartName="/xl/revisions/revisionLog124.xml" ContentType="application/vnd.openxmlformats-officedocument.spreadsheetml.revisionLog+xml"/>
  <Override PartName="/xl/revisions/revisionLog331.xml" ContentType="application/vnd.openxmlformats-officedocument.spreadsheetml.revisionLog+xml"/>
  <Override PartName="/xl/revisions/revisionLog5.xml" ContentType="application/vnd.openxmlformats-officedocument.spreadsheetml.revisionLog+xml"/>
  <Override PartName="/xl/revisions/revisionLog177.xml" ContentType="application/vnd.openxmlformats-officedocument.spreadsheetml.revisionLog+xml"/>
  <Override PartName="/xl/revisions/revisionLog233.xml" ContentType="application/vnd.openxmlformats-officedocument.spreadsheetml.revisionLog+xml"/>
  <Override PartName="/xl/revisions/revisionLog275.xml" ContentType="application/vnd.openxmlformats-officedocument.spreadsheetml.revisionLog+xml"/>
  <Override PartName="/xl/revisions/revisionLog43.xml" ContentType="application/vnd.openxmlformats-officedocument.spreadsheetml.revisionLog+xml"/>
  <Override PartName="/xl/revisions/revisionLog135.xml" ContentType="application/vnd.openxmlformats-officedocument.spreadsheetml.revisionLog+xml"/>
  <Override PartName="/xl/revisions/revisionLog286.xml" ContentType="application/vnd.openxmlformats-officedocument.spreadsheetml.revisionLog+xml"/>
  <Override PartName="/xl/revisions/revisionLog300.xml" ContentType="application/vnd.openxmlformats-officedocument.spreadsheetml.revisionLog+xml"/>
  <Override PartName="/xl/revisions/revisionLog85.xml" ContentType="application/vnd.openxmlformats-officedocument.spreadsheetml.revisionLog+xml"/>
  <Override PartName="/xl/revisions/revisionLog146.xml" ContentType="application/vnd.openxmlformats-officedocument.spreadsheetml.revisionLog+xml"/>
  <Override PartName="/xl/revisions/revisionLog188.xml" ContentType="application/vnd.openxmlformats-officedocument.spreadsheetml.revisionLog+xml"/>
  <Override PartName="/xl/revisions/revisionLog202.xml" ContentType="application/vnd.openxmlformats-officedocument.spreadsheetml.revisionLog+xml"/>
  <Override PartName="/xl/revisions/revisionLog244.xml" ContentType="application/vnd.openxmlformats-officedocument.spreadsheetml.revisionLog+xml"/>
  <Override PartName="/xl/revisions/revisionLog12.xml" ContentType="application/vnd.openxmlformats-officedocument.spreadsheetml.revisionLog+xml"/>
  <Override PartName="/xl/revisions/revisionLog104.xml" ContentType="application/vnd.openxmlformats-officedocument.spreadsheetml.revisionLog+xml"/>
  <Override PartName="/xl/revisions/revisionLog311.xml" ContentType="application/vnd.openxmlformats-officedocument.spreadsheetml.revisionLog+xml"/>
  <Override PartName="/xl/revisions/revisionLog54.xml" ContentType="application/vnd.openxmlformats-officedocument.spreadsheetml.revisionLog+xml"/>
  <Override PartName="/xl/revisions/revisionLog92.xml" ContentType="application/vnd.openxmlformats-officedocument.spreadsheetml.revisionLog+xml"/>
  <Override PartName="/xl/revisions/revisionLog157.xml" ContentType="application/vnd.openxmlformats-officedocument.spreadsheetml.revisionLog+xml"/>
  <Override PartName="/xl/revisions/revisionLog213.xml" ContentType="application/vnd.openxmlformats-officedocument.spreadsheetml.revisionLog+xml"/>
  <Override PartName="/xl/revisions/revisionLog255.xml" ContentType="application/vnd.openxmlformats-officedocument.spreadsheetml.revisionLog+xml"/>
  <Override PartName="/xl/revisions/revisionLog23.xml" ContentType="application/vnd.openxmlformats-officedocument.spreadsheetml.revisionLog+xml"/>
  <Override PartName="/xl/revisions/revisionLog115.xml" ContentType="application/vnd.openxmlformats-officedocument.spreadsheetml.revisionLog+xml"/>
  <Override PartName="/xl/revisions/revisionLog266.xml" ContentType="application/vnd.openxmlformats-officedocument.spreadsheetml.revisionLog+xml"/>
  <Override PartName="/xl/revisions/revisionLog322.xml" ContentType="application/vnd.openxmlformats-officedocument.spreadsheetml.revisionLog+xml"/>
  <Override PartName="/xl/revisions/revisionLog65.xml" ContentType="application/vnd.openxmlformats-officedocument.spreadsheetml.revisionLog+xml"/>
  <Override PartName="/xl/revisions/revisionLog126.xml" ContentType="application/vnd.openxmlformats-officedocument.spreadsheetml.revisionLog+xml"/>
  <Override PartName="/xl/revisions/revisionLog168.xml" ContentType="application/vnd.openxmlformats-officedocument.spreadsheetml.revisionLog+xml"/>
  <Override PartName="/xl/revisions/revisionLog224.xml" ContentType="application/vnd.openxmlformats-officedocument.spreadsheetml.revisionLog+xml"/>
  <Override PartName="/xl/revisions/revisionLog277.xml" ContentType="application/vnd.openxmlformats-officedocument.spreadsheetml.revisionLog+xml"/>
  <Override PartName="/xl/revisions/revisionLog333.xml" ContentType="application/vnd.openxmlformats-officedocument.spreadsheetml.revisionLog+xml"/>
  <Override PartName="/xl/revisions/revisionLog34.xml" ContentType="application/vnd.openxmlformats-officedocument.spreadsheetml.revisionLog+xml"/>
  <Override PartName="/xl/revisions/revisionLog76.xml" ContentType="application/vnd.openxmlformats-officedocument.spreadsheetml.revisionLog+xml"/>
  <Override PartName="/xl/revisions/revisionLog137.xml" ContentType="application/vnd.openxmlformats-officedocument.spreadsheetml.revisionLog+xml"/>
  <Override PartName="/xl/revisions/revisionLog7.xml" ContentType="application/vnd.openxmlformats-officedocument.spreadsheetml.revisionLog+xml"/>
  <Override PartName="/xl/revisions/revisionLog179.xml" ContentType="application/vnd.openxmlformats-officedocument.spreadsheetml.revisionLog+xml"/>
  <Override PartName="/xl/revisions/revisionLog235.xml" ContentType="application/vnd.openxmlformats-officedocument.spreadsheetml.revisionLog+xml"/>
  <Override PartName="/xl/revisions/revisionLog246.xml" ContentType="application/vnd.openxmlformats-officedocument.spreadsheetml.revisionLog+xml"/>
  <Override PartName="/xl/revisions/revisionLog288.xml" ContentType="application/vnd.openxmlformats-officedocument.spreadsheetml.revisionLog+xml"/>
  <Override PartName="/xl/revisions/revisionLog302.xml" ContentType="application/vnd.openxmlformats-officedocument.spreadsheetml.revisionLog+xml"/>
  <Override PartName="/xl/revisions/revisionLog45.xml" ContentType="application/vnd.openxmlformats-officedocument.spreadsheetml.revisionLog+xml"/>
  <Override PartName="/xl/revisions/revisionLog87.xml" ContentType="application/vnd.openxmlformats-officedocument.spreadsheetml.revisionLog+xml"/>
  <Override PartName="/xl/revisions/revisionLog106.xml" ContentType="application/vnd.openxmlformats-officedocument.spreadsheetml.revisionLog+xml"/>
  <Override PartName="/xl/revisions/revisionLog148.xml" ContentType="application/vnd.openxmlformats-officedocument.spreadsheetml.revisionLog+xml"/>
  <Override PartName="/xl/revisions/revisionLog190.xml" ContentType="application/vnd.openxmlformats-officedocument.spreadsheetml.revisionLog+xml"/>
  <Override PartName="/xl/revisions/revisionLog204.xml" ContentType="application/vnd.openxmlformats-officedocument.spreadsheetml.revisionLog+xml"/>
  <Override PartName="/xl/revisions/revisionLog236.xml" ContentType="application/vnd.openxmlformats-officedocument.spreadsheetml.revisionLog+xml"/>
  <Override PartName="/xl/revisions/revisionLog257.xml" ContentType="application/vnd.openxmlformats-officedocument.spreadsheetml.revisionLog+xml"/>
  <Override PartName="/xl/revisions/revisionLog14.xml" ContentType="application/vnd.openxmlformats-officedocument.spreadsheetml.revisionLog+xml"/>
  <Override PartName="/xl/revisions/revisionLog35.xml" ContentType="application/vnd.openxmlformats-officedocument.spreadsheetml.revisionLog+xml"/>
  <Override PartName="/xl/revisions/revisionLog56.xml" ContentType="application/vnd.openxmlformats-officedocument.spreadsheetml.revisionLog+xml"/>
  <Override PartName="/xl/revisions/revisionLog77.xml" ContentType="application/vnd.openxmlformats-officedocument.spreadsheetml.revisionLog+xml"/>
  <Override PartName="/xl/revisions/revisionLog96.xml" ContentType="application/vnd.openxmlformats-officedocument.spreadsheetml.revisionLog+xml"/>
  <Override PartName="/xl/revisions/revisionLog278.xml" ContentType="application/vnd.openxmlformats-officedocument.spreadsheetml.revisionLog+xml"/>
  <Override PartName="/xl/revisions/revisionLog313.xml" ContentType="application/vnd.openxmlformats-officedocument.spreadsheetml.revisionLog+xml"/>
  <Override PartName="/xl/revisions/revisionLog334.xml" ContentType="application/vnd.openxmlformats-officedocument.spreadsheetml.revisionLog+xml"/>
  <Override PartName="/xl/revisions/revisionLog8.xml" ContentType="application/vnd.openxmlformats-officedocument.spreadsheetml.revisionLog+xml"/>
  <Override PartName="/xl/revisions/revisionLog94.xml" ContentType="application/vnd.openxmlformats-officedocument.spreadsheetml.revisionLog+xml"/>
  <Override PartName="/xl/revisions/revisionLog117.xml" ContentType="application/vnd.openxmlformats-officedocument.spreadsheetml.revisionLog+xml"/>
  <Override PartName="/xl/revisions/revisionLog138.xml" ContentType="application/vnd.openxmlformats-officedocument.spreadsheetml.revisionLog+xml"/>
  <Override PartName="/xl/revisions/revisionLog159.xml" ContentType="application/vnd.openxmlformats-officedocument.spreadsheetml.revisionLog+xml"/>
  <Override PartName="/xl/revisions/revisionLog180.xml" ContentType="application/vnd.openxmlformats-officedocument.spreadsheetml.revisionLog+xml"/>
  <Override PartName="/xl/revisions/revisionLog215.xml" ContentType="application/vnd.openxmlformats-officedocument.spreadsheetml.revisionLog+xml"/>
  <Override PartName="/xl/revisions/revisionLog226.xml" ContentType="application/vnd.openxmlformats-officedocument.spreadsheetml.revisionLog+xml"/>
  <Override PartName="/xl/revisions/revisionLog247.xml" ContentType="application/vnd.openxmlformats-officedocument.spreadsheetml.revisionLog+xml"/>
  <Override PartName="/xl/revisions/revisionLog25.xml" ContentType="application/vnd.openxmlformats-officedocument.spreadsheetml.revisionLog+xml"/>
  <Override PartName="/xl/revisions/revisionLog46.xml" ContentType="application/vnd.openxmlformats-officedocument.spreadsheetml.revisionLog+xml"/>
  <Override PartName="/xl/revisions/revisionLog67.xml" ContentType="application/vnd.openxmlformats-officedocument.spreadsheetml.revisionLog+xml"/>
  <Override PartName="/xl/revisions/revisionLog268.xml" ContentType="application/vnd.openxmlformats-officedocument.spreadsheetml.revisionLog+xml"/>
  <Override PartName="/xl/revisions/revisionLog289.xml" ContentType="application/vnd.openxmlformats-officedocument.spreadsheetml.revisionLog+xml"/>
  <Override PartName="/xl/revisions/revisionLog303.xml" ContentType="application/vnd.openxmlformats-officedocument.spreadsheetml.revisionLog+xml"/>
  <Override PartName="/xl/revisions/revisionLog324.xml" ContentType="application/vnd.openxmlformats-officedocument.spreadsheetml.revisionLog+xml"/>
  <Override PartName="/xl/revisions/revisionLog88.xml" ContentType="application/vnd.openxmlformats-officedocument.spreadsheetml.revisionLog+xml"/>
  <Override PartName="/xl/revisions/revisionLog107.xml" ContentType="application/vnd.openxmlformats-officedocument.spreadsheetml.revisionLog+xml"/>
  <Override PartName="/xl/revisions/revisionLog128.xml" ContentType="application/vnd.openxmlformats-officedocument.spreadsheetml.revisionLog+xml"/>
  <Override PartName="/xl/revisions/revisionLog149.xml" ContentType="application/vnd.openxmlformats-officedocument.spreadsheetml.revisionLog+xml"/>
  <Override PartName="/xl/revisions/revisionLog170.xml" ContentType="application/vnd.openxmlformats-officedocument.spreadsheetml.revisionLog+xml"/>
  <Override PartName="/xl/revisions/revisionLog191.xml" ContentType="application/vnd.openxmlformats-officedocument.spreadsheetml.revisionLog+xml"/>
  <Override PartName="/xl/revisions/revisionLog205.xml" ContentType="application/vnd.openxmlformats-officedocument.spreadsheetml.revisionLog+xml"/>
  <Override PartName="/xl/revisions/revisionLog216.xml" ContentType="application/vnd.openxmlformats-officedocument.spreadsheetml.revisionLog+xml"/>
  <Override PartName="/xl/revisions/revisionLog237.xml" ContentType="application/vnd.openxmlformats-officedocument.spreadsheetml.revisionLog+xml"/>
  <Override PartName="/xl/revisions/revisionLog15.xml" ContentType="application/vnd.openxmlformats-officedocument.spreadsheetml.revisionLog+xml"/>
  <Override PartName="/xl/revisions/revisionLog36.xml" ContentType="application/vnd.openxmlformats-officedocument.spreadsheetml.revisionLog+xml"/>
  <Override PartName="/xl/revisions/revisionLog57.xml" ContentType="application/vnd.openxmlformats-officedocument.spreadsheetml.revisionLog+xml"/>
  <Override PartName="/xl/revisions/revisionLog258.xml" ContentType="application/vnd.openxmlformats-officedocument.spreadsheetml.revisionLog+xml"/>
  <Override PartName="/xl/revisions/revisionLog279.xml" ContentType="application/vnd.openxmlformats-officedocument.spreadsheetml.revisionLog+xml"/>
  <Override PartName="/xl/revisions/revisionLog314.xml" ContentType="application/vnd.openxmlformats-officedocument.spreadsheetml.revisionLog+xml"/>
  <Override PartName="/xl/revisions/revisionLog335.xml" ContentType="application/vnd.openxmlformats-officedocument.spreadsheetml.revisionLog+xml"/>
  <Override PartName="/xl/revisions/revisionLog78.xml" ContentType="application/vnd.openxmlformats-officedocument.spreadsheetml.revisionLog+xml"/>
  <Override PartName="/xl/revisions/revisionLog95.xml" ContentType="application/vnd.openxmlformats-officedocument.spreadsheetml.revisionLog+xml"/>
  <Override PartName="/xl/revisions/revisionLog97.xml" ContentType="application/vnd.openxmlformats-officedocument.spreadsheetml.revisionLog+xml"/>
  <Override PartName="/xl/revisions/revisionLog118.xml" ContentType="application/vnd.openxmlformats-officedocument.spreadsheetml.revisionLog+xml"/>
  <Override PartName="/xl/revisions/revisionLog139.xml" ContentType="application/vnd.openxmlformats-officedocument.spreadsheetml.revisionLog+xml"/>
  <Override PartName="/xl/revisions/revisionLog160.xml" ContentType="application/vnd.openxmlformats-officedocument.spreadsheetml.revisionLog+xml"/>
  <Override PartName="/xl/revisions/revisionLog181.xml" ContentType="application/vnd.openxmlformats-officedocument.spreadsheetml.revisionLog+xml"/>
  <Override PartName="/xl/revisions/revisionLog9.xml" ContentType="application/vnd.openxmlformats-officedocument.spreadsheetml.revisionLog+xml"/>
  <Override PartName="/xl/revisions/revisionLog206.xml" ContentType="application/vnd.openxmlformats-officedocument.spreadsheetml.revisionLog+xml"/>
  <Override PartName="/xl/revisions/revisionLog26.xml" ContentType="application/vnd.openxmlformats-officedocument.spreadsheetml.revisionLog+xml"/>
  <Override PartName="/xl/revisions/revisionLog227.xml" ContentType="application/vnd.openxmlformats-officedocument.spreadsheetml.revisionLog+xml"/>
  <Override PartName="/xl/revisions/revisionLog248.xml" ContentType="application/vnd.openxmlformats-officedocument.spreadsheetml.revisionLog+xml"/>
  <Override PartName="/xl/revisions/revisionLog269.xml" ContentType="application/vnd.openxmlformats-officedocument.spreadsheetml.revisionLog+xml"/>
  <Override PartName="/xl/revisions/revisionLog290.xml" ContentType="application/vnd.openxmlformats-officedocument.spreadsheetml.revisionLog+xml"/>
  <Override PartName="/xl/revisions/revisionLog304.xml" ContentType="application/vnd.openxmlformats-officedocument.spreadsheetml.revisionLog+xml"/>
  <Override PartName="/xl/revisions/revisionLog325.xml" ContentType="application/vnd.openxmlformats-officedocument.spreadsheetml.revisionLog+xml"/>
  <Override PartName="/xl/revisions/revisionLog47.xml" ContentType="application/vnd.openxmlformats-officedocument.spreadsheetml.revisionLog+xml"/>
  <Override PartName="/xl/revisions/revisionLog68.xml" ContentType="application/vnd.openxmlformats-officedocument.spreadsheetml.revisionLog+xml"/>
  <Override PartName="/xl/revisions/revisionLog89.xml" ContentType="application/vnd.openxmlformats-officedocument.spreadsheetml.revisionLog+xml"/>
  <Override PartName="/xl/revisions/revisionLog108.xml" ContentType="application/vnd.openxmlformats-officedocument.spreadsheetml.revisionLog+xml"/>
  <Override PartName="/xl/revisions/revisionLog129.xml" ContentType="application/vnd.openxmlformats-officedocument.spreadsheetml.revisionLog+xml"/>
  <Override PartName="/xl/revisions/revisionLog150.xml" ContentType="application/vnd.openxmlformats-officedocument.spreadsheetml.revisionLog+xml"/>
  <Override PartName="/xl/revisions/revisionLog171.xml" ContentType="application/vnd.openxmlformats-officedocument.spreadsheetml.revisionLog+xml"/>
  <Override PartName="/xl/revisions/revisionLog336.xml" ContentType="application/vnd.openxmlformats-officedocument.spreadsheetml.revisionLog+xml"/>
  <Override PartName="/xl/revisions/revisionLog192.xml" ContentType="application/vnd.openxmlformats-officedocument.spreadsheetml.revisionLog+xml"/>
  <Override PartName="/xl/revisions/revisionLog196.xml" ContentType="application/vnd.openxmlformats-officedocument.spreadsheetml.revisionLog+xml"/>
  <Override PartName="/xl/revisions/revisionLog16.xml" ContentType="application/vnd.openxmlformats-officedocument.spreadsheetml.revisionLog+xml"/>
  <Override PartName="/xl/revisions/revisionLog217.xml" ContentType="application/vnd.openxmlformats-officedocument.spreadsheetml.revisionLog+xml"/>
  <Override PartName="/xl/revisions/revisionLog238.xml" ContentType="application/vnd.openxmlformats-officedocument.spreadsheetml.revisionLog+xml"/>
  <Override PartName="/xl/revisions/revisionLog259.xml" ContentType="application/vnd.openxmlformats-officedocument.spreadsheetml.revisionLog+xml"/>
  <Override PartName="/xl/revisions/revisionLog280.xml" ContentType="application/vnd.openxmlformats-officedocument.spreadsheetml.revisionLog+xml"/>
  <Override PartName="/xl/revisions/revisionLog315.xml" ContentType="application/vnd.openxmlformats-officedocument.spreadsheetml.revisionLog+xml"/>
  <Override PartName="/xl/revisions/revisionLog37.xml" ContentType="application/vnd.openxmlformats-officedocument.spreadsheetml.revisionLog+xml"/>
  <Override PartName="/xl/revisions/revisionLog58.xml" ContentType="application/vnd.openxmlformats-officedocument.spreadsheetml.revisionLog+xml"/>
  <Override PartName="/xl/revisions/revisionLog79.xml" ContentType="application/vnd.openxmlformats-officedocument.spreadsheetml.revisionLog+xml"/>
  <Override PartName="/xl/revisions/revisionLog98.xml" ContentType="application/vnd.openxmlformats-officedocument.spreadsheetml.revisionLog+xml"/>
  <Override PartName="/xl/revisions/revisionLog119.xml" ContentType="application/vnd.openxmlformats-officedocument.spreadsheetml.revisionLog+xml"/>
  <Override PartName="/xl/revisions/revisionLog140.xml" ContentType="application/vnd.openxmlformats-officedocument.spreadsheetml.revisionLog+xml"/>
  <Override PartName="/xl/revisions/revisionLog326.xml" ContentType="application/vnd.openxmlformats-officedocument.spreadsheetml.revisionLog+xml"/>
  <Override PartName="/xl/revisions/revisionLog90.xml" ContentType="application/vnd.openxmlformats-officedocument.spreadsheetml.revisionLog+xml"/>
  <Override PartName="/xl/revisions/revisionLog161.xml" ContentType="application/vnd.openxmlformats-officedocument.spreadsheetml.revisionLog+xml"/>
  <Override PartName="/xl/revisions/revisionLog182.xml" ContentType="application/vnd.openxmlformats-officedocument.spreadsheetml.revisionLog+xml"/>
  <Override PartName="/xl/revisions/revisionLog207.xml" ContentType="application/vnd.openxmlformats-officedocument.spreadsheetml.revisionLog+xml"/>
  <Override PartName="/xl/revisions/revisionLog228.xml" ContentType="application/vnd.openxmlformats-officedocument.spreadsheetml.revisionLog+xml"/>
  <Override PartName="/xl/revisions/revisionLog249.xml" ContentType="application/vnd.openxmlformats-officedocument.spreadsheetml.revisionLog+xml"/>
  <Override PartName="/xl/revisions/revisionLog270.xml" ContentType="application/vnd.openxmlformats-officedocument.spreadsheetml.revisionLog+xml"/>
  <Override PartName="/xl/revisions/revisionLog291.xml" ContentType="application/vnd.openxmlformats-officedocument.spreadsheetml.revisionLog+xml"/>
  <Override PartName="/xl/revisions/revisionLog305.xml" ContentType="application/vnd.openxmlformats-officedocument.spreadsheetml.revisionLog+xml"/>
  <Override PartName="/xl/revisions/revisionLog27.xml" ContentType="application/vnd.openxmlformats-officedocument.spreadsheetml.revisionLog+xml"/>
  <Override PartName="/xl/revisions/revisionLog48.xml" ContentType="application/vnd.openxmlformats-officedocument.spreadsheetml.revisionLog+xml"/>
  <Override PartName="/xl/revisions/revisionLog69.xml" ContentType="application/vnd.openxmlformats-officedocument.spreadsheetml.revisionLog+xml"/>
  <Override PartName="/xl/revisions/revisionLog109.xml" ContentType="application/vnd.openxmlformats-officedocument.spreadsheetml.revisionLog+xml"/>
  <Override PartName="/xl/revisions/revisionLog130.xml" ContentType="application/vnd.openxmlformats-officedocument.spreadsheetml.revisionLog+xml"/>
  <Override PartName="/xl/revisions/revisionLog316.xml" ContentType="application/vnd.openxmlformats-officedocument.spreadsheetml.revisionLog+xml"/>
  <Override PartName="/xl/revisions/revisionLog80.xml" ContentType="application/vnd.openxmlformats-officedocument.spreadsheetml.revisionLog+xml"/>
  <Override PartName="/xl/revisions/revisionLog151.xml" ContentType="application/vnd.openxmlformats-officedocument.spreadsheetml.revisionLog+xml"/>
  <Override PartName="/xl/revisions/revisionLog172.xml" ContentType="application/vnd.openxmlformats-officedocument.spreadsheetml.revisionLog+xml"/>
  <Override PartName="/xl/revisions/revisionLog193.xml" ContentType="application/vnd.openxmlformats-officedocument.spreadsheetml.revisionLog+xml"/>
  <Override PartName="/xl/revisions/revisionLog337.xml" ContentType="application/vnd.openxmlformats-officedocument.spreadsheetml.revisionLog+xml"/>
  <Override PartName="/xl/revisions/revisionLog197.xml" ContentType="application/vnd.openxmlformats-officedocument.spreadsheetml.revisionLog+xml"/>
  <Override PartName="/xl/revisions/revisionLog218.xml" ContentType="application/vnd.openxmlformats-officedocument.spreadsheetml.revisionLog+xml"/>
  <Override PartName="/xl/revisions/revisionLog239.xml" ContentType="application/vnd.openxmlformats-officedocument.spreadsheetml.revisionLog+xml"/>
  <Override PartName="/xl/revisions/revisionLog260.xml" ContentType="application/vnd.openxmlformats-officedocument.spreadsheetml.revisionLog+xml"/>
  <Override PartName="/xl/revisions/revisionLog281.xml" ContentType="application/vnd.openxmlformats-officedocument.spreadsheetml.revisionLog+xml"/>
  <Override PartName="/xl/revisions/revisionLog17.xml" ContentType="application/vnd.openxmlformats-officedocument.spreadsheetml.revisionLog+xml"/>
  <Override PartName="/xl/revisions/revisionLog38.xml" ContentType="application/vnd.openxmlformats-officedocument.spreadsheetml.revisionLog+xml"/>
  <Override PartName="/xl/revisions/revisionLog59.xml" ContentType="application/vnd.openxmlformats-officedocument.spreadsheetml.revisionLog+xml"/>
  <Override PartName="/xl/revisions/revisionLog99.xml" ContentType="application/vnd.openxmlformats-officedocument.spreadsheetml.revisionLog+xml"/>
  <Override PartName="/xl/revisions/revisionLog120.xml" ContentType="application/vnd.openxmlformats-officedocument.spreadsheetml.revisionLog+xml"/>
  <Override PartName="/xl/revisions/revisionLog306.xml" ContentType="application/vnd.openxmlformats-officedocument.spreadsheetml.revisionLog+xml"/>
  <Override PartName="/xl/revisions/revisionLog70.xml" ContentType="application/vnd.openxmlformats-officedocument.spreadsheetml.revisionLog+xml"/>
  <Override PartName="/xl/revisions/revisionLog91.xml" ContentType="application/vnd.openxmlformats-officedocument.spreadsheetml.revisionLog+xml"/>
  <Override PartName="/xl/revisions/revisionLog141.xml" ContentType="application/vnd.openxmlformats-officedocument.spreadsheetml.revisionLog+xml"/>
  <Override PartName="/xl/revisions/revisionLog162.xml" ContentType="application/vnd.openxmlformats-officedocument.spreadsheetml.revisionLog+xml"/>
  <Override PartName="/xl/revisions/revisionLog183.xml" ContentType="application/vnd.openxmlformats-officedocument.spreadsheetml.revisionLog+xml"/>
  <Override PartName="/xl/revisions/revisionLog327.xml" ContentType="application/vnd.openxmlformats-officedocument.spreadsheetml.revisionLog+xml"/>
  <Override PartName="/xl/revisions/revisionLog208.xml" ContentType="application/vnd.openxmlformats-officedocument.spreadsheetml.revisionLog+xml"/>
  <Override PartName="/xl/revisions/revisionLog229.xml" ContentType="application/vnd.openxmlformats-officedocument.spreadsheetml.revisionLog+xml"/>
  <Override PartName="/xl/revisions/revisionLog250.xml" ContentType="application/vnd.openxmlformats-officedocument.spreadsheetml.revisionLog+xml"/>
  <Override PartName="/xl/revisions/revisionLog28.xml" ContentType="application/vnd.openxmlformats-officedocument.spreadsheetml.revisionLog+xml"/>
  <Override PartName="/xl/revisions/revisionLog49.xml" ContentType="application/vnd.openxmlformats-officedocument.spreadsheetml.revisionLog+xml"/>
  <Override PartName="/xl/revisions/revisionLog110.xml" ContentType="application/vnd.openxmlformats-officedocument.spreadsheetml.revisionLog+xml"/>
  <Override PartName="/xl/revisions/revisionLog271.xml" ContentType="application/vnd.openxmlformats-officedocument.spreadsheetml.revisionLog+xml"/>
  <Override PartName="/xl/revisions/revisionLog292.xml" ContentType="application/vnd.openxmlformats-officedocument.spreadsheetml.revisionLog+xml"/>
  <Override PartName="/xl/revisions/revisionLog296.xml" ContentType="application/vnd.openxmlformats-officedocument.spreadsheetml.revisionLog+xml"/>
  <Override PartName="/xl/revisions/revisionLog60.xml" ContentType="application/vnd.openxmlformats-officedocument.spreadsheetml.revisionLog+xml"/>
  <Override PartName="/xl/revisions/revisionLog81.xml" ContentType="application/vnd.openxmlformats-officedocument.spreadsheetml.revisionLog+xml"/>
  <Override PartName="/xl/revisions/revisionLog131.xml" ContentType="application/vnd.openxmlformats-officedocument.spreadsheetml.revisionLog+xml"/>
  <Override PartName="/xl/revisions/revisionLog152.xml" ContentType="application/vnd.openxmlformats-officedocument.spreadsheetml.revisionLog+xml"/>
  <Override PartName="/xl/revisions/revisionLog173.xml" ContentType="application/vnd.openxmlformats-officedocument.spreadsheetml.revisionLog+xml"/>
  <Override PartName="/xl/revisions/revisionLog194.xml" ContentType="application/vnd.openxmlformats-officedocument.spreadsheetml.revisionLog+xml"/>
  <Override PartName="/xl/revisions/revisionLog317.xml" ContentType="application/vnd.openxmlformats-officedocument.spreadsheetml.revisionLog+xml"/>
  <Override PartName="/xl/revisions/revisionLog338.xml" ContentType="application/vnd.openxmlformats-officedocument.spreadsheetml.revisionLog+xml"/>
  <Override PartName="/xl/revisions/revisionLog198.xml" ContentType="application/vnd.openxmlformats-officedocument.spreadsheetml.revisionLog+xml"/>
  <Override PartName="/xl/revisions/revisionLog219.xml" ContentType="application/vnd.openxmlformats-officedocument.spreadsheetml.revisionLog+xml"/>
  <Override PartName="/xl/revisions/revisionLog240.xml" ContentType="application/vnd.openxmlformats-officedocument.spreadsheetml.revisionLog+xml"/>
  <Override PartName="/xl/revisions/revisionLog18.xml" ContentType="application/vnd.openxmlformats-officedocument.spreadsheetml.revisionLog+xml"/>
  <Override PartName="/xl/revisions/revisionLog39.xml" ContentType="application/vnd.openxmlformats-officedocument.spreadsheetml.revisionLog+xml"/>
  <Override PartName="/xl/revisions/revisionLog261.xml" ContentType="application/vnd.openxmlformats-officedocument.spreadsheetml.revisionLog+xml"/>
  <Override PartName="/xl/revisions/revisionLog282.xml" ContentType="application/vnd.openxmlformats-officedocument.spreadsheetml.revisionLog+xml"/>
  <Override PartName="/xl/revisions/revisionLog50.xml" ContentType="application/vnd.openxmlformats-officedocument.spreadsheetml.revisionLog+xml"/>
  <Override PartName="/xl/revisions/revisionLog100.xml" ContentType="application/vnd.openxmlformats-officedocument.spreadsheetml.revisionLog+xml"/>
  <Override PartName="/xl/revisions/revisionLog121.xml" ContentType="application/vnd.openxmlformats-officedocument.spreadsheetml.revisionLog+xml"/>
  <Override PartName="/xl/revisions/revisionLog142.xml" ContentType="application/vnd.openxmlformats-officedocument.spreadsheetml.revisionLog+xml"/>
  <Override PartName="/xl/revisions/revisionLog163.xml" ContentType="application/vnd.openxmlformats-officedocument.spreadsheetml.revisionLog+xml"/>
  <Override PartName="/xl/revisions/revisionLog184.xml" ContentType="application/vnd.openxmlformats-officedocument.spreadsheetml.revisionLog+xml"/>
  <Override PartName="/xl/revisions/revisionLog307.xml" ContentType="application/vnd.openxmlformats-officedocument.spreadsheetml.revisionLog+xml"/>
  <Override PartName="/xl/revisions/revisionLog328.xml" ContentType="application/vnd.openxmlformats-officedocument.spreadsheetml.revisionLog+xml"/>
  <Override PartName="/xl/revisions/revisionLog71.xml" ContentType="application/vnd.openxmlformats-officedocument.spreadsheetml.revisionLog+xml"/>
  <Override PartName="/xl/revisions/revisionLog1.xml" ContentType="application/vnd.openxmlformats-officedocument.spreadsheetml.revisionLog+xml"/>
  <Override PartName="/xl/revisions/revisionLog209.xml" ContentType="application/vnd.openxmlformats-officedocument.spreadsheetml.revisionLog+xml"/>
  <Override PartName="/xl/revisions/revisionLog230.xml" ContentType="application/vnd.openxmlformats-officedocument.spreadsheetml.revisionLog+xml"/>
  <Override PartName="/xl/revisions/revisionLog29.xml" ContentType="application/vnd.openxmlformats-officedocument.spreadsheetml.revisionLog+xml"/>
  <Override PartName="/xl/revisions/revisionLog251.xml" ContentType="application/vnd.openxmlformats-officedocument.spreadsheetml.revisionLog+xml"/>
  <Override PartName="/xl/revisions/revisionLog272.xml" ContentType="application/vnd.openxmlformats-officedocument.spreadsheetml.revisionLog+xml"/>
  <Override PartName="/xl/revisions/revisionLog293.xml" ContentType="application/vnd.openxmlformats-officedocument.spreadsheetml.revisionLog+xml"/>
  <Override PartName="/xl/revisions/revisionLog40.xml" ContentType="application/vnd.openxmlformats-officedocument.spreadsheetml.revisionLog+xml"/>
  <Override PartName="/xl/revisions/revisionLog111.xml" ContentType="application/vnd.openxmlformats-officedocument.spreadsheetml.revisionLog+xml"/>
  <Override PartName="/xl/revisions/revisionLog132.xml" ContentType="application/vnd.openxmlformats-officedocument.spreadsheetml.revisionLog+xml"/>
  <Override PartName="/xl/revisions/revisionLog153.xml" ContentType="application/vnd.openxmlformats-officedocument.spreadsheetml.revisionLog+xml"/>
  <Override PartName="/xl/revisions/revisionLog174.xml" ContentType="application/vnd.openxmlformats-officedocument.spreadsheetml.revisionLog+xml"/>
  <Override PartName="/xl/revisions/revisionLog297.xml" ContentType="application/vnd.openxmlformats-officedocument.spreadsheetml.revisionLog+xml"/>
  <Override PartName="/xl/revisions/revisionLog318.xml" ContentType="application/vnd.openxmlformats-officedocument.spreadsheetml.revisionLog+xml"/>
  <Override PartName="/xl/revisions/revisionLog339.xml" ContentType="application/vnd.openxmlformats-officedocument.spreadsheetml.revisionLog+xml"/>
  <Override PartName="/xl/revisions/revisionLog61.xml" ContentType="application/vnd.openxmlformats-officedocument.spreadsheetml.revisionLog+xml"/>
  <Override PartName="/xl/revisions/revisionLog82.xml" ContentType="application/vnd.openxmlformats-officedocument.spreadsheetml.revisionLog+xml"/>
  <Override PartName="/xl/revisions/revisionLog195.xml" ContentType="application/vnd.openxmlformats-officedocument.spreadsheetml.revisionLog+xml"/>
  <Override PartName="/xl/revisions/revisionLog199.xml" ContentType="application/vnd.openxmlformats-officedocument.spreadsheetml.revisionLog+xml"/>
  <Override PartName="/xl/revisions/revisionLog19.xml" ContentType="application/vnd.openxmlformats-officedocument.spreadsheetml.revisionLog+xml"/>
  <Override PartName="/xl/revisions/revisionLog220.xml" ContentType="application/vnd.openxmlformats-officedocument.spreadsheetml.revisionLog+xml"/>
  <Override PartName="/xl/revisions/revisionLog241.xml" ContentType="application/vnd.openxmlformats-officedocument.spreadsheetml.revisionLog+xml"/>
  <Override PartName="/xl/revisions/revisionLog262.xml" ContentType="application/vnd.openxmlformats-officedocument.spreadsheetml.revisionLog+xml"/>
  <Override PartName="/xl/revisions/revisionLog283.xml" ContentType="application/vnd.openxmlformats-officedocument.spreadsheetml.revisionLog+xml"/>
  <Override PartName="/xl/revisions/revisionLog30.xml" ContentType="application/vnd.openxmlformats-officedocument.spreadsheetml.revisionLog+xml"/>
  <Override PartName="/xl/revisions/revisionLog101.xml" ContentType="application/vnd.openxmlformats-officedocument.spreadsheetml.revisionLog+xml"/>
  <Override PartName="/xl/revisions/revisionLog122.xml" ContentType="application/vnd.openxmlformats-officedocument.spreadsheetml.revisionLog+xml"/>
  <Override PartName="/xl/revisions/revisionLog143.xml" ContentType="application/vnd.openxmlformats-officedocument.spreadsheetml.revisionLog+xml"/>
  <Override PartName="/xl/revisions/revisionLog164.xml" ContentType="application/vnd.openxmlformats-officedocument.spreadsheetml.revisionLog+xml"/>
  <Override PartName="/xl/revisions/revisionLog308.xml" ContentType="application/vnd.openxmlformats-officedocument.spreadsheetml.revisionLog+xml"/>
  <Override PartName="/xl/revisions/revisionLog329.xml" ContentType="application/vnd.openxmlformats-officedocument.spreadsheetml.revisionLog+xml"/>
  <Override PartName="/xl/revisions/revisionLog51.xml" ContentType="application/vnd.openxmlformats-officedocument.spreadsheetml.revisionLog+xml"/>
  <Override PartName="/xl/revisions/revisionLog72.xml" ContentType="application/vnd.openxmlformats-officedocument.spreadsheetml.revisionLog+xml"/>
  <Override PartName="/xl/revisions/revisionLog2.xml" ContentType="application/vnd.openxmlformats-officedocument.spreadsheetml.revisionLog+xml"/>
  <Override PartName="/xl/revisions/revisionLog185.xml" ContentType="application/vnd.openxmlformats-officedocument.spreadsheetml.revisionLog+xml"/>
  <Override PartName="/xl/revisions/revisionLog210.xml" ContentType="application/vnd.openxmlformats-officedocument.spreadsheetml.revisionLog+xml"/>
  <Override PartName="/xl/revisions/revisionLog231.xml" ContentType="application/vnd.openxmlformats-officedocument.spreadsheetml.revisionLog+xml"/>
  <Override PartName="/xl/revisions/revisionLog252.xml" ContentType="application/vnd.openxmlformats-officedocument.spreadsheetml.revisionLog+xml"/>
  <Override PartName="/xl/revisions/revisionLog273.xml" ContentType="application/vnd.openxmlformats-officedocument.spreadsheetml.revisionLog+xml"/>
  <Override PartName="/xl/revisions/revisionLog294.xml" ContentType="application/vnd.openxmlformats-officedocument.spreadsheetml.revisionLog+xml"/>
  <Override PartName="/xl/revisions/revisionLog112.xml" ContentType="application/vnd.openxmlformats-officedocument.spreadsheetml.revisionLog+xml"/>
  <Override PartName="/xl/revisions/revisionLog133.xml" ContentType="application/vnd.openxmlformats-officedocument.spreadsheetml.revisionLog+xml"/>
  <Override PartName="/xl/revisions/revisionLog154.xml" ContentType="application/vnd.openxmlformats-officedocument.spreadsheetml.revisionLog+xml"/>
  <Override PartName="/xl/revisions/revisionLog298.xml" ContentType="application/vnd.openxmlformats-officedocument.spreadsheetml.revisionLog+xml"/>
  <Override PartName="/xl/revisions/revisionLog319.xml" ContentType="application/vnd.openxmlformats-officedocument.spreadsheetml.revisionLog+xml"/>
  <Override PartName="/xl/revisions/revisionLog340.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62.xml" ContentType="application/vnd.openxmlformats-officedocument.spreadsheetml.revisionLog+xml"/>
  <Override PartName="/xl/revisions/revisionLog83.xml" ContentType="application/vnd.openxmlformats-officedocument.spreadsheetml.revisionLog+xml"/>
  <Override PartName="/xl/revisions/revisionLog175.xml" ContentType="application/vnd.openxmlformats-officedocument.spreadsheetml.revisionLog+xml"/>
  <Override PartName="/xl/revisions/revisionLog186.xml" ContentType="application/vnd.openxmlformats-officedocument.spreadsheetml.revisionLog+xml"/>
  <Override PartName="/xl/revisions/revisionLog200.xml" ContentType="application/vnd.openxmlformats-officedocument.spreadsheetml.revisionLog+xml"/>
  <Override PartName="/xl/revisions/revisionLog221.xml" ContentType="application/vnd.openxmlformats-officedocument.spreadsheetml.revisionLog+xml"/>
  <Override PartName="/xl/revisions/revisionLog242.xml" ContentType="application/vnd.openxmlformats-officedocument.spreadsheetml.revisionLog+xml"/>
  <Override PartName="/xl/revisions/revisionLog263.xml" ContentType="application/vnd.openxmlformats-officedocument.spreadsheetml.revisionLog+xml"/>
  <Override PartName="/xl/revisions/revisionLog284.xml" ContentType="application/vnd.openxmlformats-officedocument.spreadsheetml.revisionLog+xml"/>
  <Override PartName="/xl/revisions/revisionLog102.xml" ContentType="application/vnd.openxmlformats-officedocument.spreadsheetml.revisionLog+xml"/>
  <Override PartName="/xl/revisions/revisionLog123.xml" ContentType="application/vnd.openxmlformats-officedocument.spreadsheetml.revisionLog+xml"/>
  <Override PartName="/xl/revisions/revisionLog309.xml" ContentType="application/vnd.openxmlformats-officedocument.spreadsheetml.revisionLog+xml"/>
  <Override PartName="/xl/revisions/revisionLog10.xml" ContentType="application/vnd.openxmlformats-officedocument.spreadsheetml.revisionLog+xml"/>
  <Override PartName="/xl/revisions/revisionLog31.xml" ContentType="application/vnd.openxmlformats-officedocument.spreadsheetml.revisionLog+xml"/>
  <Override PartName="/xl/revisions/revisionLog52.xml" ContentType="application/vnd.openxmlformats-officedocument.spreadsheetml.revisionLog+xml"/>
  <Override PartName="/xl/revisions/revisionLog73.xml" ContentType="application/vnd.openxmlformats-officedocument.spreadsheetml.revisionLog+xml"/>
  <Override PartName="/xl/revisions/revisionLog3.xml" ContentType="application/vnd.openxmlformats-officedocument.spreadsheetml.revisionLog+xml"/>
  <Override PartName="/xl/revisions/revisionLog144.xml" ContentType="application/vnd.openxmlformats-officedocument.spreadsheetml.revisionLog+xml"/>
  <Override PartName="/xl/revisions/revisionLog165.xml" ContentType="application/vnd.openxmlformats-officedocument.spreadsheetml.revisionLog+xml"/>
  <Override PartName="/xl/revisions/revisionLog330.xml" ContentType="application/vnd.openxmlformats-officedocument.spreadsheetml.revisionLog+xml"/>
  <Override PartName="/xl/revisions/revisionLog176.xml" ContentType="application/vnd.openxmlformats-officedocument.spreadsheetml.revisionLog+xml"/>
  <Override PartName="/xl/revisions/revisionLog211.xml" ContentType="application/vnd.openxmlformats-officedocument.spreadsheetml.revisionLog+xml"/>
  <Override PartName="/xl/revisions/revisionLog232.xml" ContentType="application/vnd.openxmlformats-officedocument.spreadsheetml.revisionLog+xml"/>
  <Override PartName="/xl/revisions/revisionLog253.xml" ContentType="application/vnd.openxmlformats-officedocument.spreadsheetml.revisionLog+xml"/>
  <Override PartName="/xl/revisions/revisionLog274.xml" ContentType="application/vnd.openxmlformats-officedocument.spreadsheetml.revisionLog+xml"/>
  <Override PartName="/xl/revisions/revisionLog299.xml" ContentType="application/vnd.openxmlformats-officedocument.spreadsheetml.revisionLog+xml"/>
  <Override PartName="/xl/revisions/revisionLog42.xml" ContentType="application/vnd.openxmlformats-officedocument.spreadsheetml.revisionLog+xml"/>
  <Override PartName="/xl/revisions/revisionLog84.xml" ContentType="application/vnd.openxmlformats-officedocument.spreadsheetml.revisionLog+xml"/>
  <Override PartName="/xl/revisions/revisionLog134.xml" ContentType="application/vnd.openxmlformats-officedocument.spreadsheetml.revisionLog+xml"/>
  <Override PartName="/xl/revisions/revisionLog341.xml" ContentType="application/vnd.openxmlformats-officedocument.spreadsheetml.revisionLog+xml"/>
  <Override PartName="/xl/revisions/revisionLog187.xml" ContentType="application/vnd.openxmlformats-officedocument.spreadsheetml.revisionLog+xml"/>
  <Override PartName="/xl/revisions/revisionLog201.xml" ContentType="application/vnd.openxmlformats-officedocument.spreadsheetml.revisionLog+xml"/>
  <Override PartName="/xl/revisions/revisionLog243.xml" ContentType="application/vnd.openxmlformats-officedocument.spreadsheetml.revisionLog+xml"/>
  <Override PartName="/xl/revisions/revisionLog103.xml" ContentType="application/vnd.openxmlformats-officedocument.spreadsheetml.revisionLog+xml"/>
  <Override PartName="/xl/revisions/revisionLog285.xml" ContentType="application/vnd.openxmlformats-officedocument.spreadsheetml.revisionLog+xml"/>
  <Override PartName="/xl/revisions/revisionLog11.xml" ContentType="application/vnd.openxmlformats-officedocument.spreadsheetml.revisionLog+xml"/>
  <Override PartName="/xl/revisions/revisionLog53.xml" ContentType="application/vnd.openxmlformats-officedocument.spreadsheetml.revisionLog+xml"/>
  <Override PartName="/xl/revisions/revisionLog145.xml" ContentType="application/vnd.openxmlformats-officedocument.spreadsheetml.revisionLog+xml"/>
  <Override PartName="/xl/revisions/revisionLog310.xml" ContentType="application/vnd.openxmlformats-officedocument.spreadsheetml.revisionLog+xml"/>
  <Override PartName="/xl/revisions/revisionLog4.xml" ContentType="application/vnd.openxmlformats-officedocument.spreadsheetml.revisionLog+xml"/>
  <Override PartName="/xl/revisions/revisionLog156.xml" ContentType="application/vnd.openxmlformats-officedocument.spreadsheetml.revisionLog+xml"/>
  <Override PartName="/xl/revisions/revisionLog212.xml" ContentType="application/vnd.openxmlformats-officedocument.spreadsheetml.revisionLog+xml"/>
  <Override PartName="/xl/revisions/revisionLog254.xml" ContentType="application/vnd.openxmlformats-officedocument.spreadsheetml.revisionLog+xml"/>
  <Override PartName="/xl/revisions/revisionLog22.xml" ContentType="application/vnd.openxmlformats-officedocument.spreadsheetml.revisionLog+xml"/>
  <Override PartName="/xl/revisions/revisionLog64.xml" ContentType="application/vnd.openxmlformats-officedocument.spreadsheetml.revisionLog+xml"/>
  <Override PartName="/xl/revisions/revisionLog114.xml" ContentType="application/vnd.openxmlformats-officedocument.spreadsheetml.revisionLog+xml"/>
  <Override PartName="/xl/revisions/revisionLog321.xml" ContentType="application/vnd.openxmlformats-officedocument.spreadsheetml.revisionLog+xml"/>
  <Override PartName="/xl/revisions/revisionLog167.xml" ContentType="application/vnd.openxmlformats-officedocument.spreadsheetml.revisionLog+xml"/>
  <Override PartName="/xl/revisions/revisionLog223.xml" ContentType="application/vnd.openxmlformats-officedocument.spreadsheetml.revisionLog+xml"/>
  <Override PartName="/xl/revisions/revisionLog265.xml" ContentType="application/vnd.openxmlformats-officedocument.spreadsheetml.revisionLog+xml"/>
  <Override PartName="/xl/revisions/revisionLog33.xml" ContentType="application/vnd.openxmlformats-officedocument.spreadsheetml.revisionLog+xml"/>
  <Override PartName="/xl/revisions/revisionLog125.xml" ContentType="application/vnd.openxmlformats-officedocument.spreadsheetml.revisionLog+xml"/>
  <Override PartName="/xl/revisions/revisionLog276.xml" ContentType="application/vnd.openxmlformats-officedocument.spreadsheetml.revisionLog+xml"/>
  <Override PartName="/xl/revisions/revisionLog332.xml" ContentType="application/vnd.openxmlformats-officedocument.spreadsheetml.revisionLog+xml"/>
  <Override PartName="/xl/revisions/revisionLog75.xml" ContentType="application/vnd.openxmlformats-officedocument.spreadsheetml.revisionLog+xml"/>
  <Override PartName="/xl/revisions/revisionLog136.xml" ContentType="application/vnd.openxmlformats-officedocument.spreadsheetml.revisionLog+xml"/>
  <Override PartName="/xl/revisions/revisionLog178.xml" ContentType="application/vnd.openxmlformats-officedocument.spreadsheetml.revisionLog+xml"/>
  <Override PartName="/xl/revisions/revisionLog6.xml" ContentType="application/vnd.openxmlformats-officedocument.spreadsheetml.revisionLog+xml"/>
  <Override PartName="/xl/revisions/revisionLog234.xml" ContentType="application/vnd.openxmlformats-officedocument.spreadsheetml.revisionLog+xml"/>
  <Override PartName="/xl/revisions/revisionLog287.xml" ContentType="application/vnd.openxmlformats-officedocument.spreadsheetml.revisionLog+xml"/>
  <Override PartName="/xl/revisions/revisionLog301.xml" ContentType="application/vnd.openxmlformats-officedocument.spreadsheetml.revisionLog+xml"/>
  <Override PartName="/xl/revisions/revisionLog44.xml" ContentType="application/vnd.openxmlformats-officedocument.spreadsheetml.revisionLog+xml"/>
  <Override PartName="/xl/revisions/revisionLog86.xml" ContentType="application/vnd.openxmlformats-officedocument.spreadsheetml.revisionLog+xml"/>
  <Override PartName="/xl/revisions/revisionLog147.xml" ContentType="application/vnd.openxmlformats-officedocument.spreadsheetml.revisionLog+xml"/>
  <Override PartName="/xl/revisions/revisionLog189.xml" ContentType="application/vnd.openxmlformats-officedocument.spreadsheetml.revisionLog+xml"/>
  <Override PartName="/xl/revisions/revisionLog203.xml" ContentType="application/vnd.openxmlformats-officedocument.spreadsheetml.revisionLog+xml"/>
  <Override PartName="/xl/revisions/revisionLog245.xml" ContentType="application/vnd.openxmlformats-officedocument.spreadsheetml.revisionLog+xml"/>
  <Override PartName="/xl/revisions/revisionLog13.xml" ContentType="application/vnd.openxmlformats-officedocument.spreadsheetml.revisionLog+xml"/>
  <Override PartName="/xl/revisions/revisionLog105.xml" ContentType="application/vnd.openxmlformats-officedocument.spreadsheetml.revisionLog+xml"/>
  <Override PartName="/xl/revisions/revisionLog256.xml" ContentType="application/vnd.openxmlformats-officedocument.spreadsheetml.revisionLog+xml"/>
  <Override PartName="/xl/revisions/revisionLog312.xml" ContentType="application/vnd.openxmlformats-officedocument.spreadsheetml.revisionLog+xml"/>
  <Override PartName="/xl/revisions/revisionLog55.xml" ContentType="application/vnd.openxmlformats-officedocument.spreadsheetml.revisionLog+xml"/>
  <Override PartName="/xl/revisions/revisionLog93.xml" ContentType="application/vnd.openxmlformats-officedocument.spreadsheetml.revisionLog+xml"/>
  <Override PartName="/xl/revisions/revisionLog116.xml" ContentType="application/vnd.openxmlformats-officedocument.spreadsheetml.revisionLog+xml"/>
  <Override PartName="/xl/revisions/revisionLog158.xml" ContentType="application/vnd.openxmlformats-officedocument.spreadsheetml.revisionLog+xml"/>
  <Override PartName="/xl/revisions/revisionLog214.xml" ContentType="application/vnd.openxmlformats-officedocument.spreadsheetml.revisionLog+xml"/>
  <Override PartName="/xl/revisions/revisionLog267.xml" ContentType="application/vnd.openxmlformats-officedocument.spreadsheetml.revisionLog+xml"/>
  <Override PartName="/xl/revisions/revisionLog24.xml" ContentType="application/vnd.openxmlformats-officedocument.spreadsheetml.revisionLog+xml"/>
  <Override PartName="/xl/revisions/revisionLog66.xml" ContentType="application/vnd.openxmlformats-officedocument.spreadsheetml.revisionLog+xml"/>
  <Override PartName="/xl/revisions/revisionLog127.xml" ContentType="application/vnd.openxmlformats-officedocument.spreadsheetml.revisionLog+xml"/>
  <Override PartName="/xl/revisions/revisionLog323.xml" ContentType="application/vnd.openxmlformats-officedocument.spreadsheetml.revisionLog+xml"/>
  <Override PartName="/xl/revisions/revisionLog169.xml" ContentType="application/vnd.openxmlformats-officedocument.spreadsheetml.revisionLog+xml"/>
  <Override PartName="/xl/revisions/revisionLog225.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A:\Comercial - Administración\Control AVIS\Proyectos 2026\"/>
    </mc:Choice>
  </mc:AlternateContent>
  <xr:revisionPtr revIDLastSave="0" documentId="13_ncr:81_{3ACEAD7C-6F66-47A5-9934-5F5DE0E7465A}" xr6:coauthVersionLast="47" xr6:coauthVersionMax="47" xr10:uidLastSave="{00000000-0000-0000-0000-000000000000}"/>
  <bookViews>
    <workbookView xWindow="-28920" yWindow="-120" windowWidth="29040" windowHeight="15840" xr2:uid="{00000000-000D-0000-FFFF-FFFF00000000}"/>
  </bookViews>
  <sheets>
    <sheet name="DATA" sheetId="1" r:id="rId1"/>
    <sheet name="Costo por negocio" sheetId="2" r:id="rId2"/>
    <sheet name="Costo Combustible" sheetId="3" r:id="rId3"/>
  </sheets>
  <definedNames>
    <definedName name="_xlnm._FilterDatabase" localSheetId="0" hidden="1">DATA!$A$1:$AK$140</definedName>
    <definedName name="Z_01A82FB0_87C1_4CEF_8DCE_B10B7FAE95E9_.wvu.FilterData" localSheetId="0" hidden="1">DATA!$A$1:$AK$138</definedName>
    <definedName name="Z_05733AE3_1BB1_4944_A963_30113C6D4274_.wvu.FilterData" localSheetId="0" hidden="1">DATA!$A$1:$AK$136</definedName>
    <definedName name="Z_06BE595E_8447_4337_A79B_9F65A9B09D9B_.wvu.FilterData" localSheetId="0" hidden="1">DATA!$A$1:$AK$104</definedName>
    <definedName name="Z_0C534137_9B76_40C7_97C7_832EF030EFA6_.wvu.FilterData" localSheetId="0" hidden="1">DATA!$A$1:$AY$1</definedName>
    <definedName name="Z_13400671_B9C7_428D_A5E9_77DD24D635E1_.wvu.FilterData" localSheetId="0" hidden="1">DATA!$A$1:$AK$102</definedName>
    <definedName name="Z_167D350E_6F75_4F1B_B937_AA35E3704515_.wvu.FilterData" localSheetId="0" hidden="1">DATA!$A$1:$AK$101</definedName>
    <definedName name="Z_17179196_AFD5_4137_87D4_5AF307E82344_.wvu.FilterData" localSheetId="0" hidden="1">DATA!$A$1:$AK$137</definedName>
    <definedName name="Z_19B11289_EF31_4257_80DD_49CD35F1BD7C_.wvu.FilterData" localSheetId="0" hidden="1">DATA!$A$1:$AK$86</definedName>
    <definedName name="Z_1CDC5F00_3B37_4F16_A007_48B8AD2BB1EC_.wvu.FilterData" localSheetId="0" hidden="1">DATA!$A$1:$AK$71</definedName>
    <definedName name="Z_1DE58E9C_C275_40ED_B709_EDC471573C0F_.wvu.FilterData" localSheetId="0" hidden="1">DATA!$A$1:$AK$72</definedName>
    <definedName name="Z_24DC8416_D0BD_4241_B2AD_37E0768E579B_.wvu.FilterData" localSheetId="0" hidden="1">DATA!$A$1:$AK$95</definedName>
    <definedName name="Z_28B04433_DDA9_4DDD_9448_CEDD4FEA79FC_.wvu.FilterData" localSheetId="0" hidden="1">DATA!$A$1:$AK$88</definedName>
    <definedName name="Z_4D1EF7F0_50C0_454A_BE7E_D537EEA60003_.wvu.FilterData" localSheetId="0" hidden="1">DATA!$A$1:$AK$121</definedName>
    <definedName name="Z_5C48B485_F111_4A34_B5BE_481E1E04354F_.wvu.FilterData" localSheetId="0" hidden="1">DATA!$A$1:$AK$64</definedName>
    <definedName name="Z_64C68CE8_B81F_4D3B_8BD9_4A64F0B7FACE_.wvu.FilterData" localSheetId="0" hidden="1">DATA!$A$1:$AY$92</definedName>
    <definedName name="Z_6BEED7C6_EDC0_4D4C_9D3F_971EF550E23A_.wvu.FilterData" localSheetId="0" hidden="1">DATA!$A$1:$AK$81</definedName>
    <definedName name="Z_6CA44032_7B3F_4927_92A0_2ABD6846A2C7_.wvu.FilterData" localSheetId="0" hidden="1">DATA!$A$1:$AK$109</definedName>
    <definedName name="Z_7FB3B397_EFA4_49D9_85FA_FEC6111D2F7D_.wvu.FilterData" localSheetId="0" hidden="1">DATA!$A$1:$AK$93</definedName>
    <definedName name="Z_87184541_645D_4A2F_979F_E0B9CC726271_.wvu.FilterData" localSheetId="0" hidden="1">DATA!$A$1:$AK$109</definedName>
    <definedName name="Z_8C66AAFC_1161_4CA5_8B90_3B9EBFB82021_.wvu.FilterData" localSheetId="0" hidden="1">DATA!$A$1:$AK$139</definedName>
    <definedName name="Z_8C6872F1_3F68_40AF_8D1B_A15A7751F0C2_.wvu.FilterData" localSheetId="0" hidden="1">DATA!$A$1:$AK$102</definedName>
    <definedName name="Z_9099A403_1D9B_43A6_A493_4409A9F1C393_.wvu.FilterData" localSheetId="0" hidden="1">DATA!$A$1:$AK$96</definedName>
    <definedName name="Z_9DDC0EFD_E8EA_4F43_BC4D_5408892A8B40_.wvu.FilterData" localSheetId="0" hidden="1">DATA!$A$1:$AK$106</definedName>
    <definedName name="Z_A4E484A8_836B_4E1B_BE87_B6FA25B8A900_.wvu.FilterData" localSheetId="0" hidden="1">DATA!$A$1:$AK$132</definedName>
    <definedName name="Z_D015136D_255F_4042_9389_EB535F138010_.wvu.FilterData" localSheetId="0" hidden="1">DATA!$A$1:$AK$140</definedName>
    <definedName name="Z_D41D3FB0_5142_496B_B92F_3F303994F17B_.wvu.FilterData" localSheetId="0" hidden="1">DATA!$A$1:$AK$140</definedName>
    <definedName name="Z_D6EEB9AB_F282_4074_88A0_C2AE70D2673E_.wvu.FilterData" localSheetId="0" hidden="1">DATA!$A$1:$AK$104</definedName>
    <definedName name="Z_D705669A_4EFB_4D4D_ABC2_2B43B81BA2FA_.wvu.FilterData" localSheetId="0" hidden="1">DATA!$A$1:$AY$1</definedName>
    <definedName name="Z_D7481557_FD89_4CDB_95A7_BD823A6229A2_.wvu.FilterData" localSheetId="0" hidden="1">DATA!$A$1:$AK$89</definedName>
    <definedName name="Z_E30A7A2D_D3AB_4563_9691_EE77DDD4317A_.wvu.FilterData" localSheetId="0" hidden="1">DATA!$A$1:$AK$88</definedName>
    <definedName name="Z_ED177590_D492_4FCC_B834_92AC1CF46472_.wvu.FilterData" localSheetId="0" hidden="1">DATA!$A$1:$AK$80</definedName>
  </definedNames>
  <calcPr calcId="191029"/>
  <customWorkbookViews>
    <customWorkbookView name="Rodrigo Coutinho - Vista personalizada" guid="{D41D3FB0-5142-496B-B92F-3F303994F17B}" mergeInterval="0" personalView="1" maximized="1" xWindow="-1928" yWindow="-8" windowWidth="1936" windowHeight="1056" activeSheetId="1"/>
    <customWorkbookView name="Diego González - Vista personalizada" guid="{8C6872F1-3F68-40AF-8D1B-A15A7751F0C2}" mergeInterval="0" personalView="1" maximized="1" xWindow="-8" yWindow="-8" windowWidth="1936" windowHeight="1056" activeSheetId="1"/>
    <customWorkbookView name="Ronald Pinto - Vista personalizada" guid="{D015136D-255F-4042-9389-EB535F138010}" mergeInterval="0" personalView="1" maximized="1" xWindow="1912" yWindow="-8" windowWidth="1936" windowHeight="1056" activeSheetId="1"/>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129" i="1" l="1"/>
  <c r="AN129" i="1"/>
  <c r="AJ129" i="1"/>
  <c r="AK129" i="1" s="1"/>
  <c r="AH129" i="1"/>
  <c r="AR129" i="1" s="1"/>
  <c r="AS129" i="1" s="1"/>
  <c r="Q129" i="1"/>
  <c r="N129" i="1"/>
  <c r="AJ131" i="1"/>
  <c r="AH131" i="1"/>
  <c r="AR131" i="1" s="1"/>
  <c r="O131" i="1"/>
  <c r="Q131" i="1" s="1"/>
  <c r="AN131" i="1" s="1"/>
  <c r="N131" i="1"/>
  <c r="M131" i="1" s="1"/>
  <c r="AQ130" i="1"/>
  <c r="AN130" i="1"/>
  <c r="AJ130" i="1"/>
  <c r="AK130" i="1" s="1"/>
  <c r="AH130" i="1"/>
  <c r="Q130" i="1"/>
  <c r="N130" i="1"/>
  <c r="M130" i="1" s="1"/>
  <c r="AM129" i="1" l="1"/>
  <c r="AT129" i="1"/>
  <c r="AT130" i="1"/>
  <c r="AM131" i="1"/>
  <c r="AQ131" i="1"/>
  <c r="AT131" i="1" s="1"/>
  <c r="AM130" i="1"/>
  <c r="R131" i="1"/>
  <c r="S131" i="1" s="1"/>
  <c r="AR130" i="1"/>
  <c r="AS130" i="1" s="1"/>
  <c r="AK131" i="1"/>
  <c r="R129" i="1"/>
  <c r="S129" i="1" s="1"/>
  <c r="R130" i="1"/>
  <c r="S130" i="1" s="1"/>
  <c r="Q139" i="1"/>
  <c r="R139" i="1" s="1"/>
  <c r="S139" i="1" s="1"/>
  <c r="M139" i="1"/>
  <c r="AS131" i="1" l="1"/>
  <c r="AQ138" i="1"/>
  <c r="AJ138" i="1"/>
  <c r="AH138" i="1"/>
  <c r="Q138" i="1"/>
  <c r="R138" i="1" s="1"/>
  <c r="S138" i="1" s="1"/>
  <c r="M138" i="1"/>
  <c r="N122" i="1"/>
  <c r="AJ122" i="1"/>
  <c r="AH122" i="1"/>
  <c r="Q122" i="1"/>
  <c r="AN122" i="1" s="1"/>
  <c r="N123" i="1"/>
  <c r="M123" i="1" s="1"/>
  <c r="AJ123" i="1"/>
  <c r="AH123" i="1"/>
  <c r="AR123" i="1" s="1"/>
  <c r="Q123" i="1"/>
  <c r="AN123" i="1" s="1"/>
  <c r="N137" i="1"/>
  <c r="M137" i="1" s="1"/>
  <c r="Q137" i="1"/>
  <c r="AQ96" i="1"/>
  <c r="AQ100" i="1"/>
  <c r="AQ99" i="1"/>
  <c r="AQ97" i="1"/>
  <c r="AQ110" i="1"/>
  <c r="AQ128" i="1"/>
  <c r="AQ127" i="1"/>
  <c r="AQ126" i="1"/>
  <c r="AQ124" i="1"/>
  <c r="AJ124" i="1"/>
  <c r="AH124" i="1"/>
  <c r="Q124" i="1"/>
  <c r="AN124" i="1" s="1"/>
  <c r="M124" i="1"/>
  <c r="Q136" i="1"/>
  <c r="N136" i="1"/>
  <c r="M136" i="1" s="1"/>
  <c r="Q135" i="1"/>
  <c r="R135" i="1" s="1"/>
  <c r="S135" i="1" s="1"/>
  <c r="N135" i="1"/>
  <c r="M135" i="1" s="1"/>
  <c r="O134" i="1"/>
  <c r="Q134" i="1" s="1"/>
  <c r="R134" i="1" s="1"/>
  <c r="S134" i="1" s="1"/>
  <c r="N134" i="1"/>
  <c r="M134" i="1"/>
  <c r="Q133" i="1"/>
  <c r="R133" i="1" s="1"/>
  <c r="S133" i="1" s="1"/>
  <c r="M133" i="1"/>
  <c r="C12" i="2"/>
  <c r="B12" i="2"/>
  <c r="AQ122" i="1" l="1"/>
  <c r="AT122" i="1" s="1"/>
  <c r="R136" i="1"/>
  <c r="S136" i="1" s="1"/>
  <c r="AT138" i="1"/>
  <c r="AK138" i="1"/>
  <c r="AM138" i="1"/>
  <c r="R122" i="1"/>
  <c r="S122" i="1" s="1"/>
  <c r="AN138" i="1"/>
  <c r="AR138" i="1"/>
  <c r="AS138" i="1" s="1"/>
  <c r="AM124" i="1"/>
  <c r="AK123" i="1"/>
  <c r="AM123" i="1"/>
  <c r="AR122" i="1"/>
  <c r="R123" i="1"/>
  <c r="S123" i="1" s="1"/>
  <c r="R124" i="1"/>
  <c r="S124" i="1" s="1"/>
  <c r="AR124" i="1"/>
  <c r="AS124" i="1" s="1"/>
  <c r="AK122" i="1"/>
  <c r="R137" i="1"/>
  <c r="S137" i="1" s="1"/>
  <c r="AM122" i="1"/>
  <c r="AT124" i="1"/>
  <c r="AK124" i="1"/>
  <c r="AQ123" i="1"/>
  <c r="AS123" i="1" s="1"/>
  <c r="H129" i="1"/>
  <c r="M129" i="1" s="1"/>
  <c r="AS122" i="1" l="1"/>
  <c r="AT123" i="1"/>
  <c r="AH128" i="1"/>
  <c r="AJ128" i="1"/>
  <c r="Q128" i="1"/>
  <c r="AN128" i="1" s="1"/>
  <c r="M128" i="1"/>
  <c r="AJ127" i="1"/>
  <c r="AH127" i="1"/>
  <c r="AR127" i="1" s="1"/>
  <c r="O127" i="1"/>
  <c r="Q127" i="1" s="1"/>
  <c r="AJ126" i="1"/>
  <c r="AH126" i="1"/>
  <c r="AR126" i="1" s="1"/>
  <c r="Q126" i="1"/>
  <c r="AN126" i="1" s="1"/>
  <c r="M127" i="1"/>
  <c r="M126" i="1"/>
  <c r="AT127" i="1" l="1"/>
  <c r="AT126" i="1"/>
  <c r="AT128" i="1"/>
  <c r="AS126" i="1"/>
  <c r="R127" i="1"/>
  <c r="S127" i="1" s="1"/>
  <c r="AN127" i="1"/>
  <c r="R128" i="1"/>
  <c r="S128" i="1" s="1"/>
  <c r="AK127" i="1"/>
  <c r="AM128" i="1"/>
  <c r="AK128" i="1"/>
  <c r="AR128" i="1"/>
  <c r="AS128" i="1"/>
  <c r="AM127" i="1"/>
  <c r="R126" i="1"/>
  <c r="S126" i="1" s="1"/>
  <c r="AK126" i="1"/>
  <c r="AM126" i="1"/>
  <c r="AS127" i="1"/>
  <c r="AJ110" i="1"/>
  <c r="AH110" i="1"/>
  <c r="AR110" i="1" s="1"/>
  <c r="Q110" i="1"/>
  <c r="R110" i="1" s="1"/>
  <c r="S110" i="1" s="1"/>
  <c r="M110" i="1"/>
  <c r="N114" i="1"/>
  <c r="AQ114" i="1" s="1"/>
  <c r="AK110" i="1" l="1"/>
  <c r="AT110" i="1"/>
  <c r="AS110" i="1"/>
  <c r="AM110" i="1"/>
  <c r="AN110" i="1"/>
  <c r="AJ125" i="1"/>
  <c r="AH125" i="1"/>
  <c r="AR125" i="1" s="1"/>
  <c r="P125" i="1"/>
  <c r="Q125" i="1" s="1"/>
  <c r="N125" i="1"/>
  <c r="AJ111" i="1"/>
  <c r="AH111" i="1"/>
  <c r="AR111" i="1" s="1"/>
  <c r="Q111" i="1"/>
  <c r="N111" i="1"/>
  <c r="AQ111" i="1" s="1"/>
  <c r="AJ114" i="1"/>
  <c r="AH114" i="1"/>
  <c r="P114" i="1"/>
  <c r="Q114" i="1" s="1"/>
  <c r="M114" i="1"/>
  <c r="AJ113" i="1"/>
  <c r="AH113" i="1"/>
  <c r="O113" i="1"/>
  <c r="Q113" i="1" s="1"/>
  <c r="R113" i="1" s="1"/>
  <c r="S113" i="1" s="1"/>
  <c r="N113" i="1"/>
  <c r="H122" i="1"/>
  <c r="M122" i="1" s="1"/>
  <c r="M125" i="1" l="1"/>
  <c r="AQ125" i="1"/>
  <c r="R125" i="1"/>
  <c r="S125" i="1" s="1"/>
  <c r="M113" i="1"/>
  <c r="AQ113" i="1"/>
  <c r="R111" i="1"/>
  <c r="S111" i="1" s="1"/>
  <c r="AM114" i="1"/>
  <c r="AT113" i="1"/>
  <c r="AM111" i="1"/>
  <c r="AS125" i="1"/>
  <c r="AK114" i="1"/>
  <c r="R114" i="1"/>
  <c r="S114" i="1" s="1"/>
  <c r="AK113" i="1"/>
  <c r="AM113" i="1"/>
  <c r="AK111" i="1"/>
  <c r="AN113" i="1"/>
  <c r="AN114" i="1"/>
  <c r="AN111" i="1"/>
  <c r="AR113" i="1"/>
  <c r="AT114" i="1"/>
  <c r="AT111" i="1"/>
  <c r="AR114" i="1"/>
  <c r="AS114" i="1" s="1"/>
  <c r="AK125" i="1"/>
  <c r="AS111" i="1"/>
  <c r="AM125" i="1"/>
  <c r="AN125" i="1"/>
  <c r="AT125" i="1"/>
  <c r="N121" i="1"/>
  <c r="AQ121" i="1" s="1"/>
  <c r="AS113" i="1" l="1"/>
  <c r="AJ121" i="1"/>
  <c r="AH121" i="1"/>
  <c r="AR121" i="1" s="1"/>
  <c r="P121" i="1"/>
  <c r="Q121" i="1" s="1"/>
  <c r="AN121" i="1" s="1"/>
  <c r="M121" i="1"/>
  <c r="AM121" i="1" l="1"/>
  <c r="AT121" i="1"/>
  <c r="R121" i="1"/>
  <c r="S121" i="1" s="1"/>
  <c r="AS121" i="1"/>
  <c r="AK121" i="1"/>
  <c r="AJ105" i="1"/>
  <c r="AH105" i="1"/>
  <c r="AR105" i="1" s="1"/>
  <c r="Q105" i="1"/>
  <c r="N105" i="1"/>
  <c r="AQ105" i="1" s="1"/>
  <c r="AJ106" i="1"/>
  <c r="AH106" i="1"/>
  <c r="AR106" i="1" s="1"/>
  <c r="O106" i="1"/>
  <c r="Q106" i="1" s="1"/>
  <c r="N106" i="1"/>
  <c r="Q120" i="1"/>
  <c r="N120" i="1"/>
  <c r="M120" i="1"/>
  <c r="Q119" i="1"/>
  <c r="R119" i="1" s="1"/>
  <c r="S119" i="1" s="1"/>
  <c r="M119" i="1"/>
  <c r="Q118" i="1"/>
  <c r="R118" i="1" s="1"/>
  <c r="S118" i="1" s="1"/>
  <c r="N118" i="1"/>
  <c r="M118" i="1" s="1"/>
  <c r="Q117" i="1"/>
  <c r="R117" i="1" s="1"/>
  <c r="S117" i="1" s="1"/>
  <c r="M117" i="1"/>
  <c r="O116" i="1"/>
  <c r="Q116" i="1" s="1"/>
  <c r="N116" i="1"/>
  <c r="M116" i="1" s="1"/>
  <c r="Q115" i="1"/>
  <c r="R115" i="1" s="1"/>
  <c r="S115" i="1" s="1"/>
  <c r="M115" i="1"/>
  <c r="H111" i="1"/>
  <c r="M111" i="1" s="1"/>
  <c r="R116" i="1" l="1"/>
  <c r="S116" i="1" s="1"/>
  <c r="M106" i="1"/>
  <c r="AQ106" i="1"/>
  <c r="R106" i="1"/>
  <c r="S106" i="1" s="1"/>
  <c r="M105" i="1"/>
  <c r="R120" i="1"/>
  <c r="S120" i="1" s="1"/>
  <c r="R105" i="1"/>
  <c r="S105" i="1" s="1"/>
  <c r="AK106" i="1"/>
  <c r="AN106" i="1"/>
  <c r="AS105" i="1"/>
  <c r="AS106" i="1"/>
  <c r="AM106" i="1"/>
  <c r="AK105" i="1"/>
  <c r="AT106" i="1"/>
  <c r="AM105" i="1"/>
  <c r="AN105" i="1"/>
  <c r="AT105" i="1"/>
  <c r="AJ100" i="1"/>
  <c r="AH100" i="1"/>
  <c r="AT100" i="1" s="1"/>
  <c r="Q100" i="1"/>
  <c r="AN100" i="1" s="1"/>
  <c r="M100" i="1"/>
  <c r="R100" i="1" l="1"/>
  <c r="S100" i="1" s="1"/>
  <c r="AK100" i="1"/>
  <c r="AM100" i="1"/>
  <c r="AR100" i="1"/>
  <c r="AS100" i="1" s="1"/>
  <c r="P109" i="1"/>
  <c r="Q109" i="1" s="1"/>
  <c r="AN109" i="1" s="1"/>
  <c r="N109" i="1"/>
  <c r="AJ109" i="1"/>
  <c r="AH109" i="1"/>
  <c r="AJ108" i="1"/>
  <c r="AH108" i="1"/>
  <c r="O108" i="1"/>
  <c r="Q108" i="1" s="1"/>
  <c r="AN108" i="1" s="1"/>
  <c r="N108" i="1"/>
  <c r="AJ97" i="1"/>
  <c r="AH97" i="1"/>
  <c r="AR97" i="1" s="1"/>
  <c r="Q97" i="1"/>
  <c r="R97" i="1" s="1"/>
  <c r="S97" i="1" s="1"/>
  <c r="M97" i="1"/>
  <c r="AJ98" i="1"/>
  <c r="AH98" i="1"/>
  <c r="AR98" i="1" s="1"/>
  <c r="P98" i="1"/>
  <c r="Q98" i="1" s="1"/>
  <c r="N98" i="1"/>
  <c r="AQ98" i="1" s="1"/>
  <c r="AJ107" i="1"/>
  <c r="AH107" i="1"/>
  <c r="Q107" i="1"/>
  <c r="N107" i="1"/>
  <c r="AJ99" i="1"/>
  <c r="AH99" i="1"/>
  <c r="AR99" i="1" s="1"/>
  <c r="Q99" i="1"/>
  <c r="R99" i="1" s="1"/>
  <c r="S99" i="1" s="1"/>
  <c r="M107" i="1" l="1"/>
  <c r="AQ107" i="1"/>
  <c r="M109" i="1"/>
  <c r="AQ109" i="1"/>
  <c r="M108" i="1"/>
  <c r="AQ108" i="1"/>
  <c r="M98" i="1"/>
  <c r="AS98" i="1"/>
  <c r="R107" i="1"/>
  <c r="S107" i="1" s="1"/>
  <c r="AT107" i="1"/>
  <c r="AM98" i="1"/>
  <c r="AT109" i="1"/>
  <c r="R108" i="1"/>
  <c r="S108" i="1" s="1"/>
  <c r="AS97" i="1"/>
  <c r="AK107" i="1"/>
  <c r="AM108" i="1"/>
  <c r="AM107" i="1"/>
  <c r="AK98" i="1"/>
  <c r="AN97" i="1"/>
  <c r="AT98" i="1"/>
  <c r="AT97" i="1"/>
  <c r="AR107" i="1"/>
  <c r="AN98" i="1"/>
  <c r="AK97" i="1"/>
  <c r="AR108" i="1"/>
  <c r="AM97" i="1"/>
  <c r="AN107" i="1"/>
  <c r="R98" i="1"/>
  <c r="S98" i="1" s="1"/>
  <c r="AK108" i="1"/>
  <c r="AT108" i="1"/>
  <c r="R109" i="1"/>
  <c r="S109" i="1" s="1"/>
  <c r="AK109" i="1"/>
  <c r="AM109" i="1"/>
  <c r="AR109" i="1"/>
  <c r="AS99" i="1"/>
  <c r="AK99" i="1"/>
  <c r="AN99" i="1"/>
  <c r="AM99" i="1"/>
  <c r="AT99" i="1"/>
  <c r="Q93" i="1"/>
  <c r="R93" i="1" s="1"/>
  <c r="S93" i="1" s="1"/>
  <c r="M93" i="1"/>
  <c r="AQ93" i="1"/>
  <c r="AJ93" i="1"/>
  <c r="AH93" i="1"/>
  <c r="AR93" i="1" s="1"/>
  <c r="AQ92" i="1"/>
  <c r="AJ92" i="1"/>
  <c r="AH92" i="1"/>
  <c r="Q92" i="1"/>
  <c r="R92" i="1" s="1"/>
  <c r="S92" i="1" s="1"/>
  <c r="AS109" i="1" l="1"/>
  <c r="AS108" i="1"/>
  <c r="AS107" i="1"/>
  <c r="AS93" i="1"/>
  <c r="AM92" i="1"/>
  <c r="AT93" i="1"/>
  <c r="AK93" i="1"/>
  <c r="AN93" i="1"/>
  <c r="AT92" i="1"/>
  <c r="AR92" i="1"/>
  <c r="AS92" i="1" s="1"/>
  <c r="AM93" i="1"/>
  <c r="AK92" i="1"/>
  <c r="AN92" i="1"/>
  <c r="O104" i="1"/>
  <c r="Q104" i="1" s="1"/>
  <c r="R104" i="1" s="1"/>
  <c r="S104" i="1" s="1"/>
  <c r="M104" i="1"/>
  <c r="O103" i="1"/>
  <c r="Q103" i="1" s="1"/>
  <c r="N103" i="1"/>
  <c r="M103" i="1" s="1"/>
  <c r="R103" i="1" l="1"/>
  <c r="S103" i="1" s="1"/>
  <c r="Q102" i="1"/>
  <c r="N102" i="1"/>
  <c r="M102" i="1" s="1"/>
  <c r="O101" i="1"/>
  <c r="Q101" i="1" s="1"/>
  <c r="N101" i="1"/>
  <c r="M101" i="1" s="1"/>
  <c r="AJ84" i="1"/>
  <c r="AH84" i="1"/>
  <c r="AR84" i="1" s="1"/>
  <c r="Q84" i="1"/>
  <c r="N84" i="1"/>
  <c r="AQ84" i="1" s="1"/>
  <c r="AJ82" i="1"/>
  <c r="AH82" i="1"/>
  <c r="AR82" i="1" s="1"/>
  <c r="Q82" i="1"/>
  <c r="N82" i="1"/>
  <c r="AQ82" i="1" s="1"/>
  <c r="H99" i="1"/>
  <c r="M99" i="1" s="1"/>
  <c r="AJ96" i="1"/>
  <c r="AH96" i="1"/>
  <c r="O96" i="1"/>
  <c r="Q96" i="1" s="1"/>
  <c r="R96" i="1" s="1"/>
  <c r="S96" i="1" s="1"/>
  <c r="M96" i="1"/>
  <c r="Q95" i="1"/>
  <c r="N95" i="1"/>
  <c r="M95" i="1" s="1"/>
  <c r="AQ94" i="1"/>
  <c r="AJ94" i="1"/>
  <c r="AH94" i="1"/>
  <c r="Q94" i="1"/>
  <c r="R94" i="1" s="1"/>
  <c r="S94" i="1" s="1"/>
  <c r="M94" i="1"/>
  <c r="M84" i="1" l="1"/>
  <c r="R101" i="1"/>
  <c r="S101" i="1" s="1"/>
  <c r="R95" i="1"/>
  <c r="S95" i="1" s="1"/>
  <c r="R84" i="1"/>
  <c r="S84" i="1" s="1"/>
  <c r="R102" i="1"/>
  <c r="S102" i="1" s="1"/>
  <c r="AN84" i="1"/>
  <c r="AM82" i="1"/>
  <c r="AM84" i="1"/>
  <c r="AT82" i="1"/>
  <c r="AT84" i="1"/>
  <c r="AN82" i="1"/>
  <c r="AK84" i="1"/>
  <c r="R82" i="1"/>
  <c r="S82" i="1" s="1"/>
  <c r="AK82" i="1"/>
  <c r="AS82" i="1"/>
  <c r="AS84" i="1"/>
  <c r="AM96" i="1"/>
  <c r="AT94" i="1"/>
  <c r="AT96" i="1"/>
  <c r="AR96" i="1"/>
  <c r="AS96" i="1" s="1"/>
  <c r="AN96" i="1"/>
  <c r="AK96" i="1"/>
  <c r="AK94" i="1"/>
  <c r="AM94" i="1"/>
  <c r="AN94" i="1"/>
  <c r="AR94" i="1"/>
  <c r="AS94" i="1" s="1"/>
  <c r="AJ85" i="1"/>
  <c r="AH85" i="1"/>
  <c r="P85" i="1"/>
  <c r="Q85" i="1" s="1"/>
  <c r="N85" i="1"/>
  <c r="M85" i="1" s="1"/>
  <c r="R85" i="1" l="1"/>
  <c r="S85" i="1" s="1"/>
  <c r="AQ85" i="1"/>
  <c r="AT85" i="1" s="1"/>
  <c r="AM85" i="1"/>
  <c r="AN85" i="1"/>
  <c r="AR85" i="1"/>
  <c r="AK85" i="1"/>
  <c r="AQ83" i="1"/>
  <c r="AJ83" i="1"/>
  <c r="AH83" i="1"/>
  <c r="AR83" i="1" s="1"/>
  <c r="Q83" i="1"/>
  <c r="R83" i="1" s="1"/>
  <c r="S83" i="1" s="1"/>
  <c r="M83" i="1"/>
  <c r="AJ86" i="1"/>
  <c r="AH86" i="1"/>
  <c r="O86" i="1"/>
  <c r="Q86" i="1" s="1"/>
  <c r="N86" i="1"/>
  <c r="AQ86" i="1" s="1"/>
  <c r="M86" i="1" l="1"/>
  <c r="R86" i="1"/>
  <c r="S86" i="1" s="1"/>
  <c r="AS85" i="1"/>
  <c r="AS83" i="1"/>
  <c r="AT86" i="1"/>
  <c r="AK86" i="1"/>
  <c r="AK83" i="1"/>
  <c r="AR86" i="1"/>
  <c r="AS86" i="1" s="1"/>
  <c r="AM83" i="1"/>
  <c r="AN83" i="1"/>
  <c r="AT83" i="1"/>
  <c r="AM86" i="1"/>
  <c r="AN86" i="1"/>
  <c r="AQ91" i="1"/>
  <c r="AJ91" i="1"/>
  <c r="AH91" i="1"/>
  <c r="O91" i="1"/>
  <c r="Q91" i="1" s="1"/>
  <c r="R91" i="1" s="1"/>
  <c r="S91" i="1" s="1"/>
  <c r="M91" i="1"/>
  <c r="AT91" i="1" l="1"/>
  <c r="AK91" i="1"/>
  <c r="AN91" i="1"/>
  <c r="AM91" i="1"/>
  <c r="AR91" i="1"/>
  <c r="AS91" i="1" s="1"/>
  <c r="AQ77" i="1"/>
  <c r="AJ77" i="1"/>
  <c r="AH77" i="1"/>
  <c r="O77" i="1"/>
  <c r="Q77" i="1" s="1"/>
  <c r="R77" i="1" s="1"/>
  <c r="S77" i="1" s="1"/>
  <c r="H92" i="1"/>
  <c r="M92" i="1" s="1"/>
  <c r="Q90" i="1"/>
  <c r="R90" i="1" s="1"/>
  <c r="S90" i="1" s="1"/>
  <c r="M90" i="1"/>
  <c r="AM77" i="1" l="1"/>
  <c r="AK77" i="1"/>
  <c r="AR77" i="1"/>
  <c r="AS77" i="1" s="1"/>
  <c r="AN77" i="1"/>
  <c r="AT77" i="1"/>
  <c r="M79" i="1"/>
  <c r="AJ89" i="1" l="1"/>
  <c r="AH89" i="1"/>
  <c r="AR89" i="1" s="1"/>
  <c r="Q89" i="1"/>
  <c r="N89" i="1"/>
  <c r="M89" i="1" s="1"/>
  <c r="AQ79" i="1"/>
  <c r="AJ79" i="1"/>
  <c r="AH79" i="1"/>
  <c r="O79" i="1"/>
  <c r="Q79" i="1" s="1"/>
  <c r="R79" i="1" s="1"/>
  <c r="S79" i="1" s="1"/>
  <c r="AJ88" i="1"/>
  <c r="AH88" i="1"/>
  <c r="P88" i="1"/>
  <c r="Q88" i="1" s="1"/>
  <c r="N88" i="1"/>
  <c r="M88" i="1"/>
  <c r="R89" i="1" l="1"/>
  <c r="S89" i="1" s="1"/>
  <c r="AQ89" i="1"/>
  <c r="AS89" i="1" s="1"/>
  <c r="AK89" i="1"/>
  <c r="AT79" i="1"/>
  <c r="AM89" i="1"/>
  <c r="AN89" i="1"/>
  <c r="AM79" i="1"/>
  <c r="AN79" i="1"/>
  <c r="AR79" i="1"/>
  <c r="AS79" i="1" s="1"/>
  <c r="AK79" i="1"/>
  <c r="R88" i="1"/>
  <c r="S88" i="1" s="1"/>
  <c r="AN88" i="1"/>
  <c r="AK88" i="1"/>
  <c r="AM88" i="1"/>
  <c r="AR88" i="1"/>
  <c r="AQ88" i="1"/>
  <c r="AT88" i="1" s="1"/>
  <c r="AQ87" i="1"/>
  <c r="AJ87" i="1"/>
  <c r="AH87" i="1"/>
  <c r="Q87" i="1"/>
  <c r="R87" i="1" s="1"/>
  <c r="S87" i="1" s="1"/>
  <c r="M87" i="1"/>
  <c r="AJ70" i="1"/>
  <c r="AH70" i="1"/>
  <c r="Q70" i="1"/>
  <c r="N70" i="1"/>
  <c r="M70" i="1" s="1"/>
  <c r="AJ80" i="1"/>
  <c r="AH80" i="1"/>
  <c r="AR80" i="1" s="1"/>
  <c r="P80" i="1"/>
  <c r="O80" i="1"/>
  <c r="Q80" i="1" s="1"/>
  <c r="N80" i="1"/>
  <c r="M80" i="1" s="1"/>
  <c r="H82" i="1"/>
  <c r="M82" i="1" s="1"/>
  <c r="AQ70" i="1" l="1"/>
  <c r="AT70" i="1" s="1"/>
  <c r="R80" i="1"/>
  <c r="S80" i="1" s="1"/>
  <c r="AQ80" i="1"/>
  <c r="AT80" i="1" s="1"/>
  <c r="AT89" i="1"/>
  <c r="R70" i="1"/>
  <c r="S70" i="1" s="1"/>
  <c r="AM70" i="1"/>
  <c r="AR70" i="1"/>
  <c r="AM87" i="1"/>
  <c r="AN87" i="1"/>
  <c r="AT87" i="1"/>
  <c r="AR87" i="1"/>
  <c r="AS87" i="1" s="1"/>
  <c r="AS88" i="1"/>
  <c r="AK87" i="1"/>
  <c r="AK70" i="1"/>
  <c r="AN70" i="1"/>
  <c r="AK80" i="1"/>
  <c r="AM80" i="1"/>
  <c r="AN80" i="1"/>
  <c r="AJ66" i="1"/>
  <c r="AH66" i="1"/>
  <c r="O66" i="1"/>
  <c r="Q66" i="1" s="1"/>
  <c r="N66" i="1"/>
  <c r="R66" i="1" l="1"/>
  <c r="S66" i="1" s="1"/>
  <c r="AS70" i="1"/>
  <c r="AS80" i="1"/>
  <c r="AQ66" i="1"/>
  <c r="AT66" i="1" s="1"/>
  <c r="AM66" i="1"/>
  <c r="AN66" i="1"/>
  <c r="AR66" i="1"/>
  <c r="AK66" i="1"/>
  <c r="AJ71" i="1"/>
  <c r="AH71" i="1"/>
  <c r="AR71" i="1" s="1"/>
  <c r="P71" i="1"/>
  <c r="O71" i="1"/>
  <c r="N71" i="1"/>
  <c r="M71" i="1" s="1"/>
  <c r="AQ68" i="1"/>
  <c r="AJ68" i="1"/>
  <c r="AH68" i="1"/>
  <c r="AR68" i="1" s="1"/>
  <c r="O68" i="1"/>
  <c r="Q68" i="1" s="1"/>
  <c r="R68" i="1" s="1"/>
  <c r="S68" i="1" s="1"/>
  <c r="M68" i="1"/>
  <c r="AJ67" i="1"/>
  <c r="AH67" i="1"/>
  <c r="AR67" i="1" s="1"/>
  <c r="Q67" i="1"/>
  <c r="N67" i="1"/>
  <c r="AQ67" i="1" s="1"/>
  <c r="AJ69" i="1"/>
  <c r="AH69" i="1"/>
  <c r="AR69" i="1" s="1"/>
  <c r="P69" i="1"/>
  <c r="Q69" i="1" s="1"/>
  <c r="N69" i="1"/>
  <c r="M69" i="1" s="1"/>
  <c r="AJ60" i="1"/>
  <c r="AH60" i="1"/>
  <c r="Q60" i="1"/>
  <c r="AN60" i="1" s="1"/>
  <c r="N60" i="1"/>
  <c r="AQ60" i="1" s="1"/>
  <c r="M67" i="1" l="1"/>
  <c r="AQ71" i="1"/>
  <c r="AS71" i="1" s="1"/>
  <c r="Q71" i="1"/>
  <c r="R71" i="1" s="1"/>
  <c r="S71" i="1" s="1"/>
  <c r="R67" i="1"/>
  <c r="S67" i="1" s="1"/>
  <c r="R69" i="1"/>
  <c r="S69" i="1" s="1"/>
  <c r="M60" i="1"/>
  <c r="AS66" i="1"/>
  <c r="AQ69" i="1"/>
  <c r="AS69" i="1" s="1"/>
  <c r="AM69" i="1"/>
  <c r="AK67" i="1"/>
  <c r="AT60" i="1"/>
  <c r="AK69" i="1"/>
  <c r="AS67" i="1"/>
  <c r="AN69" i="1"/>
  <c r="AN67" i="1"/>
  <c r="AS68" i="1"/>
  <c r="R60" i="1"/>
  <c r="S60" i="1" s="1"/>
  <c r="AK60" i="1"/>
  <c r="AM67" i="1"/>
  <c r="AM60" i="1"/>
  <c r="AT67" i="1"/>
  <c r="AN68" i="1"/>
  <c r="AT68" i="1"/>
  <c r="AR60" i="1"/>
  <c r="AS60" i="1" s="1"/>
  <c r="AK68" i="1"/>
  <c r="AM68" i="1"/>
  <c r="AH75" i="1"/>
  <c r="AR75" i="1" s="1"/>
  <c r="O76" i="1"/>
  <c r="Q76" i="1" s="1"/>
  <c r="N76" i="1"/>
  <c r="M76" i="1" s="1"/>
  <c r="O74" i="1"/>
  <c r="Q74" i="1" s="1"/>
  <c r="R74" i="1" s="1"/>
  <c r="S74" i="1" s="1"/>
  <c r="M74" i="1"/>
  <c r="AQ75" i="1"/>
  <c r="AJ75" i="1"/>
  <c r="Q75" i="1"/>
  <c r="AN75" i="1" s="1"/>
  <c r="M75" i="1"/>
  <c r="O73" i="1"/>
  <c r="Q73" i="1" s="1"/>
  <c r="N73" i="1"/>
  <c r="M73" i="1" s="1"/>
  <c r="AT71" i="1" l="1"/>
  <c r="AK71" i="1"/>
  <c r="AN71" i="1"/>
  <c r="AM71" i="1"/>
  <c r="R76" i="1"/>
  <c r="S76" i="1" s="1"/>
  <c r="AT69" i="1"/>
  <c r="R73" i="1"/>
  <c r="S73" i="1" s="1"/>
  <c r="AT75" i="1"/>
  <c r="AK75" i="1"/>
  <c r="AS75" i="1"/>
  <c r="R75" i="1"/>
  <c r="S75" i="1" s="1"/>
  <c r="AM75" i="1"/>
  <c r="H77" i="1"/>
  <c r="M77" i="1" s="1"/>
  <c r="AC39" i="1" l="1"/>
  <c r="P72" i="1" l="1"/>
  <c r="Q72" i="1" s="1"/>
  <c r="N56" i="1"/>
  <c r="AJ72" i="1"/>
  <c r="AH72" i="1"/>
  <c r="N72" i="1"/>
  <c r="AQ72" i="1" s="1"/>
  <c r="AJ57" i="1"/>
  <c r="AH57" i="1"/>
  <c r="AR57" i="1" s="1"/>
  <c r="Q57" i="1"/>
  <c r="N57" i="1"/>
  <c r="AQ57" i="1" s="1"/>
  <c r="M57" i="1"/>
  <c r="AJ58" i="1"/>
  <c r="AH58" i="1"/>
  <c r="O58" i="1"/>
  <c r="Q58" i="1" s="1"/>
  <c r="N58" i="1"/>
  <c r="M58" i="1" s="1"/>
  <c r="R58" i="1" l="1"/>
  <c r="S58" i="1" s="1"/>
  <c r="AQ58" i="1"/>
  <c r="AT58" i="1" s="1"/>
  <c r="M72" i="1"/>
  <c r="R57" i="1"/>
  <c r="S57" i="1" s="1"/>
  <c r="AT72" i="1"/>
  <c r="AN58" i="1"/>
  <c r="AT57" i="1"/>
  <c r="R72" i="1"/>
  <c r="S72" i="1" s="1"/>
  <c r="AN72" i="1"/>
  <c r="AM72" i="1"/>
  <c r="AR72" i="1"/>
  <c r="AS72" i="1" s="1"/>
  <c r="AS57" i="1"/>
  <c r="AK72" i="1"/>
  <c r="AK57" i="1"/>
  <c r="AK58" i="1"/>
  <c r="AM58" i="1"/>
  <c r="AM57" i="1"/>
  <c r="AR58" i="1"/>
  <c r="AS58" i="1" s="1"/>
  <c r="AN57" i="1"/>
  <c r="AJ59" i="1"/>
  <c r="AH59" i="1"/>
  <c r="Q59" i="1"/>
  <c r="N59" i="1"/>
  <c r="M59" i="1" s="1"/>
  <c r="AQ56" i="1"/>
  <c r="AJ56" i="1"/>
  <c r="AH56" i="1"/>
  <c r="Q56" i="1"/>
  <c r="R56" i="1" s="1"/>
  <c r="S56" i="1" s="1"/>
  <c r="H66" i="1"/>
  <c r="M66" i="1" s="1"/>
  <c r="R59" i="1" l="1"/>
  <c r="S59" i="1" s="1"/>
  <c r="AQ59" i="1"/>
  <c r="AT59" i="1" s="1"/>
  <c r="AM56" i="1"/>
  <c r="AN56" i="1"/>
  <c r="AR56" i="1"/>
  <c r="AS56" i="1" s="1"/>
  <c r="AK56" i="1"/>
  <c r="AT56" i="1"/>
  <c r="AM59" i="1"/>
  <c r="AR59" i="1"/>
  <c r="AK59" i="1"/>
  <c r="AN59" i="1"/>
  <c r="Q65" i="1"/>
  <c r="N65" i="1"/>
  <c r="M65" i="1" s="1"/>
  <c r="O64" i="1"/>
  <c r="Q64" i="1" s="1"/>
  <c r="N64" i="1"/>
  <c r="M64" i="1" s="1"/>
  <c r="Q63" i="1"/>
  <c r="N63" i="1"/>
  <c r="M63" i="1" s="1"/>
  <c r="O62" i="1"/>
  <c r="Q62" i="1" s="1"/>
  <c r="N62" i="1"/>
  <c r="M62" i="1" s="1"/>
  <c r="O47" i="1"/>
  <c r="Q47" i="1" s="1"/>
  <c r="R47" i="1" s="1"/>
  <c r="S47" i="1" s="1"/>
  <c r="M47" i="1"/>
  <c r="AJ55" i="1"/>
  <c r="AH55" i="1"/>
  <c r="AR55" i="1" s="1"/>
  <c r="Q55" i="1"/>
  <c r="AN55" i="1" s="1"/>
  <c r="N55" i="1"/>
  <c r="AQ55" i="1" s="1"/>
  <c r="AJ49" i="1"/>
  <c r="AH49" i="1"/>
  <c r="P49" i="1"/>
  <c r="O49" i="1"/>
  <c r="N49" i="1"/>
  <c r="M49" i="1" s="1"/>
  <c r="AQ61" i="1"/>
  <c r="AJ61" i="1"/>
  <c r="AH61" i="1"/>
  <c r="Q61" i="1"/>
  <c r="R61" i="1" s="1"/>
  <c r="S61" i="1" s="1"/>
  <c r="M61" i="1"/>
  <c r="AJ50" i="1"/>
  <c r="AH50" i="1"/>
  <c r="AR50" i="1" s="1"/>
  <c r="N50" i="1"/>
  <c r="AQ50" i="1" s="1"/>
  <c r="AJ51" i="1"/>
  <c r="AH51" i="1"/>
  <c r="AR51" i="1" s="1"/>
  <c r="N51" i="1"/>
  <c r="M51" i="1" s="1"/>
  <c r="AJ48" i="1"/>
  <c r="AH48" i="1"/>
  <c r="Q54" i="1"/>
  <c r="R54" i="1" s="1"/>
  <c r="S54" i="1" s="1"/>
  <c r="Q53" i="1"/>
  <c r="R53" i="1" s="1"/>
  <c r="S53" i="1" s="1"/>
  <c r="Q51" i="1"/>
  <c r="AN51" i="1" s="1"/>
  <c r="Q50" i="1"/>
  <c r="O48" i="1"/>
  <c r="Q48" i="1" s="1"/>
  <c r="N48" i="1"/>
  <c r="AQ48" i="1" s="1"/>
  <c r="M55" i="1" l="1"/>
  <c r="R64" i="1"/>
  <c r="S64" i="1" s="1"/>
  <c r="Q49" i="1"/>
  <c r="AN49" i="1" s="1"/>
  <c r="R50" i="1"/>
  <c r="S50" i="1" s="1"/>
  <c r="M50" i="1"/>
  <c r="R48" i="1"/>
  <c r="S48" i="1" s="1"/>
  <c r="R62" i="1"/>
  <c r="S62" i="1" s="1"/>
  <c r="AS59" i="1"/>
  <c r="R65" i="1"/>
  <c r="S65" i="1" s="1"/>
  <c r="R63" i="1"/>
  <c r="S63" i="1" s="1"/>
  <c r="AQ49" i="1"/>
  <c r="AT49" i="1" s="1"/>
  <c r="AQ51" i="1"/>
  <c r="AS51" i="1" s="1"/>
  <c r="AN61" i="1"/>
  <c r="AT61" i="1"/>
  <c r="AS55" i="1"/>
  <c r="AK61" i="1"/>
  <c r="AT55" i="1"/>
  <c r="AR49" i="1"/>
  <c r="R55" i="1"/>
  <c r="S55" i="1" s="1"/>
  <c r="AK55" i="1"/>
  <c r="AM55" i="1"/>
  <c r="AM61" i="1"/>
  <c r="AR61" i="1"/>
  <c r="AS61" i="1" s="1"/>
  <c r="AK50" i="1"/>
  <c r="AT48" i="1"/>
  <c r="AM50" i="1"/>
  <c r="AN50" i="1"/>
  <c r="AT50" i="1"/>
  <c r="AS50" i="1"/>
  <c r="AN48" i="1"/>
  <c r="AK51" i="1"/>
  <c r="AM51" i="1"/>
  <c r="AK48" i="1"/>
  <c r="R51" i="1"/>
  <c r="S51" i="1" s="1"/>
  <c r="AM48" i="1"/>
  <c r="AR48" i="1"/>
  <c r="AS48" i="1" s="1"/>
  <c r="H56" i="1"/>
  <c r="M56" i="1" s="1"/>
  <c r="AK49" i="1" l="1"/>
  <c r="R49" i="1"/>
  <c r="S49" i="1" s="1"/>
  <c r="AM49" i="1"/>
  <c r="AT51" i="1"/>
  <c r="AS49" i="1"/>
  <c r="AQ54" i="1"/>
  <c r="AJ54" i="1"/>
  <c r="AH54" i="1"/>
  <c r="M54" i="1"/>
  <c r="AQ53" i="1"/>
  <c r="AJ53" i="1"/>
  <c r="AH53" i="1"/>
  <c r="AR53" i="1" s="1"/>
  <c r="M53" i="1"/>
  <c r="AS53" i="1" l="1"/>
  <c r="AM54" i="1"/>
  <c r="AN54" i="1"/>
  <c r="AR54" i="1"/>
  <c r="AS54" i="1" s="1"/>
  <c r="AT54" i="1"/>
  <c r="AK54" i="1"/>
  <c r="AM53" i="1"/>
  <c r="AN53" i="1"/>
  <c r="AT53" i="1"/>
  <c r="AK53" i="1"/>
  <c r="AQ46" i="1"/>
  <c r="AJ46" i="1"/>
  <c r="AH46" i="1"/>
  <c r="AR46" i="1" s="1"/>
  <c r="Q46" i="1"/>
  <c r="AN46" i="1" s="1"/>
  <c r="AT46" i="1" l="1"/>
  <c r="AS46" i="1"/>
  <c r="R46" i="1"/>
  <c r="S46" i="1" s="1"/>
  <c r="AK46" i="1"/>
  <c r="AM46" i="1"/>
  <c r="AJ40" i="1"/>
  <c r="AH40" i="1"/>
  <c r="AR40" i="1" s="1"/>
  <c r="Q40" i="1"/>
  <c r="AN40" i="1" s="1"/>
  <c r="N40" i="1"/>
  <c r="M40" i="1" s="1"/>
  <c r="AQ40" i="1" l="1"/>
  <c r="AS40" i="1"/>
  <c r="R40" i="1"/>
  <c r="S40" i="1" s="1"/>
  <c r="AK40" i="1"/>
  <c r="AM40" i="1"/>
  <c r="AT40" i="1"/>
  <c r="H48" i="1"/>
  <c r="M48" i="1" s="1"/>
  <c r="AQ36" i="1"/>
  <c r="AJ36" i="1"/>
  <c r="AH36" i="1"/>
  <c r="AR36" i="1" s="1"/>
  <c r="Q36" i="1"/>
  <c r="N36" i="1"/>
  <c r="M36" i="1" s="1"/>
  <c r="AJ37" i="1"/>
  <c r="AH37" i="1"/>
  <c r="AR37" i="1" s="1"/>
  <c r="Q37" i="1"/>
  <c r="N37" i="1"/>
  <c r="M37" i="1" s="1"/>
  <c r="AJ38" i="1"/>
  <c r="AH38" i="1"/>
  <c r="AR38" i="1" s="1"/>
  <c r="O38" i="1"/>
  <c r="Q38" i="1" s="1"/>
  <c r="N38" i="1"/>
  <c r="AQ38" i="1" s="1"/>
  <c r="AJ35" i="1"/>
  <c r="AH35" i="1"/>
  <c r="P35" i="1"/>
  <c r="Q35" i="1" s="1"/>
  <c r="N35" i="1"/>
  <c r="AQ35" i="1" s="1"/>
  <c r="M38" i="1" l="1"/>
  <c r="R35" i="1"/>
  <c r="S35" i="1" s="1"/>
  <c r="R38" i="1"/>
  <c r="S38" i="1" s="1"/>
  <c r="R37" i="1"/>
  <c r="S37" i="1" s="1"/>
  <c r="AQ37" i="1"/>
  <c r="AS37" i="1" s="1"/>
  <c r="R36" i="1"/>
  <c r="S36" i="1" s="1"/>
  <c r="AN35" i="1"/>
  <c r="AT35" i="1"/>
  <c r="AM38" i="1"/>
  <c r="AK35" i="1"/>
  <c r="AM35" i="1"/>
  <c r="AM37" i="1"/>
  <c r="AR35" i="1"/>
  <c r="AS35" i="1" s="1"/>
  <c r="AN37" i="1"/>
  <c r="AK36" i="1"/>
  <c r="AT38" i="1"/>
  <c r="AS38" i="1"/>
  <c r="AM36" i="1"/>
  <c r="AN36" i="1"/>
  <c r="AT36" i="1"/>
  <c r="AK38" i="1"/>
  <c r="AK37" i="1"/>
  <c r="AN38" i="1"/>
  <c r="AS36" i="1"/>
  <c r="AJ39" i="1"/>
  <c r="AH39" i="1"/>
  <c r="P39" i="1"/>
  <c r="Q39" i="1" s="1"/>
  <c r="N39" i="1"/>
  <c r="M39" i="1" s="1"/>
  <c r="H46" i="1"/>
  <c r="M46" i="1" s="1"/>
  <c r="I47" i="1"/>
  <c r="I41" i="1"/>
  <c r="O45" i="1"/>
  <c r="Q45" i="1" s="1"/>
  <c r="N45" i="1"/>
  <c r="M45" i="1" s="1"/>
  <c r="Q44" i="1"/>
  <c r="N44" i="1"/>
  <c r="M44" i="1" s="1"/>
  <c r="AQ39" i="1" l="1"/>
  <c r="AT39" i="1" s="1"/>
  <c r="R39" i="1"/>
  <c r="S39" i="1" s="1"/>
  <c r="AT37" i="1"/>
  <c r="R45" i="1"/>
  <c r="S45" i="1" s="1"/>
  <c r="AK39" i="1"/>
  <c r="AN39" i="1"/>
  <c r="AM39" i="1"/>
  <c r="AR39" i="1"/>
  <c r="R44" i="1"/>
  <c r="S44" i="1" s="1"/>
  <c r="Q41" i="1"/>
  <c r="R41" i="1" s="1"/>
  <c r="S41" i="1" s="1"/>
  <c r="M41" i="1"/>
  <c r="AS39" i="1" l="1"/>
  <c r="AQ43" i="1"/>
  <c r="AJ43" i="1"/>
  <c r="AH43" i="1"/>
  <c r="Q43" i="1"/>
  <c r="AN43" i="1" s="1"/>
  <c r="M43" i="1"/>
  <c r="Q42" i="1"/>
  <c r="N42" i="1"/>
  <c r="M42" i="1" s="1"/>
  <c r="N27" i="1"/>
  <c r="AQ27" i="1" s="1"/>
  <c r="M27" i="1" l="1"/>
  <c r="R42" i="1"/>
  <c r="S42" i="1" s="1"/>
  <c r="AT43" i="1"/>
  <c r="R43" i="1"/>
  <c r="S43" i="1" s="1"/>
  <c r="AK43" i="1"/>
  <c r="AR43" i="1"/>
  <c r="AS43" i="1" s="1"/>
  <c r="AM43" i="1"/>
  <c r="P28" i="1"/>
  <c r="N28" i="1"/>
  <c r="M28" i="1" s="1"/>
  <c r="AQ28" i="1" l="1"/>
  <c r="Q26" i="1"/>
  <c r="N26" i="1"/>
  <c r="AQ26" i="1" s="1"/>
  <c r="R26" i="1" l="1"/>
  <c r="S26" i="1" s="1"/>
  <c r="M26" i="1"/>
  <c r="AN26" i="1"/>
  <c r="O29" i="1"/>
  <c r="N29" i="1"/>
  <c r="M29" i="1" l="1"/>
  <c r="AQ29" i="1"/>
  <c r="H35" i="1"/>
  <c r="M35" i="1" s="1"/>
  <c r="N21" i="1"/>
  <c r="M33" i="1" l="1"/>
  <c r="O34" i="1" l="1"/>
  <c r="Q34" i="1" s="1"/>
  <c r="N34" i="1"/>
  <c r="M34" i="1" s="1"/>
  <c r="R34" i="1" l="1"/>
  <c r="S34" i="1" s="1"/>
  <c r="O33" i="1"/>
  <c r="Q33" i="1" s="1"/>
  <c r="R33" i="1" s="1"/>
  <c r="S33" i="1" s="1"/>
  <c r="O32" i="1" l="1"/>
  <c r="Q32" i="1" s="1"/>
  <c r="N32" i="1"/>
  <c r="O31" i="1"/>
  <c r="N31" i="1"/>
  <c r="M31" i="1" s="1"/>
  <c r="R32" i="1" l="1"/>
  <c r="S32" i="1" s="1"/>
  <c r="M32" i="1"/>
  <c r="O30" i="1"/>
  <c r="N30" i="1"/>
  <c r="M30" i="1" s="1"/>
  <c r="AQ20" i="1"/>
  <c r="AJ20" i="1"/>
  <c r="AH20" i="1"/>
  <c r="AR20" i="1" s="1"/>
  <c r="O20" i="1"/>
  <c r="Q20" i="1" s="1"/>
  <c r="AT20" i="1" l="1"/>
  <c r="R20" i="1"/>
  <c r="S20" i="1" s="1"/>
  <c r="AM20" i="1"/>
  <c r="AN20" i="1"/>
  <c r="AK20" i="1"/>
  <c r="AS20" i="1"/>
  <c r="AQ25" i="1"/>
  <c r="N24" i="1" l="1"/>
  <c r="AQ24" i="1" s="1"/>
  <c r="N23" i="1" l="1"/>
  <c r="AQ22" i="1"/>
  <c r="O22" i="1"/>
  <c r="AQ18" i="1"/>
  <c r="H20" i="1"/>
  <c r="M20" i="1" s="1"/>
  <c r="N11" i="1" l="1"/>
  <c r="O9" i="1" l="1"/>
  <c r="AQ5" i="1"/>
  <c r="P8" i="1"/>
  <c r="N8" i="1"/>
  <c r="AQ8" i="1" s="1"/>
  <c r="AQ11" i="1"/>
  <c r="P11" i="1"/>
  <c r="N9" i="1"/>
  <c r="AQ9" i="1" s="1"/>
  <c r="N10" i="1"/>
  <c r="AQ10" i="1" s="1"/>
  <c r="O17" i="1"/>
  <c r="Q17" i="1" s="1"/>
  <c r="N17" i="1"/>
  <c r="M17" i="1" s="1"/>
  <c r="Q16" i="1"/>
  <c r="N16" i="1"/>
  <c r="M16" i="1" s="1"/>
  <c r="M25" i="1"/>
  <c r="M24" i="1"/>
  <c r="M23" i="1"/>
  <c r="M22" i="1"/>
  <c r="M21" i="1"/>
  <c r="M19" i="1"/>
  <c r="Q15" i="1"/>
  <c r="N15" i="1"/>
  <c r="M15" i="1" s="1"/>
  <c r="R17" i="1" l="1"/>
  <c r="S17" i="1" s="1"/>
  <c r="R15" i="1"/>
  <c r="S15" i="1" s="1"/>
  <c r="R16" i="1"/>
  <c r="S16" i="1" s="1"/>
  <c r="H18" i="1"/>
  <c r="M18" i="1" s="1"/>
  <c r="AQ3" i="1" l="1"/>
  <c r="P14" i="1"/>
  <c r="N14" i="1"/>
  <c r="M14" i="1" s="1"/>
  <c r="P4" i="1" l="1"/>
  <c r="Q4" i="1" s="1"/>
  <c r="N4" i="1"/>
  <c r="AQ4" i="1" s="1"/>
  <c r="Q31" i="1"/>
  <c r="R31" i="1" s="1"/>
  <c r="Q30" i="1"/>
  <c r="R30" i="1" s="1"/>
  <c r="Q29" i="1"/>
  <c r="Q28" i="1"/>
  <c r="Q27" i="1"/>
  <c r="Q25" i="1"/>
  <c r="Q24" i="1"/>
  <c r="Q23" i="1"/>
  <c r="R23" i="1" s="1"/>
  <c r="Q22" i="1"/>
  <c r="Q21" i="1"/>
  <c r="R21" i="1" s="1"/>
  <c r="Q19" i="1"/>
  <c r="R19" i="1" s="1"/>
  <c r="Q18" i="1"/>
  <c r="Q14" i="1"/>
  <c r="R14" i="1" s="1"/>
  <c r="Q13" i="1"/>
  <c r="R13" i="1" s="1"/>
  <c r="M13" i="1"/>
  <c r="Q12" i="1"/>
  <c r="R12" i="1" s="1"/>
  <c r="S12" i="1" s="1"/>
  <c r="M12" i="1"/>
  <c r="P2" i="1"/>
  <c r="Q2" i="1" s="1"/>
  <c r="N2" i="1"/>
  <c r="AQ2" i="1" s="1"/>
  <c r="AJ29" i="1"/>
  <c r="AJ28" i="1"/>
  <c r="AJ27" i="1"/>
  <c r="AJ26" i="1"/>
  <c r="AJ25" i="1"/>
  <c r="AJ24" i="1"/>
  <c r="AJ23" i="1"/>
  <c r="AJ22" i="1"/>
  <c r="AJ21" i="1"/>
  <c r="AJ19" i="1"/>
  <c r="AJ18" i="1"/>
  <c r="AJ14" i="1"/>
  <c r="AJ13" i="1"/>
  <c r="AJ12" i="1"/>
  <c r="AJ11" i="1"/>
  <c r="AJ10" i="1"/>
  <c r="AJ9" i="1"/>
  <c r="AJ8" i="1"/>
  <c r="AJ7" i="1"/>
  <c r="AJ5" i="1"/>
  <c r="AJ4" i="1"/>
  <c r="AJ3" i="1"/>
  <c r="AJ2" i="1"/>
  <c r="AH29" i="1"/>
  <c r="AH28" i="1"/>
  <c r="AH27" i="1"/>
  <c r="AH26" i="1"/>
  <c r="AH25" i="1"/>
  <c r="AH24" i="1"/>
  <c r="AH23" i="1"/>
  <c r="AH22" i="1"/>
  <c r="AH21" i="1"/>
  <c r="AH19" i="1"/>
  <c r="AH18" i="1"/>
  <c r="AH14" i="1"/>
  <c r="AH13" i="1"/>
  <c r="AH12" i="1"/>
  <c r="AH11" i="1"/>
  <c r="AH10" i="1"/>
  <c r="AH9" i="1"/>
  <c r="AH8" i="1"/>
  <c r="AH7" i="1"/>
  <c r="AR7" i="1" s="1"/>
  <c r="AH5" i="1"/>
  <c r="AH4" i="1"/>
  <c r="AH3" i="1"/>
  <c r="AT3" i="1" s="1"/>
  <c r="AH2" i="1"/>
  <c r="Q11" i="1"/>
  <c r="Q10" i="1"/>
  <c r="Q9" i="1"/>
  <c r="Q8" i="1"/>
  <c r="Q7" i="1"/>
  <c r="AN7" i="1" s="1"/>
  <c r="Q5" i="1"/>
  <c r="Q3" i="1"/>
  <c r="M11" i="1"/>
  <c r="M9" i="1"/>
  <c r="M8" i="1"/>
  <c r="M5" i="1"/>
  <c r="M4" i="1"/>
  <c r="M3" i="1"/>
  <c r="N7" i="1"/>
  <c r="AJ6" i="1"/>
  <c r="R4" i="1" l="1"/>
  <c r="R27" i="1"/>
  <c r="AN27" i="1"/>
  <c r="AM27" i="1"/>
  <c r="AT27" i="1"/>
  <c r="AR27" i="1"/>
  <c r="AS27" i="1" s="1"/>
  <c r="R28" i="1"/>
  <c r="AN28" i="1"/>
  <c r="R29" i="1"/>
  <c r="AN29" i="1"/>
  <c r="AM26" i="1"/>
  <c r="AR26" i="1"/>
  <c r="AS26" i="1" s="1"/>
  <c r="AT26" i="1"/>
  <c r="AT28" i="1"/>
  <c r="AM28" i="1"/>
  <c r="AR28" i="1"/>
  <c r="AS28" i="1" s="1"/>
  <c r="AT29" i="1"/>
  <c r="AR29" i="1"/>
  <c r="AS29" i="1" s="1"/>
  <c r="AM29" i="1"/>
  <c r="AR25" i="1"/>
  <c r="AS25" i="1" s="1"/>
  <c r="AM25" i="1"/>
  <c r="AT25" i="1"/>
  <c r="R25" i="1"/>
  <c r="AN25" i="1"/>
  <c r="AT24" i="1"/>
  <c r="AR24" i="1"/>
  <c r="AS24" i="1" s="1"/>
  <c r="AM24" i="1"/>
  <c r="R24" i="1"/>
  <c r="AN24" i="1"/>
  <c r="R18" i="1"/>
  <c r="AN18" i="1"/>
  <c r="R22" i="1"/>
  <c r="AN22" i="1"/>
  <c r="AR18" i="1"/>
  <c r="AS18" i="1" s="1"/>
  <c r="AM18" i="1"/>
  <c r="AT18" i="1"/>
  <c r="AT22" i="1"/>
  <c r="AM22" i="1"/>
  <c r="AR22" i="1"/>
  <c r="AS22" i="1" s="1"/>
  <c r="R9" i="1"/>
  <c r="S9" i="1" s="1"/>
  <c r="AN9" i="1"/>
  <c r="R5" i="1"/>
  <c r="S5" i="1" s="1"/>
  <c r="AN5" i="1"/>
  <c r="R11" i="1"/>
  <c r="S11" i="1" s="1"/>
  <c r="AN11" i="1"/>
  <c r="AR10" i="1"/>
  <c r="AS10" i="1" s="1"/>
  <c r="AT10" i="1"/>
  <c r="AM5" i="1"/>
  <c r="AR5" i="1"/>
  <c r="AS5" i="1" s="1"/>
  <c r="AT5" i="1"/>
  <c r="R8" i="1"/>
  <c r="S8" i="1" s="1"/>
  <c r="AN8" i="1"/>
  <c r="AR8" i="1"/>
  <c r="AS8" i="1" s="1"/>
  <c r="AT8" i="1"/>
  <c r="AM8" i="1"/>
  <c r="AT9" i="1"/>
  <c r="AR9" i="1"/>
  <c r="AS9" i="1" s="1"/>
  <c r="AM9" i="1"/>
  <c r="AR11" i="1"/>
  <c r="AS11" i="1" s="1"/>
  <c r="AM11" i="1"/>
  <c r="AT11" i="1"/>
  <c r="AN10" i="1"/>
  <c r="AM10" i="1"/>
  <c r="R7" i="1"/>
  <c r="S7" i="1" s="1"/>
  <c r="M2" i="1"/>
  <c r="AK19" i="1"/>
  <c r="AK9" i="1"/>
  <c r="AK29" i="1"/>
  <c r="AT4" i="1"/>
  <c r="AK5" i="1"/>
  <c r="AK21" i="1"/>
  <c r="AM2" i="1"/>
  <c r="AK22" i="1"/>
  <c r="AK11" i="1"/>
  <c r="AK24" i="1"/>
  <c r="AT2" i="1"/>
  <c r="AN4" i="1"/>
  <c r="AK23" i="1"/>
  <c r="AR4" i="1"/>
  <c r="AS4" i="1" s="1"/>
  <c r="AK26" i="1"/>
  <c r="AK18" i="1"/>
  <c r="AK27" i="1"/>
  <c r="R3" i="1"/>
  <c r="AN3" i="1"/>
  <c r="AM3" i="1"/>
  <c r="AR3" i="1"/>
  <c r="AS3" i="1" s="1"/>
  <c r="AM4" i="1"/>
  <c r="AK25" i="1"/>
  <c r="AK10" i="1"/>
  <c r="AK28" i="1"/>
  <c r="AK2" i="1"/>
  <c r="AN2" i="1"/>
  <c r="AK7" i="1"/>
  <c r="AK8" i="1"/>
  <c r="AK3" i="1"/>
  <c r="AK4" i="1"/>
  <c r="R10" i="1"/>
  <c r="S10" i="1" s="1"/>
  <c r="AR2" i="1"/>
  <c r="AS2" i="1" s="1"/>
  <c r="R2" i="1"/>
  <c r="S2" i="1" s="1"/>
  <c r="M7" i="1"/>
  <c r="AM7" i="1"/>
  <c r="AQ7" i="1"/>
  <c r="AS7" i="1" s="1"/>
  <c r="S3" i="1" l="1"/>
  <c r="S4" i="1"/>
  <c r="AT7" i="1"/>
  <c r="AH6" i="1" l="1"/>
  <c r="S13" i="1"/>
  <c r="S14" i="1"/>
  <c r="S18" i="1"/>
  <c r="S19" i="1"/>
  <c r="S21" i="1"/>
  <c r="S22" i="1"/>
  <c r="S23" i="1"/>
  <c r="S24" i="1"/>
  <c r="S25" i="1"/>
  <c r="S27" i="1"/>
  <c r="S28" i="1"/>
  <c r="S29" i="1"/>
  <c r="S30" i="1"/>
  <c r="S31" i="1"/>
  <c r="N6" i="1"/>
  <c r="AQ6" i="1" s="1"/>
  <c r="Q6" i="1"/>
  <c r="R6" i="1" l="1"/>
  <c r="S6" i="1" s="1"/>
  <c r="AN6" i="1"/>
  <c r="AK6" i="1"/>
  <c r="AT6" i="1"/>
  <c r="AR6" i="1"/>
  <c r="AS6" i="1" s="1"/>
  <c r="AM6" i="1"/>
  <c r="M6" i="1"/>
  <c r="H10" i="1" l="1"/>
  <c r="M10" i="1" s="1"/>
  <c r="I9" i="1"/>
  <c r="D5" i="3"/>
  <c r="E5" i="3" s="1"/>
  <c r="C6" i="3" s="1"/>
  <c r="D6" i="3" s="1"/>
  <c r="E6" i="3" s="1"/>
  <c r="C7" i="3" s="1"/>
  <c r="D7" i="3" s="1"/>
  <c r="E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Ronald Pinto</author>
  </authors>
  <commentList>
    <comment ref="AC61" authorId="0" guid="{4F8DBB3E-E9CD-4A42-81D7-E0489C2491E5}" shapeId="0" xr:uid="{00000000-0006-0000-0000-000001000000}">
      <text>
        <r>
          <rPr>
            <b/>
            <sz val="9"/>
            <color indexed="81"/>
            <rFont val="Tahoma"/>
            <family val="2"/>
          </rPr>
          <t>Ronald Pinto:</t>
        </r>
        <r>
          <rPr>
            <sz val="9"/>
            <color indexed="81"/>
            <rFont val="Tahoma"/>
            <family val="2"/>
          </rPr>
          <t xml:space="preserve">
Incluye recardo por retiro de auto en el aeropuerto. El mismo será descontado al asesor.
</t>
        </r>
      </text>
    </comment>
  </commentList>
</comments>
</file>

<file path=xl/sharedStrings.xml><?xml version="1.0" encoding="utf-8"?>
<sst xmlns="http://schemas.openxmlformats.org/spreadsheetml/2006/main" count="1183" uniqueCount="254">
  <si>
    <t>Ignacio Ceroni</t>
  </si>
  <si>
    <t>05/01 al 08/01/2026</t>
  </si>
  <si>
    <t>Montevideo, Maldonado</t>
  </si>
  <si>
    <t>Alquiler</t>
  </si>
  <si>
    <t>Claudia Parrilla</t>
  </si>
  <si>
    <t>07/01 al 09/01/2026</t>
  </si>
  <si>
    <t>Montevideo, San José</t>
  </si>
  <si>
    <t>Natalia Greco</t>
  </si>
  <si>
    <t>Montevideo, Lavalleja</t>
  </si>
  <si>
    <t>Lorena Cabrera</t>
  </si>
  <si>
    <t>Canelones, Maldonado</t>
  </si>
  <si>
    <t>Ricardo Cardona</t>
  </si>
  <si>
    <t>Proyecto</t>
  </si>
  <si>
    <t>Asesor</t>
  </si>
  <si>
    <t>N°</t>
  </si>
  <si>
    <t>Días Hábiles</t>
  </si>
  <si>
    <t>Periodo</t>
  </si>
  <si>
    <t>Desde</t>
  </si>
  <si>
    <t>Hasta</t>
  </si>
  <si>
    <t>Adelanto $</t>
  </si>
  <si>
    <t>Negocios</t>
  </si>
  <si>
    <t>Departamentos  a visitar</t>
  </si>
  <si>
    <t>Auto</t>
  </si>
  <si>
    <t>Costo Vehículo USD</t>
  </si>
  <si>
    <t>diferencia a pagar</t>
  </si>
  <si>
    <t>Boletas 
presentadas</t>
  </si>
  <si>
    <t>Negocios a 
Menos 100 KM (con o sin actividad)</t>
  </si>
  <si>
    <t>Negocios a 
Más de 100 KM (con o sin actividad)</t>
  </si>
  <si>
    <t>Total Negocios</t>
  </si>
  <si>
    <t>Costo por negocio</t>
  </si>
  <si>
    <t>Cuenta Corriente</t>
  </si>
  <si>
    <t>Fecha Rendicion</t>
  </si>
  <si>
    <t xml:space="preserve">Tiempo </t>
  </si>
  <si>
    <t>Forma</t>
  </si>
  <si>
    <t>Detalle CI</t>
  </si>
  <si>
    <t>Observaciones de T y F</t>
  </si>
  <si>
    <t>Matricula</t>
  </si>
  <si>
    <t>Control de entrega a adm.</t>
  </si>
  <si>
    <t>Factura</t>
  </si>
  <si>
    <t>Fecha de Pago</t>
  </si>
  <si>
    <t>Monto Factura</t>
  </si>
  <si>
    <t>incial Km</t>
  </si>
  <si>
    <t>incial fecha y hora</t>
  </si>
  <si>
    <t>final Km</t>
  </si>
  <si>
    <t>final fecha y hora</t>
  </si>
  <si>
    <t>Km totales</t>
  </si>
  <si>
    <t>Dias</t>
  </si>
  <si>
    <t>Negocios esperados</t>
  </si>
  <si>
    <t>Diferencia</t>
  </si>
  <si>
    <t>km * Afiliacion ida y vuelta</t>
  </si>
  <si>
    <t>Afiliaciones * día</t>
  </si>
  <si>
    <t>Criterio 11 km p/litro
Max $ teorico</t>
  </si>
  <si>
    <t>A favor + o negativo gasto mas de lo teorico</t>
  </si>
  <si>
    <t>Litros rendidos</t>
  </si>
  <si>
    <t>Litros teoricos</t>
  </si>
  <si>
    <t>Litros teoricos menos reales</t>
  </si>
  <si>
    <t>Rendimiento real</t>
  </si>
  <si>
    <t>Salida Gabriela con Asesor 1</t>
  </si>
  <si>
    <t>Salida Gabriela con Asesor 2</t>
  </si>
  <si>
    <t>Salida Gabriela con Asesor 3</t>
  </si>
  <si>
    <t>Salida Gabriela con Asesor 4</t>
  </si>
  <si>
    <t>Proyecto de Gabriela?</t>
  </si>
  <si>
    <t>Mes</t>
  </si>
  <si>
    <t>Menos de 100KM</t>
  </si>
  <si>
    <t>Más de 100KM</t>
  </si>
  <si>
    <t>Costo máximo por Negocio Actual:</t>
  </si>
  <si>
    <t>Luis Amicone</t>
  </si>
  <si>
    <t>Precio Nafta</t>
  </si>
  <si>
    <t>Concepto</t>
  </si>
  <si>
    <t>Diferencia $</t>
  </si>
  <si>
    <t>Variación %</t>
  </si>
  <si>
    <t>Nafta super</t>
  </si>
  <si>
    <t>Menos 100 km.</t>
  </si>
  <si>
    <t xml:space="preserve">Más 100 km. </t>
  </si>
  <si>
    <t>07/01 al 08/01/2026</t>
  </si>
  <si>
    <t>13/01 al 15/01/2026</t>
  </si>
  <si>
    <t>Flores, Durazno</t>
  </si>
  <si>
    <t>12/01 al 15/01/2026</t>
  </si>
  <si>
    <t>Montevideo, Canelones</t>
  </si>
  <si>
    <t>Montevideo, Salto</t>
  </si>
  <si>
    <t>Montevideo, Treinta y Tres</t>
  </si>
  <si>
    <t>SI</t>
  </si>
  <si>
    <t>BEC 5528</t>
  </si>
  <si>
    <t>BAA 7043</t>
  </si>
  <si>
    <t>BEC 5478</t>
  </si>
  <si>
    <t>01/01 al 14/01/2026</t>
  </si>
  <si>
    <t>Montevideo</t>
  </si>
  <si>
    <t>Propio</t>
  </si>
  <si>
    <t>SCG 4199</t>
  </si>
  <si>
    <t>SDD 5511</t>
  </si>
  <si>
    <t>BEC 5664</t>
  </si>
  <si>
    <t>Leonardo de Tomas</t>
  </si>
  <si>
    <t>01/01 al 12/01/2026</t>
  </si>
  <si>
    <t>SCN 5181</t>
  </si>
  <si>
    <t>Montevideo, Colonia, Maldonado</t>
  </si>
  <si>
    <t>BEB 1766</t>
  </si>
  <si>
    <t>20/01 al 22/01/2026</t>
  </si>
  <si>
    <t>Montevideo, Colonia</t>
  </si>
  <si>
    <t>Rolando Ball</t>
  </si>
  <si>
    <t>Rocha</t>
  </si>
  <si>
    <t>CBD 1303</t>
  </si>
  <si>
    <t>Agustin Buñevaz</t>
  </si>
  <si>
    <t>ABK 2846</t>
  </si>
  <si>
    <t>Lucia Santamaría</t>
  </si>
  <si>
    <t>Maldonado</t>
  </si>
  <si>
    <t>SBI 6680</t>
  </si>
  <si>
    <t>BEC 5634</t>
  </si>
  <si>
    <t>BED 8545</t>
  </si>
  <si>
    <t>BGC 5535</t>
  </si>
  <si>
    <t>BEB 2357</t>
  </si>
  <si>
    <t>BEC 5472</t>
  </si>
  <si>
    <t>15/01 al 31/01/2026</t>
  </si>
  <si>
    <t>27/01 al 29/01/2026</t>
  </si>
  <si>
    <t>19/01 al 22/01/2026</t>
  </si>
  <si>
    <t>BED 6748</t>
  </si>
  <si>
    <t>AAL 4305</t>
  </si>
  <si>
    <t>22/01 al 23/01/2026</t>
  </si>
  <si>
    <t>AAL 4328</t>
  </si>
  <si>
    <t>Montevideo, Río Negro</t>
  </si>
  <si>
    <t>03/02 al 05/02/2026</t>
  </si>
  <si>
    <t>BEB 4233</t>
  </si>
  <si>
    <t>SDA 5511</t>
  </si>
  <si>
    <t>SBK 2846</t>
  </si>
  <si>
    <t>Sylvia Antunez</t>
  </si>
  <si>
    <t>SDD 4937</t>
  </si>
  <si>
    <t>Fernando López</t>
  </si>
  <si>
    <t>SCL 8868</t>
  </si>
  <si>
    <t>BEB 8412</t>
  </si>
  <si>
    <t>10/02 al 12/02/2026</t>
  </si>
  <si>
    <t>Montevideo, Artigas</t>
  </si>
  <si>
    <t>Montevideo, Flores, Durazno</t>
  </si>
  <si>
    <t>09/02 al 12/02/2026</t>
  </si>
  <si>
    <t>01/02 al 11/02/2026</t>
  </si>
  <si>
    <t>Montevideo, Tacuarembo</t>
  </si>
  <si>
    <t>Canelones, Maldonado, Lavalleja</t>
  </si>
  <si>
    <t>BED 7113</t>
  </si>
  <si>
    <t>BED 2527</t>
  </si>
  <si>
    <t>BEC 5947</t>
  </si>
  <si>
    <t>BAB 1469</t>
  </si>
  <si>
    <t>12/02 al 28/02/2026</t>
  </si>
  <si>
    <t>19/02 al 20/02/2026</t>
  </si>
  <si>
    <t>BED 2529</t>
  </si>
  <si>
    <t>BEB 9257</t>
  </si>
  <si>
    <t>BEC 2029</t>
  </si>
  <si>
    <t>24/02 al 26/02/2026</t>
  </si>
  <si>
    <t>23/02 al 26/02/2026</t>
  </si>
  <si>
    <t>Montevideo, Paysandú</t>
  </si>
  <si>
    <t>Montevideo, Soriano</t>
  </si>
  <si>
    <t>BEB 9280</t>
  </si>
  <si>
    <t>18/02 al 20/02/2026</t>
  </si>
  <si>
    <t>18/02 al 19/02/2026</t>
  </si>
  <si>
    <t>Para descontar</t>
  </si>
  <si>
    <t>03/03 al 05/03/2026</t>
  </si>
  <si>
    <t>Montevideo, Río Negro, Flores, Durazno</t>
  </si>
  <si>
    <t>02/03 al 05/03/2026</t>
  </si>
  <si>
    <t>Montevideo, Durazno</t>
  </si>
  <si>
    <t>Montevideo, Soriano, Colonia</t>
  </si>
  <si>
    <t>BEC 5477</t>
  </si>
  <si>
    <t>BED 8126</t>
  </si>
  <si>
    <t>25/02 al 26/02/2026</t>
  </si>
  <si>
    <t>BEC 2019</t>
  </si>
  <si>
    <t>BEB 9057</t>
  </si>
  <si>
    <t>10/03 al 12/03/2026</t>
  </si>
  <si>
    <t>Montevideo, Flores</t>
  </si>
  <si>
    <t>Canelones, Lavalleja</t>
  </si>
  <si>
    <t>09/03 al 12/03/2026</t>
  </si>
  <si>
    <t>LAL 7289</t>
  </si>
  <si>
    <t>BEE 1555</t>
  </si>
  <si>
    <t>BEC 5195</t>
  </si>
  <si>
    <t>Gabriela Falero</t>
  </si>
  <si>
    <t>Montevideo, Rivera</t>
  </si>
  <si>
    <t>BEB 4216</t>
  </si>
  <si>
    <t>Fernando Lopez</t>
  </si>
  <si>
    <t>95435 / NC 13549</t>
  </si>
  <si>
    <t>17/03 al 19/03/2026</t>
  </si>
  <si>
    <t>12/03 al 31/03/2026</t>
  </si>
  <si>
    <t>01/03 al 11/03/2026</t>
  </si>
  <si>
    <t>BED 8551</t>
  </si>
  <si>
    <t>Montevideo, Cerro Largo</t>
  </si>
  <si>
    <t>16/03 al 19/03/2026</t>
  </si>
  <si>
    <t>BEB 8417</t>
  </si>
  <si>
    <t>BEC 5530</t>
  </si>
  <si>
    <t>BEC 5473</t>
  </si>
  <si>
    <t>BAB 3608</t>
  </si>
  <si>
    <t>BEC 5531</t>
  </si>
  <si>
    <t>BED 1333</t>
  </si>
  <si>
    <t>24/03 al 26/03/2026</t>
  </si>
  <si>
    <t>Para descontar salio con Falero</t>
  </si>
  <si>
    <t>Canelones</t>
  </si>
  <si>
    <t>23/03 al 26/03/2026</t>
  </si>
  <si>
    <t>BED 9321</t>
  </si>
  <si>
    <t>BEC 5787</t>
  </si>
  <si>
    <t>18/03 al 19/03/2026</t>
  </si>
  <si>
    <t>17/03 al 18/03/2026</t>
  </si>
  <si>
    <t>Montevideo, Maldonado, Canelones</t>
  </si>
  <si>
    <t>31/03 al 01/04/2026</t>
  </si>
  <si>
    <t>BAB 1952</t>
  </si>
  <si>
    <t>19/03 al 20/03/2026</t>
  </si>
  <si>
    <t>ABD 6876</t>
  </si>
  <si>
    <t>30/03 al 01/04/2026</t>
  </si>
  <si>
    <t>BEC 5485</t>
  </si>
  <si>
    <t>25/03 al 26/03/2026</t>
  </si>
  <si>
    <t>ABD 6867</t>
  </si>
  <si>
    <t>06/04 al 09/04/2026</t>
  </si>
  <si>
    <t>07/04 al 09/04/2026</t>
  </si>
  <si>
    <t>Lucia tuvo un accidente en su auto propio que es automatico. Se autorizo uso de auto de alquiler automatico donde el costo es de usd 75 iva incluido por dia. Se estima que la reparación de su auto demore en el entorno a 1 mes.</t>
  </si>
  <si>
    <t>BED 3013</t>
  </si>
  <si>
    <t>Para descontar tuvo un accidente y esta usando auto alquiler.</t>
  </si>
  <si>
    <t>BEC 5483</t>
  </si>
  <si>
    <t>BEC 5188</t>
  </si>
  <si>
    <t>Se autorizo uso de auto automatico por tema de Salud de Nacho usd 75 p/dia.</t>
  </si>
  <si>
    <t>14/04 al 16/04/2026</t>
  </si>
  <si>
    <t>13/04 al 16/04/2026</t>
  </si>
  <si>
    <t>Montevideo, Canelones, San José</t>
  </si>
  <si>
    <t>BEE 0823</t>
  </si>
  <si>
    <t>BEC 5481</t>
  </si>
  <si>
    <t>BEC 5630</t>
  </si>
  <si>
    <t>07/04 al 08/04/2026</t>
  </si>
  <si>
    <t>BEB 4228</t>
  </si>
  <si>
    <t>AAL 4327</t>
  </si>
  <si>
    <t>Lucia Santamaria</t>
  </si>
  <si>
    <t>BED 2428</t>
  </si>
  <si>
    <t>21/04 al 23/04/2026</t>
  </si>
  <si>
    <t>20/04 al 23/04/2026</t>
  </si>
  <si>
    <t>01/04 al 15/04/2026</t>
  </si>
  <si>
    <t>SDE 9591</t>
  </si>
  <si>
    <t>Para Descontar saldrá con Falero</t>
  </si>
  <si>
    <t>BED 2990</t>
  </si>
  <si>
    <t>Violeta Watorek</t>
  </si>
  <si>
    <t>27/04 al 30/04/2026</t>
  </si>
  <si>
    <t>Montevideo, Salto, Artigas</t>
  </si>
  <si>
    <t>Usó el auto de su esposo por eso la matricula es diferente a la de ella</t>
  </si>
  <si>
    <t>28/04 al 30/04/2026</t>
  </si>
  <si>
    <t>BEC 7974</t>
  </si>
  <si>
    <t>BEB 0823</t>
  </si>
  <si>
    <t>AAL 4303</t>
  </si>
  <si>
    <t>BED 8198</t>
  </si>
  <si>
    <t>23/04 al 24/04/2026</t>
  </si>
  <si>
    <t>BEC 5185</t>
  </si>
  <si>
    <t>BED 4219</t>
  </si>
  <si>
    <t>05/05 al 07/05/2026</t>
  </si>
  <si>
    <t>04/05 al 07/05/2026</t>
  </si>
  <si>
    <t>Esta autorizado auto de alquiler automatico usd 75 p/dia.</t>
  </si>
  <si>
    <t>Abril 2026 a Mayo 2026</t>
  </si>
  <si>
    <t>AJUSTES DE PRECIOS DE COMBUSTIBLES DESDE 01/05/2026</t>
  </si>
  <si>
    <t>16/04 al 30/04/2026</t>
  </si>
  <si>
    <t>28/04 al 29/04/2026</t>
  </si>
  <si>
    <t>Dory Garcia</t>
  </si>
  <si>
    <t>01/05 al 05/05/2026</t>
  </si>
  <si>
    <t>Montevideo, Florida</t>
  </si>
  <si>
    <t>12/05 al 14/05/2026</t>
  </si>
  <si>
    <t>11/05 al 14/05/2026</t>
  </si>
  <si>
    <t>BED 8556</t>
  </si>
  <si>
    <t>BED 5485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</si>
</sst>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5" x14ac:knownFonts="1">
    <font>
      <sz val="11"/>
      <color theme="1"/>
      <name val="Aptos Narrow"/>
      <family val="2"/>
      <scheme val="minor"/>
    </font>
    <font>
      <sz val="11"/>
      <color rgb="FF006100"/>
      <name val="Aptos Narrow"/>
      <family val="2"/>
      <scheme val="minor"/>
    </font>
    <font>
      <b/>
      <sz val="11"/>
      <color theme="0"/>
      <name val="Lato"/>
      <family val="2"/>
    </font>
    <font>
      <b/>
      <sz val="11"/>
      <name val="Lato"/>
      <family val="2"/>
    </font>
    <font>
      <b/>
      <sz val="11"/>
      <color theme="1"/>
      <name val="Aptos Narrow"/>
      <family val="2"/>
      <scheme val="minor"/>
    </font>
    <font>
      <b/>
      <sz val="11"/>
      <color rgb="FFFF0000"/>
      <name val="Aptos Narrow"/>
      <family val="2"/>
      <scheme val="minor"/>
    </font>
    <font>
      <b/>
      <sz val="11"/>
      <name val="Aptos Narrow"/>
      <family val="2"/>
      <scheme val="minor"/>
    </font>
    <font>
      <sz val="11"/>
      <color theme="1"/>
      <name val="Calibri"/>
      <family val="2"/>
    </font>
    <font>
      <b/>
      <sz val="13"/>
      <color rgb="FFFFFFFF"/>
      <name val="Lato"/>
      <family val="2"/>
    </font>
    <font>
      <sz val="10"/>
      <color theme="1"/>
      <name val="Lato"/>
      <family val="2"/>
    </font>
    <font>
      <b/>
      <sz val="11"/>
      <color rgb="FFFFFFFF"/>
      <name val="Lato"/>
      <family val="2"/>
    </font>
    <font>
      <sz val="11"/>
      <color rgb="FF000000"/>
      <name val="Lato"/>
      <family val="2"/>
    </font>
    <font>
      <sz val="11"/>
      <name val="Calibri"/>
      <family val="2"/>
    </font>
    <font>
      <sz val="9"/>
      <color indexed="81"/>
      <name val="Tahoma"/>
      <family val="2"/>
    </font>
    <font>
      <b/>
      <sz val="9"/>
      <color indexed="81"/>
      <name val="Tahoma"/>
      <family val="2"/>
    </font>
  </fonts>
  <fills count="9">
    <fill>
      <patternFill patternType="none"/>
    </fill>
    <fill>
      <patternFill patternType="gray125"/>
    </fill>
    <fill>
      <patternFill patternType="solid">
        <fgColor rgb="FFC6EFCE"/>
      </patternFill>
    </fill>
    <fill>
      <patternFill patternType="solid">
        <fgColor rgb="FFFF0000"/>
        <bgColor indexed="64"/>
      </patternFill>
    </fill>
    <fill>
      <patternFill patternType="solid">
        <fgColor theme="3" tint="0.89999084444715716"/>
        <bgColor indexed="64"/>
      </patternFill>
    </fill>
    <fill>
      <patternFill patternType="solid">
        <fgColor rgb="FFD9D9D9"/>
        <bgColor indexed="64"/>
      </patternFill>
    </fill>
    <fill>
      <patternFill patternType="solid">
        <fgColor rgb="FF92D050"/>
        <bgColor indexed="64"/>
      </patternFill>
    </fill>
    <fill>
      <patternFill patternType="solid">
        <fgColor rgb="FF00B050"/>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2" borderId="0" applyNumberFormat="0" applyBorder="0" applyAlignment="0" applyProtection="0"/>
  </cellStyleXfs>
  <cellXfs count="74">
    <xf numFmtId="0" fontId="0" fillId="0" borderId="0" xfId="0"/>
    <xf numFmtId="0" fontId="0" fillId="0" borderId="1" xfId="0" applyBorder="1"/>
    <xf numFmtId="0" fontId="2" fillId="3" borderId="1" xfId="0" applyFont="1" applyFill="1" applyBorder="1" applyAlignment="1">
      <alignment horizontal="center" vertical="center"/>
    </xf>
    <xf numFmtId="0" fontId="2" fillId="3" borderId="1" xfId="0" applyFont="1" applyFill="1" applyBorder="1"/>
    <xf numFmtId="0" fontId="3" fillId="2" borderId="1" xfId="1" applyFont="1" applyBorder="1" applyAlignment="1">
      <alignment horizontal="right"/>
    </xf>
    <xf numFmtId="0" fontId="3" fillId="2" borderId="1" xfId="1" applyFont="1" applyBorder="1" applyAlignment="1">
      <alignment horizontal="center" vertical="center"/>
    </xf>
    <xf numFmtId="17" fontId="0" fillId="0" borderId="1" xfId="0" applyNumberFormat="1" applyBorder="1"/>
    <xf numFmtId="0" fontId="0" fillId="0" borderId="0" xfId="0" applyAlignment="1">
      <alignment wrapText="1"/>
    </xf>
    <xf numFmtId="0" fontId="6" fillId="4" borderId="0" xfId="0" applyFont="1" applyFill="1" applyAlignment="1">
      <alignment horizontal="center" vertical="center" wrapText="1"/>
    </xf>
    <xf numFmtId="0" fontId="7" fillId="0" borderId="1" xfId="0" applyFont="1" applyBorder="1"/>
    <xf numFmtId="14" fontId="7" fillId="0" borderId="1" xfId="0" applyNumberFormat="1" applyFont="1" applyBorder="1"/>
    <xf numFmtId="0" fontId="7" fillId="0" borderId="0" xfId="0" applyFont="1"/>
    <xf numFmtId="0" fontId="9" fillId="3" borderId="0" xfId="0" applyFont="1" applyFill="1"/>
    <xf numFmtId="0" fontId="10" fillId="3" borderId="1" xfId="0" applyFont="1" applyFill="1" applyBorder="1" applyAlignment="1">
      <alignment horizontal="center" vertical="center" wrapText="1"/>
    </xf>
    <xf numFmtId="0" fontId="11" fillId="5" borderId="4" xfId="0" applyFont="1" applyFill="1" applyBorder="1" applyAlignment="1">
      <alignment vertical="center"/>
    </xf>
    <xf numFmtId="0" fontId="11" fillId="5" borderId="0" xfId="0" applyFont="1" applyFill="1" applyAlignment="1">
      <alignment horizontal="center" vertical="center"/>
    </xf>
    <xf numFmtId="165" fontId="11" fillId="5" borderId="5" xfId="0" applyNumberFormat="1" applyFont="1" applyFill="1" applyBorder="1" applyAlignment="1">
      <alignment horizontal="center" vertical="center"/>
    </xf>
    <xf numFmtId="0" fontId="11" fillId="0" borderId="4" xfId="0" applyFont="1" applyBorder="1" applyAlignment="1">
      <alignment vertical="center"/>
    </xf>
    <xf numFmtId="1" fontId="11" fillId="0" borderId="0" xfId="0" applyNumberFormat="1" applyFont="1" applyAlignment="1">
      <alignment horizontal="center" vertical="center"/>
    </xf>
    <xf numFmtId="165" fontId="11" fillId="0" borderId="5" xfId="0" applyNumberFormat="1" applyFont="1" applyBorder="1" applyAlignment="1">
      <alignment horizontal="center" vertical="center"/>
    </xf>
    <xf numFmtId="0" fontId="11" fillId="5" borderId="6" xfId="0" applyFont="1" applyFill="1" applyBorder="1" applyAlignment="1">
      <alignment vertical="center"/>
    </xf>
    <xf numFmtId="1" fontId="11" fillId="5" borderId="7" xfId="0" applyNumberFormat="1" applyFont="1" applyFill="1" applyBorder="1" applyAlignment="1">
      <alignment horizontal="center" vertical="center"/>
    </xf>
    <xf numFmtId="165" fontId="11" fillId="5" borderId="8" xfId="0" applyNumberFormat="1" applyFont="1" applyFill="1" applyBorder="1" applyAlignment="1">
      <alignment horizontal="center" vertical="center"/>
    </xf>
    <xf numFmtId="0" fontId="7" fillId="0" borderId="1" xfId="0" applyFont="1" applyBorder="1" applyAlignment="1">
      <alignment horizontal="center"/>
    </xf>
    <xf numFmtId="0" fontId="0" fillId="0" borderId="0" xfId="0" applyAlignment="1">
      <alignment horizontal="center"/>
    </xf>
    <xf numFmtId="43" fontId="7" fillId="0" borderId="1" xfId="0" applyNumberFormat="1" applyFont="1" applyBorder="1"/>
    <xf numFmtId="43" fontId="0" fillId="0" borderId="0" xfId="0" applyNumberFormat="1"/>
    <xf numFmtId="164" fontId="7" fillId="0" borderId="1" xfId="0" applyNumberFormat="1" applyFont="1" applyBorder="1"/>
    <xf numFmtId="0" fontId="7" fillId="6" borderId="1" xfId="0" applyFont="1" applyFill="1" applyBorder="1" applyAlignment="1">
      <alignment horizontal="center"/>
    </xf>
    <xf numFmtId="0" fontId="7" fillId="6" borderId="1" xfId="0" applyFont="1" applyFill="1" applyBorder="1"/>
    <xf numFmtId="14" fontId="7" fillId="6" borderId="1" xfId="0" applyNumberFormat="1" applyFont="1" applyFill="1" applyBorder="1"/>
    <xf numFmtId="164" fontId="7" fillId="6" borderId="1" xfId="0" applyNumberFormat="1" applyFont="1" applyFill="1" applyBorder="1"/>
    <xf numFmtId="43" fontId="7" fillId="6" borderId="1" xfId="0" applyNumberFormat="1" applyFont="1" applyFill="1" applyBorder="1"/>
    <xf numFmtId="22" fontId="7" fillId="6" borderId="1" xfId="0" applyNumberFormat="1" applyFont="1" applyFill="1" applyBorder="1"/>
    <xf numFmtId="164" fontId="7" fillId="0" borderId="0" xfId="0" applyNumberFormat="1" applyFont="1"/>
    <xf numFmtId="164" fontId="4" fillId="4" borderId="1" xfId="0" applyNumberFormat="1" applyFont="1" applyFill="1" applyBorder="1" applyAlignment="1">
      <alignment horizontal="center" vertical="center" wrapText="1"/>
    </xf>
    <xf numFmtId="43" fontId="4"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43" fontId="5" fillId="4" borderId="1" xfId="0" applyNumberFormat="1"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14" fontId="4"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22" fontId="7" fillId="0" borderId="1" xfId="0" applyNumberFormat="1" applyFont="1" applyBorder="1"/>
    <xf numFmtId="1" fontId="7" fillId="0" borderId="0" xfId="0" applyNumberFormat="1" applyFont="1"/>
    <xf numFmtId="43" fontId="12" fillId="6" borderId="1" xfId="0" applyNumberFormat="1" applyFont="1" applyFill="1" applyBorder="1"/>
    <xf numFmtId="0" fontId="12" fillId="6" borderId="1" xfId="0" applyFont="1" applyFill="1" applyBorder="1" applyAlignment="1">
      <alignment horizontal="center"/>
    </xf>
    <xf numFmtId="0" fontId="12" fillId="6" borderId="1" xfId="0" applyFont="1" applyFill="1" applyBorder="1"/>
    <xf numFmtId="14" fontId="12" fillId="6" borderId="1" xfId="0" applyNumberFormat="1" applyFont="1" applyFill="1" applyBorder="1"/>
    <xf numFmtId="164" fontId="12" fillId="6" borderId="1" xfId="0" applyNumberFormat="1" applyFont="1" applyFill="1" applyBorder="1"/>
    <xf numFmtId="22" fontId="12" fillId="6" borderId="1" xfId="0" applyNumberFormat="1" applyFont="1" applyFill="1" applyBorder="1"/>
    <xf numFmtId="0" fontId="7" fillId="3" borderId="1" xfId="0" applyFont="1" applyFill="1" applyBorder="1" applyAlignment="1">
      <alignment horizontal="center"/>
    </xf>
    <xf numFmtId="0" fontId="7" fillId="3" borderId="1" xfId="0" applyFont="1" applyFill="1" applyBorder="1"/>
    <xf numFmtId="14" fontId="7" fillId="3" borderId="1" xfId="0" applyNumberFormat="1" applyFont="1" applyFill="1" applyBorder="1"/>
    <xf numFmtId="164" fontId="7" fillId="3" borderId="1" xfId="0" applyNumberFormat="1" applyFont="1" applyFill="1" applyBorder="1"/>
    <xf numFmtId="43" fontId="7" fillId="3" borderId="1" xfId="0" applyNumberFormat="1" applyFont="1" applyFill="1" applyBorder="1"/>
    <xf numFmtId="22" fontId="7" fillId="3" borderId="1" xfId="0" applyNumberFormat="1" applyFont="1" applyFill="1" applyBorder="1"/>
    <xf numFmtId="0" fontId="7" fillId="7" borderId="1" xfId="0" applyFont="1" applyFill="1" applyBorder="1" applyAlignment="1">
      <alignment horizontal="center"/>
    </xf>
    <xf numFmtId="0" fontId="7" fillId="7" borderId="1" xfId="0" applyFont="1" applyFill="1" applyBorder="1"/>
    <xf numFmtId="14" fontId="7" fillId="7" borderId="1" xfId="0" applyNumberFormat="1" applyFont="1" applyFill="1" applyBorder="1"/>
    <xf numFmtId="164" fontId="7" fillId="7" borderId="1" xfId="0" applyNumberFormat="1" applyFont="1" applyFill="1" applyBorder="1"/>
    <xf numFmtId="43" fontId="7" fillId="7" borderId="1" xfId="0" applyNumberFormat="1" applyFont="1" applyFill="1" applyBorder="1"/>
    <xf numFmtId="22" fontId="7" fillId="7" borderId="1" xfId="0" applyNumberFormat="1" applyFont="1" applyFill="1" applyBorder="1"/>
    <xf numFmtId="0" fontId="7" fillId="8" borderId="1" xfId="0" applyFont="1" applyFill="1" applyBorder="1" applyAlignment="1">
      <alignment horizontal="center"/>
    </xf>
    <xf numFmtId="0" fontId="7" fillId="8" borderId="1" xfId="0" applyFont="1" applyFill="1" applyBorder="1"/>
    <xf numFmtId="14" fontId="7" fillId="8" borderId="1" xfId="0" applyNumberFormat="1" applyFont="1" applyFill="1" applyBorder="1"/>
    <xf numFmtId="164" fontId="7" fillId="8" borderId="1" xfId="0" applyNumberFormat="1" applyFont="1" applyFill="1" applyBorder="1"/>
    <xf numFmtId="43" fontId="7" fillId="8" borderId="1" xfId="0" applyNumberFormat="1" applyFont="1" applyFill="1" applyBorder="1"/>
    <xf numFmtId="22" fontId="7" fillId="8" borderId="1" xfId="0" applyNumberFormat="1" applyFont="1" applyFill="1" applyBorder="1"/>
    <xf numFmtId="0" fontId="8" fillId="3" borderId="0" xfId="0" applyFont="1" applyFill="1" applyAlignment="1">
      <alignment horizontal="center" vertical="center"/>
    </xf>
    <xf numFmtId="0" fontId="10" fillId="3" borderId="1" xfId="0" applyFont="1" applyFill="1" applyBorder="1" applyAlignment="1">
      <alignment horizontal="center" vertical="center" wrapText="1"/>
    </xf>
    <xf numFmtId="0" fontId="10" fillId="3" borderId="1" xfId="0" applyFont="1" applyFill="1" applyBorder="1" applyAlignment="1">
      <alignment vertical="center"/>
    </xf>
    <xf numFmtId="17" fontId="10" fillId="3" borderId="3" xfId="0" applyNumberFormat="1" applyFont="1" applyFill="1" applyBorder="1" applyAlignment="1">
      <alignment horizontal="center" vertical="center"/>
    </xf>
    <xf numFmtId="17" fontId="10" fillId="3" borderId="2" xfId="0" applyNumberFormat="1" applyFont="1" applyFill="1" applyBorder="1" applyAlignment="1">
      <alignment horizontal="center" vertical="center"/>
    </xf>
    <xf numFmtId="17" fontId="10" fillId="3" borderId="1" xfId="0" applyNumberFormat="1" applyFont="1" applyFill="1" applyBorder="1" applyAlignment="1">
      <alignment horizontal="center" vertical="center"/>
    </xf>
  </cellXfs>
  <cellStyles count="2">
    <cellStyle name="Bueno"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revisionHeaders" Target="revisions/revisionHeaders.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usernames" Target="revisions/userNames.xml"/></Relationships>
</file>

<file path=xl/revisions/_rels/revisionHeaders.xml.rels><?xml version="1.0" encoding="UTF-8" standalone="yes"?>
<Relationships xmlns="http://schemas.openxmlformats.org/package/2006/relationships"><Relationship Id="rId117" Type="http://schemas.openxmlformats.org/officeDocument/2006/relationships/revisionLog" Target="revisionLog113.xml"/><Relationship Id="rId299" Type="http://schemas.openxmlformats.org/officeDocument/2006/relationships/revisionLog" Target="revisionLog295.xml"/><Relationship Id="rId21" Type="http://schemas.openxmlformats.org/officeDocument/2006/relationships/revisionLog" Target="revisionLog21.xml"/><Relationship Id="rId63" Type="http://schemas.openxmlformats.org/officeDocument/2006/relationships/revisionLog" Target="revisionLog63.xml"/><Relationship Id="rId159" Type="http://schemas.openxmlformats.org/officeDocument/2006/relationships/revisionLog" Target="revisionLog155.xml"/><Relationship Id="rId324" Type="http://schemas.openxmlformats.org/officeDocument/2006/relationships/revisionLog" Target="revisionLog320.xml"/><Relationship Id="rId170" Type="http://schemas.openxmlformats.org/officeDocument/2006/relationships/revisionLog" Target="revisionLog166.xml"/><Relationship Id="rId226" Type="http://schemas.openxmlformats.org/officeDocument/2006/relationships/revisionLog" Target="revisionLog222.xml"/><Relationship Id="rId268" Type="http://schemas.openxmlformats.org/officeDocument/2006/relationships/revisionLog" Target="revisionLog264.xml"/><Relationship Id="rId32" Type="http://schemas.openxmlformats.org/officeDocument/2006/relationships/revisionLog" Target="revisionLog32.xml"/><Relationship Id="rId74" Type="http://schemas.openxmlformats.org/officeDocument/2006/relationships/revisionLog" Target="revisionLog74.xml"/><Relationship Id="rId128" Type="http://schemas.openxmlformats.org/officeDocument/2006/relationships/revisionLog" Target="revisionLog124.xml"/><Relationship Id="rId335" Type="http://schemas.openxmlformats.org/officeDocument/2006/relationships/revisionLog" Target="revisionLog331.xml"/><Relationship Id="rId5" Type="http://schemas.openxmlformats.org/officeDocument/2006/relationships/revisionLog" Target="revisionLog5.xml"/><Relationship Id="rId181" Type="http://schemas.openxmlformats.org/officeDocument/2006/relationships/revisionLog" Target="revisionLog177.xml"/><Relationship Id="rId237" Type="http://schemas.openxmlformats.org/officeDocument/2006/relationships/revisionLog" Target="revisionLog233.xml"/><Relationship Id="rId279" Type="http://schemas.openxmlformats.org/officeDocument/2006/relationships/revisionLog" Target="revisionLog275.xml"/><Relationship Id="rId43" Type="http://schemas.openxmlformats.org/officeDocument/2006/relationships/revisionLog" Target="revisionLog43.xml"/><Relationship Id="rId139" Type="http://schemas.openxmlformats.org/officeDocument/2006/relationships/revisionLog" Target="revisionLog135.xml"/><Relationship Id="rId290" Type="http://schemas.openxmlformats.org/officeDocument/2006/relationships/revisionLog" Target="revisionLog286.xml"/><Relationship Id="rId304" Type="http://schemas.openxmlformats.org/officeDocument/2006/relationships/revisionLog" Target="revisionLog300.xml"/><Relationship Id="rId346" Type="http://schemas.openxmlformats.org/officeDocument/2006/relationships/revisionLog" Target="revisionLog342.xml"/><Relationship Id="rId85" Type="http://schemas.openxmlformats.org/officeDocument/2006/relationships/revisionLog" Target="revisionLog85.xml"/><Relationship Id="rId150" Type="http://schemas.openxmlformats.org/officeDocument/2006/relationships/revisionLog" Target="revisionLog146.xml"/><Relationship Id="rId192" Type="http://schemas.openxmlformats.org/officeDocument/2006/relationships/revisionLog" Target="revisionLog188.xml"/><Relationship Id="rId206" Type="http://schemas.openxmlformats.org/officeDocument/2006/relationships/revisionLog" Target="revisionLog202.xml"/><Relationship Id="rId248" Type="http://schemas.openxmlformats.org/officeDocument/2006/relationships/revisionLog" Target="revisionLog244.xml"/><Relationship Id="rId12" Type="http://schemas.openxmlformats.org/officeDocument/2006/relationships/revisionLog" Target="revisionLog12.xml"/><Relationship Id="rId108" Type="http://schemas.openxmlformats.org/officeDocument/2006/relationships/revisionLog" Target="revisionLog104.xml"/><Relationship Id="rId315" Type="http://schemas.openxmlformats.org/officeDocument/2006/relationships/revisionLog" Target="revisionLog311.xml"/><Relationship Id="rId54" Type="http://schemas.openxmlformats.org/officeDocument/2006/relationships/revisionLog" Target="revisionLog54.xml"/><Relationship Id="rId96" Type="http://schemas.openxmlformats.org/officeDocument/2006/relationships/revisionLog" Target="revisionLog92.xml"/><Relationship Id="rId161" Type="http://schemas.openxmlformats.org/officeDocument/2006/relationships/revisionLog" Target="revisionLog157.xml"/><Relationship Id="rId217" Type="http://schemas.openxmlformats.org/officeDocument/2006/relationships/revisionLog" Target="revisionLog213.xml"/><Relationship Id="rId259" Type="http://schemas.openxmlformats.org/officeDocument/2006/relationships/revisionLog" Target="revisionLog255.xml"/><Relationship Id="rId23" Type="http://schemas.openxmlformats.org/officeDocument/2006/relationships/revisionLog" Target="revisionLog23.xml"/><Relationship Id="rId119" Type="http://schemas.openxmlformats.org/officeDocument/2006/relationships/revisionLog" Target="revisionLog115.xml"/><Relationship Id="rId270" Type="http://schemas.openxmlformats.org/officeDocument/2006/relationships/revisionLog" Target="revisionLog266.xml"/><Relationship Id="rId326" Type="http://schemas.openxmlformats.org/officeDocument/2006/relationships/revisionLog" Target="revisionLog322.xml"/><Relationship Id="rId65" Type="http://schemas.openxmlformats.org/officeDocument/2006/relationships/revisionLog" Target="revisionLog65.xml"/><Relationship Id="rId130" Type="http://schemas.openxmlformats.org/officeDocument/2006/relationships/revisionLog" Target="revisionLog126.xml"/><Relationship Id="rId172" Type="http://schemas.openxmlformats.org/officeDocument/2006/relationships/revisionLog" Target="revisionLog168.xml"/><Relationship Id="rId228" Type="http://schemas.openxmlformats.org/officeDocument/2006/relationships/revisionLog" Target="revisionLog224.xml"/><Relationship Id="rId281" Type="http://schemas.openxmlformats.org/officeDocument/2006/relationships/revisionLog" Target="revisionLog277.xml"/><Relationship Id="rId337" Type="http://schemas.openxmlformats.org/officeDocument/2006/relationships/revisionLog" Target="revisionLog333.xml"/><Relationship Id="rId34" Type="http://schemas.openxmlformats.org/officeDocument/2006/relationships/revisionLog" Target="revisionLog34.xml"/><Relationship Id="rId76" Type="http://schemas.openxmlformats.org/officeDocument/2006/relationships/revisionLog" Target="revisionLog76.xml"/><Relationship Id="rId141" Type="http://schemas.openxmlformats.org/officeDocument/2006/relationships/revisionLog" Target="revisionLog137.xml"/><Relationship Id="rId7" Type="http://schemas.openxmlformats.org/officeDocument/2006/relationships/revisionLog" Target="revisionLog7.xml"/><Relationship Id="rId183" Type="http://schemas.openxmlformats.org/officeDocument/2006/relationships/revisionLog" Target="revisionLog179.xml"/><Relationship Id="rId239" Type="http://schemas.openxmlformats.org/officeDocument/2006/relationships/revisionLog" Target="revisionLog235.xml"/><Relationship Id="rId250" Type="http://schemas.openxmlformats.org/officeDocument/2006/relationships/revisionLog" Target="revisionLog246.xml"/><Relationship Id="rId292" Type="http://schemas.openxmlformats.org/officeDocument/2006/relationships/revisionLog" Target="revisionLog288.xml"/><Relationship Id="rId306" Type="http://schemas.openxmlformats.org/officeDocument/2006/relationships/revisionLog" Target="revisionLog302.xml"/><Relationship Id="rId45" Type="http://schemas.openxmlformats.org/officeDocument/2006/relationships/revisionLog" Target="revisionLog45.xml"/><Relationship Id="rId87" Type="http://schemas.openxmlformats.org/officeDocument/2006/relationships/revisionLog" Target="revisionLog87.xml"/><Relationship Id="rId110" Type="http://schemas.openxmlformats.org/officeDocument/2006/relationships/revisionLog" Target="revisionLog106.xml"/><Relationship Id="rId152" Type="http://schemas.openxmlformats.org/officeDocument/2006/relationships/revisionLog" Target="revisionLog148.xml"/><Relationship Id="rId194" Type="http://schemas.openxmlformats.org/officeDocument/2006/relationships/revisionLog" Target="revisionLog190.xml"/><Relationship Id="rId208" Type="http://schemas.openxmlformats.org/officeDocument/2006/relationships/revisionLog" Target="revisionLog204.xml"/><Relationship Id="rId240" Type="http://schemas.openxmlformats.org/officeDocument/2006/relationships/revisionLog" Target="revisionLog236.xml"/><Relationship Id="rId261" Type="http://schemas.openxmlformats.org/officeDocument/2006/relationships/revisionLog" Target="revisionLog257.xml"/><Relationship Id="rId14" Type="http://schemas.openxmlformats.org/officeDocument/2006/relationships/revisionLog" Target="revisionLog14.xml"/><Relationship Id="rId35" Type="http://schemas.openxmlformats.org/officeDocument/2006/relationships/revisionLog" Target="revisionLog35.xml"/><Relationship Id="rId56" Type="http://schemas.openxmlformats.org/officeDocument/2006/relationships/revisionLog" Target="revisionLog56.xml"/><Relationship Id="rId77" Type="http://schemas.openxmlformats.org/officeDocument/2006/relationships/revisionLog" Target="revisionLog77.xml"/><Relationship Id="rId100" Type="http://schemas.openxmlformats.org/officeDocument/2006/relationships/revisionLog" Target="revisionLog96.xml"/><Relationship Id="rId282" Type="http://schemas.openxmlformats.org/officeDocument/2006/relationships/revisionLog" Target="revisionLog278.xml"/><Relationship Id="rId317" Type="http://schemas.openxmlformats.org/officeDocument/2006/relationships/revisionLog" Target="revisionLog313.xml"/><Relationship Id="rId338" Type="http://schemas.openxmlformats.org/officeDocument/2006/relationships/revisionLog" Target="revisionLog334.xml"/><Relationship Id="rId8" Type="http://schemas.openxmlformats.org/officeDocument/2006/relationships/revisionLog" Target="revisionLog8.xml"/><Relationship Id="rId98" Type="http://schemas.openxmlformats.org/officeDocument/2006/relationships/revisionLog" Target="revisionLog94.xml"/><Relationship Id="rId121" Type="http://schemas.openxmlformats.org/officeDocument/2006/relationships/revisionLog" Target="revisionLog117.xml"/><Relationship Id="rId142" Type="http://schemas.openxmlformats.org/officeDocument/2006/relationships/revisionLog" Target="revisionLog138.xml"/><Relationship Id="rId163" Type="http://schemas.openxmlformats.org/officeDocument/2006/relationships/revisionLog" Target="revisionLog159.xml"/><Relationship Id="rId184" Type="http://schemas.openxmlformats.org/officeDocument/2006/relationships/revisionLog" Target="revisionLog180.xml"/><Relationship Id="rId219" Type="http://schemas.openxmlformats.org/officeDocument/2006/relationships/revisionLog" Target="revisionLog215.xml"/><Relationship Id="rId230" Type="http://schemas.openxmlformats.org/officeDocument/2006/relationships/revisionLog" Target="revisionLog226.xml"/><Relationship Id="rId251" Type="http://schemas.openxmlformats.org/officeDocument/2006/relationships/revisionLog" Target="revisionLog247.xml"/><Relationship Id="rId25" Type="http://schemas.openxmlformats.org/officeDocument/2006/relationships/revisionLog" Target="revisionLog25.xml"/><Relationship Id="rId46" Type="http://schemas.openxmlformats.org/officeDocument/2006/relationships/revisionLog" Target="revisionLog46.xml"/><Relationship Id="rId67" Type="http://schemas.openxmlformats.org/officeDocument/2006/relationships/revisionLog" Target="revisionLog67.xml"/><Relationship Id="rId272" Type="http://schemas.openxmlformats.org/officeDocument/2006/relationships/revisionLog" Target="revisionLog268.xml"/><Relationship Id="rId293" Type="http://schemas.openxmlformats.org/officeDocument/2006/relationships/revisionLog" Target="revisionLog289.xml"/><Relationship Id="rId307" Type="http://schemas.openxmlformats.org/officeDocument/2006/relationships/revisionLog" Target="revisionLog303.xml"/><Relationship Id="rId328" Type="http://schemas.openxmlformats.org/officeDocument/2006/relationships/revisionLog" Target="revisionLog324.xml"/><Relationship Id="rId88" Type="http://schemas.openxmlformats.org/officeDocument/2006/relationships/revisionLog" Target="revisionLog88.xml"/><Relationship Id="rId111" Type="http://schemas.openxmlformats.org/officeDocument/2006/relationships/revisionLog" Target="revisionLog107.xml"/><Relationship Id="rId132" Type="http://schemas.openxmlformats.org/officeDocument/2006/relationships/revisionLog" Target="revisionLog128.xml"/><Relationship Id="rId153" Type="http://schemas.openxmlformats.org/officeDocument/2006/relationships/revisionLog" Target="revisionLog149.xml"/><Relationship Id="rId174" Type="http://schemas.openxmlformats.org/officeDocument/2006/relationships/revisionLog" Target="revisionLog170.xml"/><Relationship Id="rId195" Type="http://schemas.openxmlformats.org/officeDocument/2006/relationships/revisionLog" Target="revisionLog191.xml"/><Relationship Id="rId209" Type="http://schemas.openxmlformats.org/officeDocument/2006/relationships/revisionLog" Target="revisionLog205.xml"/><Relationship Id="rId220" Type="http://schemas.openxmlformats.org/officeDocument/2006/relationships/revisionLog" Target="revisionLog216.xml"/><Relationship Id="rId241" Type="http://schemas.openxmlformats.org/officeDocument/2006/relationships/revisionLog" Target="revisionLog237.xml"/><Relationship Id="rId15" Type="http://schemas.openxmlformats.org/officeDocument/2006/relationships/revisionLog" Target="revisionLog15.xml"/><Relationship Id="rId36" Type="http://schemas.openxmlformats.org/officeDocument/2006/relationships/revisionLog" Target="revisionLog36.xml"/><Relationship Id="rId57" Type="http://schemas.openxmlformats.org/officeDocument/2006/relationships/revisionLog" Target="revisionLog57.xml"/><Relationship Id="rId262" Type="http://schemas.openxmlformats.org/officeDocument/2006/relationships/revisionLog" Target="revisionLog258.xml"/><Relationship Id="rId283" Type="http://schemas.openxmlformats.org/officeDocument/2006/relationships/revisionLog" Target="revisionLog279.xml"/><Relationship Id="rId318" Type="http://schemas.openxmlformats.org/officeDocument/2006/relationships/revisionLog" Target="revisionLog314.xml"/><Relationship Id="rId339" Type="http://schemas.openxmlformats.org/officeDocument/2006/relationships/revisionLog" Target="revisionLog335.xml"/><Relationship Id="rId78" Type="http://schemas.openxmlformats.org/officeDocument/2006/relationships/revisionLog" Target="revisionLog78.xml"/><Relationship Id="rId99" Type="http://schemas.openxmlformats.org/officeDocument/2006/relationships/revisionLog" Target="revisionLog95.xml"/><Relationship Id="rId101" Type="http://schemas.openxmlformats.org/officeDocument/2006/relationships/revisionLog" Target="revisionLog97.xml"/><Relationship Id="rId122" Type="http://schemas.openxmlformats.org/officeDocument/2006/relationships/revisionLog" Target="revisionLog118.xml"/><Relationship Id="rId143" Type="http://schemas.openxmlformats.org/officeDocument/2006/relationships/revisionLog" Target="revisionLog139.xml"/><Relationship Id="rId164" Type="http://schemas.openxmlformats.org/officeDocument/2006/relationships/revisionLog" Target="revisionLog160.xml"/><Relationship Id="rId185" Type="http://schemas.openxmlformats.org/officeDocument/2006/relationships/revisionLog" Target="revisionLog181.xml"/><Relationship Id="rId9" Type="http://schemas.openxmlformats.org/officeDocument/2006/relationships/revisionLog" Target="revisionLog9.xml"/><Relationship Id="rId210" Type="http://schemas.openxmlformats.org/officeDocument/2006/relationships/revisionLog" Target="revisionLog206.xml"/><Relationship Id="rId26" Type="http://schemas.openxmlformats.org/officeDocument/2006/relationships/revisionLog" Target="revisionLog26.xml"/><Relationship Id="rId231" Type="http://schemas.openxmlformats.org/officeDocument/2006/relationships/revisionLog" Target="revisionLog227.xml"/><Relationship Id="rId252" Type="http://schemas.openxmlformats.org/officeDocument/2006/relationships/revisionLog" Target="revisionLog248.xml"/><Relationship Id="rId273" Type="http://schemas.openxmlformats.org/officeDocument/2006/relationships/revisionLog" Target="revisionLog269.xml"/><Relationship Id="rId294" Type="http://schemas.openxmlformats.org/officeDocument/2006/relationships/revisionLog" Target="revisionLog290.xml"/><Relationship Id="rId308" Type="http://schemas.openxmlformats.org/officeDocument/2006/relationships/revisionLog" Target="revisionLog304.xml"/><Relationship Id="rId329" Type="http://schemas.openxmlformats.org/officeDocument/2006/relationships/revisionLog" Target="revisionLog325.xml"/><Relationship Id="rId47" Type="http://schemas.openxmlformats.org/officeDocument/2006/relationships/revisionLog" Target="revisionLog47.xml"/><Relationship Id="rId68" Type="http://schemas.openxmlformats.org/officeDocument/2006/relationships/revisionLog" Target="revisionLog68.xml"/><Relationship Id="rId89" Type="http://schemas.openxmlformats.org/officeDocument/2006/relationships/revisionLog" Target="revisionLog89.xml"/><Relationship Id="rId112" Type="http://schemas.openxmlformats.org/officeDocument/2006/relationships/revisionLog" Target="revisionLog108.xml"/><Relationship Id="rId133" Type="http://schemas.openxmlformats.org/officeDocument/2006/relationships/revisionLog" Target="revisionLog129.xml"/><Relationship Id="rId154" Type="http://schemas.openxmlformats.org/officeDocument/2006/relationships/revisionLog" Target="revisionLog150.xml"/><Relationship Id="rId175" Type="http://schemas.openxmlformats.org/officeDocument/2006/relationships/revisionLog" Target="revisionLog171.xml"/><Relationship Id="rId340" Type="http://schemas.openxmlformats.org/officeDocument/2006/relationships/revisionLog" Target="revisionLog336.xml"/><Relationship Id="rId196" Type="http://schemas.openxmlformats.org/officeDocument/2006/relationships/revisionLog" Target="revisionLog192.xml"/><Relationship Id="rId200" Type="http://schemas.openxmlformats.org/officeDocument/2006/relationships/revisionLog" Target="revisionLog196.xml"/><Relationship Id="rId16" Type="http://schemas.openxmlformats.org/officeDocument/2006/relationships/revisionLog" Target="revisionLog16.xml"/><Relationship Id="rId221" Type="http://schemas.openxmlformats.org/officeDocument/2006/relationships/revisionLog" Target="revisionLog217.xml"/><Relationship Id="rId242" Type="http://schemas.openxmlformats.org/officeDocument/2006/relationships/revisionLog" Target="revisionLog238.xml"/><Relationship Id="rId263" Type="http://schemas.openxmlformats.org/officeDocument/2006/relationships/revisionLog" Target="revisionLog259.xml"/><Relationship Id="rId284" Type="http://schemas.openxmlformats.org/officeDocument/2006/relationships/revisionLog" Target="revisionLog280.xml"/><Relationship Id="rId319" Type="http://schemas.openxmlformats.org/officeDocument/2006/relationships/revisionLog" Target="revisionLog315.xml"/><Relationship Id="rId37" Type="http://schemas.openxmlformats.org/officeDocument/2006/relationships/revisionLog" Target="revisionLog37.xml"/><Relationship Id="rId58" Type="http://schemas.openxmlformats.org/officeDocument/2006/relationships/revisionLog" Target="revisionLog58.xml"/><Relationship Id="rId79" Type="http://schemas.openxmlformats.org/officeDocument/2006/relationships/revisionLog" Target="revisionLog79.xml"/><Relationship Id="rId102" Type="http://schemas.openxmlformats.org/officeDocument/2006/relationships/revisionLog" Target="revisionLog98.xml"/><Relationship Id="rId123" Type="http://schemas.openxmlformats.org/officeDocument/2006/relationships/revisionLog" Target="revisionLog119.xml"/><Relationship Id="rId144" Type="http://schemas.openxmlformats.org/officeDocument/2006/relationships/revisionLog" Target="revisionLog140.xml"/><Relationship Id="rId330" Type="http://schemas.openxmlformats.org/officeDocument/2006/relationships/revisionLog" Target="revisionLog326.xml"/><Relationship Id="rId90" Type="http://schemas.openxmlformats.org/officeDocument/2006/relationships/revisionLog" Target="revisionLog90.xml"/><Relationship Id="rId165" Type="http://schemas.openxmlformats.org/officeDocument/2006/relationships/revisionLog" Target="revisionLog161.xml"/><Relationship Id="rId186" Type="http://schemas.openxmlformats.org/officeDocument/2006/relationships/revisionLog" Target="revisionLog182.xml"/><Relationship Id="rId211" Type="http://schemas.openxmlformats.org/officeDocument/2006/relationships/revisionLog" Target="revisionLog207.xml"/><Relationship Id="rId232" Type="http://schemas.openxmlformats.org/officeDocument/2006/relationships/revisionLog" Target="revisionLog228.xml"/><Relationship Id="rId253" Type="http://schemas.openxmlformats.org/officeDocument/2006/relationships/revisionLog" Target="revisionLog249.xml"/><Relationship Id="rId274" Type="http://schemas.openxmlformats.org/officeDocument/2006/relationships/revisionLog" Target="revisionLog270.xml"/><Relationship Id="rId295" Type="http://schemas.openxmlformats.org/officeDocument/2006/relationships/revisionLog" Target="revisionLog291.xml"/><Relationship Id="rId309" Type="http://schemas.openxmlformats.org/officeDocument/2006/relationships/revisionLog" Target="revisionLog305.xml"/><Relationship Id="rId27" Type="http://schemas.openxmlformats.org/officeDocument/2006/relationships/revisionLog" Target="revisionLog27.xml"/><Relationship Id="rId48" Type="http://schemas.openxmlformats.org/officeDocument/2006/relationships/revisionLog" Target="revisionLog48.xml"/><Relationship Id="rId69" Type="http://schemas.openxmlformats.org/officeDocument/2006/relationships/revisionLog" Target="revisionLog69.xml"/><Relationship Id="rId113" Type="http://schemas.openxmlformats.org/officeDocument/2006/relationships/revisionLog" Target="revisionLog109.xml"/><Relationship Id="rId134" Type="http://schemas.openxmlformats.org/officeDocument/2006/relationships/revisionLog" Target="revisionLog130.xml"/><Relationship Id="rId320" Type="http://schemas.openxmlformats.org/officeDocument/2006/relationships/revisionLog" Target="revisionLog316.xml"/><Relationship Id="rId80" Type="http://schemas.openxmlformats.org/officeDocument/2006/relationships/revisionLog" Target="revisionLog80.xml"/><Relationship Id="rId155" Type="http://schemas.openxmlformats.org/officeDocument/2006/relationships/revisionLog" Target="revisionLog151.xml"/><Relationship Id="rId176" Type="http://schemas.openxmlformats.org/officeDocument/2006/relationships/revisionLog" Target="revisionLog172.xml"/><Relationship Id="rId197" Type="http://schemas.openxmlformats.org/officeDocument/2006/relationships/revisionLog" Target="revisionLog193.xml"/><Relationship Id="rId341" Type="http://schemas.openxmlformats.org/officeDocument/2006/relationships/revisionLog" Target="revisionLog337.xml"/><Relationship Id="rId201" Type="http://schemas.openxmlformats.org/officeDocument/2006/relationships/revisionLog" Target="revisionLog197.xml"/><Relationship Id="rId222" Type="http://schemas.openxmlformats.org/officeDocument/2006/relationships/revisionLog" Target="revisionLog218.xml"/><Relationship Id="rId243" Type="http://schemas.openxmlformats.org/officeDocument/2006/relationships/revisionLog" Target="revisionLog239.xml"/><Relationship Id="rId264" Type="http://schemas.openxmlformats.org/officeDocument/2006/relationships/revisionLog" Target="revisionLog260.xml"/><Relationship Id="rId285" Type="http://schemas.openxmlformats.org/officeDocument/2006/relationships/revisionLog" Target="revisionLog281.xml"/><Relationship Id="rId17" Type="http://schemas.openxmlformats.org/officeDocument/2006/relationships/revisionLog" Target="revisionLog17.xml"/><Relationship Id="rId38" Type="http://schemas.openxmlformats.org/officeDocument/2006/relationships/revisionLog" Target="revisionLog38.xml"/><Relationship Id="rId59" Type="http://schemas.openxmlformats.org/officeDocument/2006/relationships/revisionLog" Target="revisionLog59.xml"/><Relationship Id="rId103" Type="http://schemas.openxmlformats.org/officeDocument/2006/relationships/revisionLog" Target="revisionLog99.xml"/><Relationship Id="rId124" Type="http://schemas.openxmlformats.org/officeDocument/2006/relationships/revisionLog" Target="revisionLog120.xml"/><Relationship Id="rId310" Type="http://schemas.openxmlformats.org/officeDocument/2006/relationships/revisionLog" Target="revisionLog306.xml"/><Relationship Id="rId70" Type="http://schemas.openxmlformats.org/officeDocument/2006/relationships/revisionLog" Target="revisionLog70.xml"/><Relationship Id="rId91" Type="http://schemas.openxmlformats.org/officeDocument/2006/relationships/revisionLog" Target="revisionLog91.xml"/><Relationship Id="rId145" Type="http://schemas.openxmlformats.org/officeDocument/2006/relationships/revisionLog" Target="revisionLog141.xml"/><Relationship Id="rId166" Type="http://schemas.openxmlformats.org/officeDocument/2006/relationships/revisionLog" Target="revisionLog162.xml"/><Relationship Id="rId187" Type="http://schemas.openxmlformats.org/officeDocument/2006/relationships/revisionLog" Target="revisionLog183.xml"/><Relationship Id="rId331" Type="http://schemas.openxmlformats.org/officeDocument/2006/relationships/revisionLog" Target="revisionLog327.xml"/><Relationship Id="rId212" Type="http://schemas.openxmlformats.org/officeDocument/2006/relationships/revisionLog" Target="revisionLog208.xml"/><Relationship Id="rId233" Type="http://schemas.openxmlformats.org/officeDocument/2006/relationships/revisionLog" Target="revisionLog229.xml"/><Relationship Id="rId254" Type="http://schemas.openxmlformats.org/officeDocument/2006/relationships/revisionLog" Target="revisionLog250.xml"/><Relationship Id="rId28" Type="http://schemas.openxmlformats.org/officeDocument/2006/relationships/revisionLog" Target="revisionLog28.xml"/><Relationship Id="rId49" Type="http://schemas.openxmlformats.org/officeDocument/2006/relationships/revisionLog" Target="revisionLog49.xml"/><Relationship Id="rId114" Type="http://schemas.openxmlformats.org/officeDocument/2006/relationships/revisionLog" Target="revisionLog110.xml"/><Relationship Id="rId275" Type="http://schemas.openxmlformats.org/officeDocument/2006/relationships/revisionLog" Target="revisionLog271.xml"/><Relationship Id="rId296" Type="http://schemas.openxmlformats.org/officeDocument/2006/relationships/revisionLog" Target="revisionLog292.xml"/><Relationship Id="rId300" Type="http://schemas.openxmlformats.org/officeDocument/2006/relationships/revisionLog" Target="revisionLog296.xml"/><Relationship Id="rId60" Type="http://schemas.openxmlformats.org/officeDocument/2006/relationships/revisionLog" Target="revisionLog60.xml"/><Relationship Id="rId81" Type="http://schemas.openxmlformats.org/officeDocument/2006/relationships/revisionLog" Target="revisionLog81.xml"/><Relationship Id="rId135" Type="http://schemas.openxmlformats.org/officeDocument/2006/relationships/revisionLog" Target="revisionLog131.xml"/><Relationship Id="rId156" Type="http://schemas.openxmlformats.org/officeDocument/2006/relationships/revisionLog" Target="revisionLog152.xml"/><Relationship Id="rId177" Type="http://schemas.openxmlformats.org/officeDocument/2006/relationships/revisionLog" Target="revisionLog173.xml"/><Relationship Id="rId198" Type="http://schemas.openxmlformats.org/officeDocument/2006/relationships/revisionLog" Target="revisionLog194.xml"/><Relationship Id="rId321" Type="http://schemas.openxmlformats.org/officeDocument/2006/relationships/revisionLog" Target="revisionLog317.xml"/><Relationship Id="rId342" Type="http://schemas.openxmlformats.org/officeDocument/2006/relationships/revisionLog" Target="revisionLog338.xml"/><Relationship Id="rId202" Type="http://schemas.openxmlformats.org/officeDocument/2006/relationships/revisionLog" Target="revisionLog198.xml"/><Relationship Id="rId223" Type="http://schemas.openxmlformats.org/officeDocument/2006/relationships/revisionLog" Target="revisionLog219.xml"/><Relationship Id="rId244" Type="http://schemas.openxmlformats.org/officeDocument/2006/relationships/revisionLog" Target="revisionLog240.xml"/><Relationship Id="rId18" Type="http://schemas.openxmlformats.org/officeDocument/2006/relationships/revisionLog" Target="revisionLog18.xml"/><Relationship Id="rId39" Type="http://schemas.openxmlformats.org/officeDocument/2006/relationships/revisionLog" Target="revisionLog39.xml"/><Relationship Id="rId265" Type="http://schemas.openxmlformats.org/officeDocument/2006/relationships/revisionLog" Target="revisionLog261.xml"/><Relationship Id="rId286" Type="http://schemas.openxmlformats.org/officeDocument/2006/relationships/revisionLog" Target="revisionLog282.xml"/><Relationship Id="rId50" Type="http://schemas.openxmlformats.org/officeDocument/2006/relationships/revisionLog" Target="revisionLog50.xml"/><Relationship Id="rId104" Type="http://schemas.openxmlformats.org/officeDocument/2006/relationships/revisionLog" Target="revisionLog100.xml"/><Relationship Id="rId125" Type="http://schemas.openxmlformats.org/officeDocument/2006/relationships/revisionLog" Target="revisionLog121.xml"/><Relationship Id="rId146" Type="http://schemas.openxmlformats.org/officeDocument/2006/relationships/revisionLog" Target="revisionLog142.xml"/><Relationship Id="rId167" Type="http://schemas.openxmlformats.org/officeDocument/2006/relationships/revisionLog" Target="revisionLog163.xml"/><Relationship Id="rId188" Type="http://schemas.openxmlformats.org/officeDocument/2006/relationships/revisionLog" Target="revisionLog184.xml"/><Relationship Id="rId311" Type="http://schemas.openxmlformats.org/officeDocument/2006/relationships/revisionLog" Target="revisionLog307.xml"/><Relationship Id="rId332" Type="http://schemas.openxmlformats.org/officeDocument/2006/relationships/revisionLog" Target="revisionLog328.xml"/><Relationship Id="rId71" Type="http://schemas.openxmlformats.org/officeDocument/2006/relationships/revisionLog" Target="revisionLog71.xml"/><Relationship Id="rId92" Type="http://schemas.openxmlformats.org/officeDocument/2006/relationships/revisionLog" Target="revisionLog1.xml"/><Relationship Id="rId213" Type="http://schemas.openxmlformats.org/officeDocument/2006/relationships/revisionLog" Target="revisionLog209.xml"/><Relationship Id="rId234" Type="http://schemas.openxmlformats.org/officeDocument/2006/relationships/revisionLog" Target="revisionLog230.xml"/><Relationship Id="rId29" Type="http://schemas.openxmlformats.org/officeDocument/2006/relationships/revisionLog" Target="revisionLog29.xml"/><Relationship Id="rId255" Type="http://schemas.openxmlformats.org/officeDocument/2006/relationships/revisionLog" Target="revisionLog251.xml"/><Relationship Id="rId276" Type="http://schemas.openxmlformats.org/officeDocument/2006/relationships/revisionLog" Target="revisionLog272.xml"/><Relationship Id="rId297" Type="http://schemas.openxmlformats.org/officeDocument/2006/relationships/revisionLog" Target="revisionLog293.xml"/><Relationship Id="rId40" Type="http://schemas.openxmlformats.org/officeDocument/2006/relationships/revisionLog" Target="revisionLog40.xml"/><Relationship Id="rId115" Type="http://schemas.openxmlformats.org/officeDocument/2006/relationships/revisionLog" Target="revisionLog111.xml"/><Relationship Id="rId136" Type="http://schemas.openxmlformats.org/officeDocument/2006/relationships/revisionLog" Target="revisionLog132.xml"/><Relationship Id="rId157" Type="http://schemas.openxmlformats.org/officeDocument/2006/relationships/revisionLog" Target="revisionLog153.xml"/><Relationship Id="rId178" Type="http://schemas.openxmlformats.org/officeDocument/2006/relationships/revisionLog" Target="revisionLog174.xml"/><Relationship Id="rId301" Type="http://schemas.openxmlformats.org/officeDocument/2006/relationships/revisionLog" Target="revisionLog297.xml"/><Relationship Id="rId322" Type="http://schemas.openxmlformats.org/officeDocument/2006/relationships/revisionLog" Target="revisionLog318.xml"/><Relationship Id="rId343" Type="http://schemas.openxmlformats.org/officeDocument/2006/relationships/revisionLog" Target="revisionLog339.xml"/><Relationship Id="rId61" Type="http://schemas.openxmlformats.org/officeDocument/2006/relationships/revisionLog" Target="revisionLog61.xml"/><Relationship Id="rId82" Type="http://schemas.openxmlformats.org/officeDocument/2006/relationships/revisionLog" Target="revisionLog82.xml"/><Relationship Id="rId199" Type="http://schemas.openxmlformats.org/officeDocument/2006/relationships/revisionLog" Target="revisionLog195.xml"/><Relationship Id="rId203" Type="http://schemas.openxmlformats.org/officeDocument/2006/relationships/revisionLog" Target="revisionLog199.xml"/><Relationship Id="rId19" Type="http://schemas.openxmlformats.org/officeDocument/2006/relationships/revisionLog" Target="revisionLog19.xml"/><Relationship Id="rId224" Type="http://schemas.openxmlformats.org/officeDocument/2006/relationships/revisionLog" Target="revisionLog220.xml"/><Relationship Id="rId245" Type="http://schemas.openxmlformats.org/officeDocument/2006/relationships/revisionLog" Target="revisionLog241.xml"/><Relationship Id="rId266" Type="http://schemas.openxmlformats.org/officeDocument/2006/relationships/revisionLog" Target="revisionLog262.xml"/><Relationship Id="rId287" Type="http://schemas.openxmlformats.org/officeDocument/2006/relationships/revisionLog" Target="revisionLog283.xml"/><Relationship Id="rId30" Type="http://schemas.openxmlformats.org/officeDocument/2006/relationships/revisionLog" Target="revisionLog30.xml"/><Relationship Id="rId105" Type="http://schemas.openxmlformats.org/officeDocument/2006/relationships/revisionLog" Target="revisionLog101.xml"/><Relationship Id="rId126" Type="http://schemas.openxmlformats.org/officeDocument/2006/relationships/revisionLog" Target="revisionLog122.xml"/><Relationship Id="rId147" Type="http://schemas.openxmlformats.org/officeDocument/2006/relationships/revisionLog" Target="revisionLog143.xml"/><Relationship Id="rId168" Type="http://schemas.openxmlformats.org/officeDocument/2006/relationships/revisionLog" Target="revisionLog164.xml"/><Relationship Id="rId312" Type="http://schemas.openxmlformats.org/officeDocument/2006/relationships/revisionLog" Target="revisionLog308.xml"/><Relationship Id="rId333" Type="http://schemas.openxmlformats.org/officeDocument/2006/relationships/revisionLog" Target="revisionLog329.xml"/><Relationship Id="rId51" Type="http://schemas.openxmlformats.org/officeDocument/2006/relationships/revisionLog" Target="revisionLog51.xml"/><Relationship Id="rId72" Type="http://schemas.openxmlformats.org/officeDocument/2006/relationships/revisionLog" Target="revisionLog72.xml"/><Relationship Id="rId93" Type="http://schemas.openxmlformats.org/officeDocument/2006/relationships/revisionLog" Target="revisionLog2.xml"/><Relationship Id="rId189" Type="http://schemas.openxmlformats.org/officeDocument/2006/relationships/revisionLog" Target="revisionLog185.xml"/><Relationship Id="rId214" Type="http://schemas.openxmlformats.org/officeDocument/2006/relationships/revisionLog" Target="revisionLog210.xml"/><Relationship Id="rId235" Type="http://schemas.openxmlformats.org/officeDocument/2006/relationships/revisionLog" Target="revisionLog231.xml"/><Relationship Id="rId256" Type="http://schemas.openxmlformats.org/officeDocument/2006/relationships/revisionLog" Target="revisionLog252.xml"/><Relationship Id="rId277" Type="http://schemas.openxmlformats.org/officeDocument/2006/relationships/revisionLog" Target="revisionLog273.xml"/><Relationship Id="rId298" Type="http://schemas.openxmlformats.org/officeDocument/2006/relationships/revisionLog" Target="revisionLog294.xml"/><Relationship Id="rId116" Type="http://schemas.openxmlformats.org/officeDocument/2006/relationships/revisionLog" Target="revisionLog112.xml"/><Relationship Id="rId137" Type="http://schemas.openxmlformats.org/officeDocument/2006/relationships/revisionLog" Target="revisionLog133.xml"/><Relationship Id="rId158" Type="http://schemas.openxmlformats.org/officeDocument/2006/relationships/revisionLog" Target="revisionLog154.xml"/><Relationship Id="rId302" Type="http://schemas.openxmlformats.org/officeDocument/2006/relationships/revisionLog" Target="revisionLog298.xml"/><Relationship Id="rId323" Type="http://schemas.openxmlformats.org/officeDocument/2006/relationships/revisionLog" Target="revisionLog319.xml"/><Relationship Id="rId344" Type="http://schemas.openxmlformats.org/officeDocument/2006/relationships/revisionLog" Target="revisionLog340.xml"/><Relationship Id="rId20" Type="http://schemas.openxmlformats.org/officeDocument/2006/relationships/revisionLog" Target="revisionLog20.xml"/><Relationship Id="rId41" Type="http://schemas.openxmlformats.org/officeDocument/2006/relationships/revisionLog" Target="revisionLog41.xml"/><Relationship Id="rId62" Type="http://schemas.openxmlformats.org/officeDocument/2006/relationships/revisionLog" Target="revisionLog62.xml"/><Relationship Id="rId83" Type="http://schemas.openxmlformats.org/officeDocument/2006/relationships/revisionLog" Target="revisionLog83.xml"/><Relationship Id="rId179" Type="http://schemas.openxmlformats.org/officeDocument/2006/relationships/revisionLog" Target="revisionLog175.xml"/><Relationship Id="rId190" Type="http://schemas.openxmlformats.org/officeDocument/2006/relationships/revisionLog" Target="revisionLog186.xml"/><Relationship Id="rId204" Type="http://schemas.openxmlformats.org/officeDocument/2006/relationships/revisionLog" Target="revisionLog200.xml"/><Relationship Id="rId225" Type="http://schemas.openxmlformats.org/officeDocument/2006/relationships/revisionLog" Target="revisionLog221.xml"/><Relationship Id="rId246" Type="http://schemas.openxmlformats.org/officeDocument/2006/relationships/revisionLog" Target="revisionLog242.xml"/><Relationship Id="rId267" Type="http://schemas.openxmlformats.org/officeDocument/2006/relationships/revisionLog" Target="revisionLog263.xml"/><Relationship Id="rId288" Type="http://schemas.openxmlformats.org/officeDocument/2006/relationships/revisionLog" Target="revisionLog284.xml"/><Relationship Id="rId106" Type="http://schemas.openxmlformats.org/officeDocument/2006/relationships/revisionLog" Target="revisionLog102.xml"/><Relationship Id="rId127" Type="http://schemas.openxmlformats.org/officeDocument/2006/relationships/revisionLog" Target="revisionLog123.xml"/><Relationship Id="rId313" Type="http://schemas.openxmlformats.org/officeDocument/2006/relationships/revisionLog" Target="revisionLog309.xml"/><Relationship Id="rId10" Type="http://schemas.openxmlformats.org/officeDocument/2006/relationships/revisionLog" Target="revisionLog10.xml"/><Relationship Id="rId31" Type="http://schemas.openxmlformats.org/officeDocument/2006/relationships/revisionLog" Target="revisionLog31.xml"/><Relationship Id="rId52" Type="http://schemas.openxmlformats.org/officeDocument/2006/relationships/revisionLog" Target="revisionLog52.xml"/><Relationship Id="rId73" Type="http://schemas.openxmlformats.org/officeDocument/2006/relationships/revisionLog" Target="revisionLog73.xml"/><Relationship Id="rId94" Type="http://schemas.openxmlformats.org/officeDocument/2006/relationships/revisionLog" Target="revisionLog3.xml"/><Relationship Id="rId148" Type="http://schemas.openxmlformats.org/officeDocument/2006/relationships/revisionLog" Target="revisionLog144.xml"/><Relationship Id="rId169" Type="http://schemas.openxmlformats.org/officeDocument/2006/relationships/revisionLog" Target="revisionLog165.xml"/><Relationship Id="rId334" Type="http://schemas.openxmlformats.org/officeDocument/2006/relationships/revisionLog" Target="revisionLog330.xml"/><Relationship Id="rId180" Type="http://schemas.openxmlformats.org/officeDocument/2006/relationships/revisionLog" Target="revisionLog176.xml"/><Relationship Id="rId215" Type="http://schemas.openxmlformats.org/officeDocument/2006/relationships/revisionLog" Target="revisionLog211.xml"/><Relationship Id="rId236" Type="http://schemas.openxmlformats.org/officeDocument/2006/relationships/revisionLog" Target="revisionLog232.xml"/><Relationship Id="rId257" Type="http://schemas.openxmlformats.org/officeDocument/2006/relationships/revisionLog" Target="revisionLog253.xml"/><Relationship Id="rId278" Type="http://schemas.openxmlformats.org/officeDocument/2006/relationships/revisionLog" Target="revisionLog274.xml"/><Relationship Id="rId303" Type="http://schemas.openxmlformats.org/officeDocument/2006/relationships/revisionLog" Target="revisionLog299.xml"/><Relationship Id="rId42" Type="http://schemas.openxmlformats.org/officeDocument/2006/relationships/revisionLog" Target="revisionLog42.xml"/><Relationship Id="rId84" Type="http://schemas.openxmlformats.org/officeDocument/2006/relationships/revisionLog" Target="revisionLog84.xml"/><Relationship Id="rId138" Type="http://schemas.openxmlformats.org/officeDocument/2006/relationships/revisionLog" Target="revisionLog134.xml"/><Relationship Id="rId345" Type="http://schemas.openxmlformats.org/officeDocument/2006/relationships/revisionLog" Target="revisionLog341.xml"/><Relationship Id="rId191" Type="http://schemas.openxmlformats.org/officeDocument/2006/relationships/revisionLog" Target="revisionLog187.xml"/><Relationship Id="rId205" Type="http://schemas.openxmlformats.org/officeDocument/2006/relationships/revisionLog" Target="revisionLog201.xml"/><Relationship Id="rId247" Type="http://schemas.openxmlformats.org/officeDocument/2006/relationships/revisionLog" Target="revisionLog243.xml"/><Relationship Id="rId107" Type="http://schemas.openxmlformats.org/officeDocument/2006/relationships/revisionLog" Target="revisionLog103.xml"/><Relationship Id="rId289" Type="http://schemas.openxmlformats.org/officeDocument/2006/relationships/revisionLog" Target="revisionLog285.xml"/><Relationship Id="rId11" Type="http://schemas.openxmlformats.org/officeDocument/2006/relationships/revisionLog" Target="revisionLog11.xml"/><Relationship Id="rId53" Type="http://schemas.openxmlformats.org/officeDocument/2006/relationships/revisionLog" Target="revisionLog53.xml"/><Relationship Id="rId149" Type="http://schemas.openxmlformats.org/officeDocument/2006/relationships/revisionLog" Target="revisionLog145.xml"/><Relationship Id="rId314" Type="http://schemas.openxmlformats.org/officeDocument/2006/relationships/revisionLog" Target="revisionLog310.xml"/><Relationship Id="rId95" Type="http://schemas.openxmlformats.org/officeDocument/2006/relationships/revisionLog" Target="revisionLog4.xml"/><Relationship Id="rId160" Type="http://schemas.openxmlformats.org/officeDocument/2006/relationships/revisionLog" Target="revisionLog156.xml"/><Relationship Id="rId216" Type="http://schemas.openxmlformats.org/officeDocument/2006/relationships/revisionLog" Target="revisionLog212.xml"/><Relationship Id="rId258" Type="http://schemas.openxmlformats.org/officeDocument/2006/relationships/revisionLog" Target="revisionLog254.xml"/><Relationship Id="rId22" Type="http://schemas.openxmlformats.org/officeDocument/2006/relationships/revisionLog" Target="revisionLog22.xml"/><Relationship Id="rId64" Type="http://schemas.openxmlformats.org/officeDocument/2006/relationships/revisionLog" Target="revisionLog64.xml"/><Relationship Id="rId118" Type="http://schemas.openxmlformats.org/officeDocument/2006/relationships/revisionLog" Target="revisionLog114.xml"/><Relationship Id="rId325" Type="http://schemas.openxmlformats.org/officeDocument/2006/relationships/revisionLog" Target="revisionLog321.xml"/><Relationship Id="rId171" Type="http://schemas.openxmlformats.org/officeDocument/2006/relationships/revisionLog" Target="revisionLog167.xml"/><Relationship Id="rId227" Type="http://schemas.openxmlformats.org/officeDocument/2006/relationships/revisionLog" Target="revisionLog223.xml"/><Relationship Id="rId269" Type="http://schemas.openxmlformats.org/officeDocument/2006/relationships/revisionLog" Target="revisionLog265.xml"/><Relationship Id="rId33" Type="http://schemas.openxmlformats.org/officeDocument/2006/relationships/revisionLog" Target="revisionLog33.xml"/><Relationship Id="rId129" Type="http://schemas.openxmlformats.org/officeDocument/2006/relationships/revisionLog" Target="revisionLog125.xml"/><Relationship Id="rId280" Type="http://schemas.openxmlformats.org/officeDocument/2006/relationships/revisionLog" Target="revisionLog276.xml"/><Relationship Id="rId336" Type="http://schemas.openxmlformats.org/officeDocument/2006/relationships/revisionLog" Target="revisionLog332.xml"/><Relationship Id="rId75" Type="http://schemas.openxmlformats.org/officeDocument/2006/relationships/revisionLog" Target="revisionLog75.xml"/><Relationship Id="rId140" Type="http://schemas.openxmlformats.org/officeDocument/2006/relationships/revisionLog" Target="revisionLog136.xml"/><Relationship Id="rId182" Type="http://schemas.openxmlformats.org/officeDocument/2006/relationships/revisionLog" Target="revisionLog178.xml"/><Relationship Id="rId6" Type="http://schemas.openxmlformats.org/officeDocument/2006/relationships/revisionLog" Target="revisionLog6.xml"/><Relationship Id="rId238" Type="http://schemas.openxmlformats.org/officeDocument/2006/relationships/revisionLog" Target="revisionLog234.xml"/><Relationship Id="rId291" Type="http://schemas.openxmlformats.org/officeDocument/2006/relationships/revisionLog" Target="revisionLog287.xml"/><Relationship Id="rId305" Type="http://schemas.openxmlformats.org/officeDocument/2006/relationships/revisionLog" Target="revisionLog301.xml"/><Relationship Id="rId44" Type="http://schemas.openxmlformats.org/officeDocument/2006/relationships/revisionLog" Target="revisionLog44.xml"/><Relationship Id="rId86" Type="http://schemas.openxmlformats.org/officeDocument/2006/relationships/revisionLog" Target="revisionLog86.xml"/><Relationship Id="rId151" Type="http://schemas.openxmlformats.org/officeDocument/2006/relationships/revisionLog" Target="revisionLog147.xml"/><Relationship Id="rId193" Type="http://schemas.openxmlformats.org/officeDocument/2006/relationships/revisionLog" Target="revisionLog189.xml"/><Relationship Id="rId207" Type="http://schemas.openxmlformats.org/officeDocument/2006/relationships/revisionLog" Target="revisionLog203.xml"/><Relationship Id="rId249" Type="http://schemas.openxmlformats.org/officeDocument/2006/relationships/revisionLog" Target="revisionLog245.xml"/><Relationship Id="rId13" Type="http://schemas.openxmlformats.org/officeDocument/2006/relationships/revisionLog" Target="revisionLog13.xml"/><Relationship Id="rId109" Type="http://schemas.openxmlformats.org/officeDocument/2006/relationships/revisionLog" Target="revisionLog105.xml"/><Relationship Id="rId260" Type="http://schemas.openxmlformats.org/officeDocument/2006/relationships/revisionLog" Target="revisionLog256.xml"/><Relationship Id="rId316" Type="http://schemas.openxmlformats.org/officeDocument/2006/relationships/revisionLog" Target="revisionLog312.xml"/><Relationship Id="rId55" Type="http://schemas.openxmlformats.org/officeDocument/2006/relationships/revisionLog" Target="revisionLog55.xml"/><Relationship Id="rId97" Type="http://schemas.openxmlformats.org/officeDocument/2006/relationships/revisionLog" Target="revisionLog93.xml"/><Relationship Id="rId120" Type="http://schemas.openxmlformats.org/officeDocument/2006/relationships/revisionLog" Target="revisionLog116.xml"/><Relationship Id="rId162" Type="http://schemas.openxmlformats.org/officeDocument/2006/relationships/revisionLog" Target="revisionLog158.xml"/><Relationship Id="rId218" Type="http://schemas.openxmlformats.org/officeDocument/2006/relationships/revisionLog" Target="revisionLog214.xml"/><Relationship Id="rId271" Type="http://schemas.openxmlformats.org/officeDocument/2006/relationships/revisionLog" Target="revisionLog267.xml"/><Relationship Id="rId24" Type="http://schemas.openxmlformats.org/officeDocument/2006/relationships/revisionLog" Target="revisionLog24.xml"/><Relationship Id="rId66" Type="http://schemas.openxmlformats.org/officeDocument/2006/relationships/revisionLog" Target="revisionLog66.xml"/><Relationship Id="rId131" Type="http://schemas.openxmlformats.org/officeDocument/2006/relationships/revisionLog" Target="revisionLog127.xml"/><Relationship Id="rId327" Type="http://schemas.openxmlformats.org/officeDocument/2006/relationships/revisionLog" Target="revisionLog323.xml"/><Relationship Id="rId173" Type="http://schemas.openxmlformats.org/officeDocument/2006/relationships/revisionLog" Target="revisionLog169.xml"/><Relationship Id="rId229" Type="http://schemas.openxmlformats.org/officeDocument/2006/relationships/revisionLog" Target="revisionLog225.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1DB08FBF-1C5B-49E9-8CE2-09F3CDB2D047}" diskRevisions="1" revisionId="5159" version="346">
  <header guid="{27A45547-FEAE-47C5-B253-9C172F95AE1E}" dateTime="2026-01-08T12:27:00" maxSheetId="4" userName="Ronald Pinto" r:id="rId5" minRId="41" maxRId="45">
    <sheetIdMap count="3">
      <sheetId val="1"/>
      <sheetId val="2"/>
      <sheetId val="3"/>
    </sheetIdMap>
  </header>
  <header guid="{E77887D2-8709-42FB-B662-DC2DFA2C6E87}" dateTime="2026-01-09T13:36:19" maxSheetId="4" userName="Ronald Pinto" r:id="rId6">
    <sheetIdMap count="3">
      <sheetId val="1"/>
      <sheetId val="2"/>
      <sheetId val="3"/>
    </sheetIdMap>
  </header>
  <header guid="{84450BE5-3673-45AF-A225-58B0CFB41F48}" dateTime="2026-01-09T13:46:40" maxSheetId="4" userName="Ronald Pinto" r:id="rId7" minRId="50" maxRId="87">
    <sheetIdMap count="3">
      <sheetId val="1"/>
      <sheetId val="2"/>
      <sheetId val="3"/>
    </sheetIdMap>
  </header>
  <header guid="{8F80EAF7-57D4-4AFE-B594-8F4F97CC03CC}" dateTime="2026-01-09T13:58:10" maxSheetId="4" userName="Ronald Pinto" r:id="rId8" minRId="89" maxRId="102">
    <sheetIdMap count="3">
      <sheetId val="1"/>
      <sheetId val="2"/>
      <sheetId val="3"/>
    </sheetIdMap>
  </header>
  <header guid="{52AE0D42-77A9-430C-B55B-9396CADD3966}" dateTime="2026-01-09T14:02:50" maxSheetId="4" userName="Ronald Pinto" r:id="rId9" minRId="104" maxRId="128">
    <sheetIdMap count="3">
      <sheetId val="1"/>
      <sheetId val="2"/>
      <sheetId val="3"/>
    </sheetIdMap>
  </header>
  <header guid="{1BCC5DEB-6047-4D83-B6DA-C091E4EBC705}" dateTime="2026-01-12T09:51:27" maxSheetId="4" userName="Ronald Pinto" r:id="rId10" minRId="130" maxRId="268">
    <sheetIdMap count="3">
      <sheetId val="1"/>
      <sheetId val="2"/>
      <sheetId val="3"/>
    </sheetIdMap>
  </header>
  <header guid="{068F496E-6054-4358-8277-8CBAC4E42E83}" dateTime="2026-01-12T09:56:33" maxSheetId="4" userName="Ronald Pinto" r:id="rId11" minRId="270" maxRId="289">
    <sheetIdMap count="3">
      <sheetId val="1"/>
      <sheetId val="2"/>
      <sheetId val="3"/>
    </sheetIdMap>
  </header>
  <header guid="{934D968A-4D14-4EC1-92DD-FE86856CAE25}" dateTime="2026-01-12T10:15:13" maxSheetId="4" userName="Ronald Pinto" r:id="rId12" minRId="291" maxRId="341">
    <sheetIdMap count="3">
      <sheetId val="1"/>
      <sheetId val="2"/>
      <sheetId val="3"/>
    </sheetIdMap>
  </header>
  <header guid="{CE822394-FC4A-43C0-8C44-C55D5DB74C7B}" dateTime="2026-01-12T10:27:29" maxSheetId="4" userName="Ronald Pinto" r:id="rId13" minRId="342" maxRId="359">
    <sheetIdMap count="3">
      <sheetId val="1"/>
      <sheetId val="2"/>
      <sheetId val="3"/>
    </sheetIdMap>
  </header>
  <header guid="{9F5716A8-D6AA-47FF-AC79-58A20C10E660}" dateTime="2026-01-12T15:58:25" maxSheetId="4" userName="Ronald Pinto" r:id="rId14" minRId="361" maxRId="379">
    <sheetIdMap count="3">
      <sheetId val="1"/>
      <sheetId val="2"/>
      <sheetId val="3"/>
    </sheetIdMap>
  </header>
  <header guid="{49ED7975-233B-4C23-BB25-77F23DE7F993}" dateTime="2026-01-12T16:00:03" maxSheetId="4" userName="Ronald Pinto" r:id="rId15" minRId="381">
    <sheetIdMap count="3">
      <sheetId val="1"/>
      <sheetId val="2"/>
      <sheetId val="3"/>
    </sheetIdMap>
  </header>
  <header guid="{9B4C26EC-4AFD-4C5C-AC04-3D206F9BFB4A}" dateTime="2026-01-13T10:10:55" maxSheetId="4" userName="Ronald Pinto" r:id="rId16" minRId="383" maxRId="395">
    <sheetIdMap count="3">
      <sheetId val="1"/>
      <sheetId val="2"/>
      <sheetId val="3"/>
    </sheetIdMap>
  </header>
  <header guid="{5A8599AF-D2BD-4672-9164-B0B763650C5E}" dateTime="2026-01-13T10:11:07" maxSheetId="4" userName="Ronald Pinto" r:id="rId17" minRId="396" maxRId="401">
    <sheetIdMap count="3">
      <sheetId val="1"/>
      <sheetId val="2"/>
      <sheetId val="3"/>
    </sheetIdMap>
  </header>
  <header guid="{E26B8578-144F-4DDA-B454-FE5FEA071D6C}" dateTime="2026-01-14T09:53:47" maxSheetId="4" userName="Ronald Pinto" r:id="rId18" minRId="403" maxRId="412">
    <sheetIdMap count="3">
      <sheetId val="1"/>
      <sheetId val="2"/>
      <sheetId val="3"/>
    </sheetIdMap>
  </header>
  <header guid="{28C4BD5C-6F9B-4732-B1D2-AB12BBC2948C}" dateTime="2026-01-15T10:00:25" maxSheetId="4" userName="Ronald Pinto" r:id="rId19" minRId="414" maxRId="435">
    <sheetIdMap count="3">
      <sheetId val="1"/>
      <sheetId val="2"/>
      <sheetId val="3"/>
    </sheetIdMap>
  </header>
  <header guid="{5E5BC4F8-6747-4C92-8ADC-46358FD25BF6}" dateTime="2026-01-15T10:19:32" maxSheetId="4" userName="Ronald Pinto" r:id="rId20" minRId="437" maxRId="472">
    <sheetIdMap count="3">
      <sheetId val="1"/>
      <sheetId val="2"/>
      <sheetId val="3"/>
    </sheetIdMap>
  </header>
  <header guid="{EA68F79C-3177-43DF-8C4B-3F1E05AD620C}" dateTime="2026-01-15T10:33:07" maxSheetId="4" userName="Ronald Pinto" r:id="rId21" minRId="474" maxRId="493">
    <sheetIdMap count="3">
      <sheetId val="1"/>
      <sheetId val="2"/>
      <sheetId val="3"/>
    </sheetIdMap>
  </header>
  <header guid="{806BFDC0-A53D-4959-9C79-0CCCAE0DA76D}" dateTime="2026-01-15T13:53:09" maxSheetId="4" userName="Ronald Pinto" r:id="rId22" minRId="494" maxRId="498">
    <sheetIdMap count="3">
      <sheetId val="1"/>
      <sheetId val="2"/>
      <sheetId val="3"/>
    </sheetIdMap>
  </header>
  <header guid="{AB22678F-1920-41A7-8D5A-428E22039EE8}" dateTime="2026-01-16T09:46:07" maxSheetId="4" userName="Ronald Pinto" r:id="rId23">
    <sheetIdMap count="3">
      <sheetId val="1"/>
      <sheetId val="2"/>
      <sheetId val="3"/>
    </sheetIdMap>
  </header>
  <header guid="{3926C8D4-65C7-4A9C-9FA0-0CDF84572463}" dateTime="2026-01-16T10:19:25" maxSheetId="4" userName="Ronald Pinto" r:id="rId24" minRId="501" maxRId="519">
    <sheetIdMap count="3">
      <sheetId val="1"/>
      <sheetId val="2"/>
      <sheetId val="3"/>
    </sheetIdMap>
  </header>
  <header guid="{DF16751A-38FF-45F7-973F-E0FA91259598}" dateTime="2026-01-16T14:32:36" maxSheetId="4" userName="Ronald Pinto" r:id="rId25" minRId="521" maxRId="559">
    <sheetIdMap count="3">
      <sheetId val="1"/>
      <sheetId val="2"/>
      <sheetId val="3"/>
    </sheetIdMap>
  </header>
  <header guid="{9633A23A-CDBF-4B61-B596-3B28A92304C0}" dateTime="2026-01-16T15:24:11" maxSheetId="4" userName="Ronald Pinto" r:id="rId26" minRId="561" maxRId="597">
    <sheetIdMap count="3">
      <sheetId val="1"/>
      <sheetId val="2"/>
      <sheetId val="3"/>
    </sheetIdMap>
  </header>
  <header guid="{9D904E2A-9697-4AAF-A2FF-F035C503B599}" dateTime="2026-01-19T10:29:30" maxSheetId="4" userName="Ronald Pinto" r:id="rId27" minRId="599">
    <sheetIdMap count="3">
      <sheetId val="1"/>
      <sheetId val="2"/>
      <sheetId val="3"/>
    </sheetIdMap>
  </header>
  <header guid="{D6F719F5-820E-4BBB-A544-DEE7C9E3D425}" dateTime="2026-01-21T09:32:39" maxSheetId="4" userName="Ronald Pinto" r:id="rId28" minRId="600" maxRId="617">
    <sheetIdMap count="3">
      <sheetId val="1"/>
      <sheetId val="2"/>
      <sheetId val="3"/>
    </sheetIdMap>
  </header>
  <header guid="{C0DDF445-9D2A-40B9-86F3-AD8DA68EE91E}" dateTime="2026-01-22T14:08:11" maxSheetId="4" userName="Ronald Pinto" r:id="rId29" minRId="618" maxRId="640">
    <sheetIdMap count="3">
      <sheetId val="1"/>
      <sheetId val="2"/>
      <sheetId val="3"/>
    </sheetIdMap>
  </header>
  <header guid="{947D5650-3A09-4BC5-939E-218C4F46D084}" dateTime="2026-01-22T14:08:41" maxSheetId="4" userName="Ronald Pinto" r:id="rId30">
    <sheetIdMap count="3">
      <sheetId val="1"/>
      <sheetId val="2"/>
      <sheetId val="3"/>
    </sheetIdMap>
  </header>
  <header guid="{636038EC-A4C5-4434-A894-4EC0596CE322}" dateTime="2026-01-23T09:29:22" maxSheetId="4" userName="Ronald Pinto" r:id="rId31">
    <sheetIdMap count="3">
      <sheetId val="1"/>
      <sheetId val="2"/>
      <sheetId val="3"/>
    </sheetIdMap>
  </header>
  <header guid="{EA193FCF-375B-4A4F-A3C1-1AF881FFC2E3}" dateTime="2026-01-23T09:51:52" maxSheetId="4" userName="Ronald Pinto" r:id="rId32" minRId="644" maxRId="666">
    <sheetIdMap count="3">
      <sheetId val="1"/>
      <sheetId val="2"/>
      <sheetId val="3"/>
    </sheetIdMap>
  </header>
  <header guid="{E5879E57-D136-4AB6-AB6E-9469343ED589}" dateTime="2026-01-23T16:43:07" maxSheetId="4" userName="Ronald Pinto" r:id="rId33" minRId="668" maxRId="711">
    <sheetIdMap count="3">
      <sheetId val="1"/>
      <sheetId val="2"/>
      <sheetId val="3"/>
    </sheetIdMap>
  </header>
  <header guid="{BCA7BF7C-8E30-4E1A-B0ED-44D7925B815F}" dateTime="2026-01-27T10:03:09" maxSheetId="4" userName="Ronald Pinto" r:id="rId34" minRId="713" maxRId="742">
    <sheetIdMap count="3">
      <sheetId val="1"/>
      <sheetId val="2"/>
      <sheetId val="3"/>
    </sheetIdMap>
  </header>
  <header guid="{9C45CD89-A22D-4A44-B91B-200BB9AA8D19}" dateTime="2026-01-27T10:15:10" maxSheetId="4" userName="Ronald Pinto" r:id="rId35">
    <sheetIdMap count="3">
      <sheetId val="1"/>
      <sheetId val="2"/>
      <sheetId val="3"/>
    </sheetIdMap>
  </header>
  <header guid="{D72D4A8E-9458-4F45-95B4-5FFAC0A37C59}" dateTime="2026-01-28T10:23:53" maxSheetId="4" userName="Ronald Pinto" r:id="rId36" minRId="745" maxRId="771">
    <sheetIdMap count="3">
      <sheetId val="1"/>
      <sheetId val="2"/>
      <sheetId val="3"/>
    </sheetIdMap>
  </header>
  <header guid="{5C33E14B-50A9-4DD7-A0F1-7F8146504110}" dateTime="2026-01-29T09:42:54" maxSheetId="4" userName="Ronald Pinto" r:id="rId37" minRId="773" maxRId="783">
    <sheetIdMap count="3">
      <sheetId val="1"/>
      <sheetId val="2"/>
      <sheetId val="3"/>
    </sheetIdMap>
  </header>
  <header guid="{58E52FA5-275B-4008-9A6E-C20F96E7F26A}" dateTime="2026-01-29T09:45:27" maxSheetId="4" userName="Ronald Pinto" r:id="rId38" minRId="785" maxRId="795">
    <sheetIdMap count="3">
      <sheetId val="1"/>
      <sheetId val="2"/>
      <sheetId val="3"/>
    </sheetIdMap>
  </header>
  <header guid="{B85EF129-CCB9-4D3B-9555-AB77B02763E1}" dateTime="2026-01-29T12:10:32" maxSheetId="4" userName="Ronald Pinto" r:id="rId39" minRId="797" maxRId="807">
    <sheetIdMap count="3">
      <sheetId val="1"/>
      <sheetId val="2"/>
      <sheetId val="3"/>
    </sheetIdMap>
  </header>
  <header guid="{387DC0DB-5950-4585-8FF5-29BC38212C7D}" dateTime="2026-01-29T12:14:49" maxSheetId="4" userName="Ronald Pinto" r:id="rId40">
    <sheetIdMap count="3">
      <sheetId val="1"/>
      <sheetId val="2"/>
      <sheetId val="3"/>
    </sheetIdMap>
  </header>
  <header guid="{28EC7BA0-B25C-4AF1-841A-EF92BC51FEDF}" dateTime="2026-01-29T15:46:44" maxSheetId="4" userName="Ronald Pinto" r:id="rId41" minRId="810" maxRId="820">
    <sheetIdMap count="3">
      <sheetId val="1"/>
      <sheetId val="2"/>
      <sheetId val="3"/>
    </sheetIdMap>
  </header>
  <header guid="{A4AD1011-A672-4B5F-A047-BF6305BF352C}" dateTime="2026-01-30T09:31:32" maxSheetId="4" userName="Ronald Pinto" r:id="rId42">
    <sheetIdMap count="3">
      <sheetId val="1"/>
      <sheetId val="2"/>
      <sheetId val="3"/>
    </sheetIdMap>
  </header>
  <header guid="{7D4A5F1F-9663-412C-AE41-3D21D7CCE81B}" dateTime="2026-01-30T09:57:56" maxSheetId="4" userName="Ronald Pinto" r:id="rId43" minRId="823" maxRId="829">
    <sheetIdMap count="3">
      <sheetId val="1"/>
      <sheetId val="2"/>
      <sheetId val="3"/>
    </sheetIdMap>
  </header>
  <header guid="{14D90B4E-B40A-43E3-89BF-8A2F4F708D9F}" dateTime="2026-01-30T09:59:26" maxSheetId="4" userName="Ronald Pinto" r:id="rId44" minRId="831" maxRId="852">
    <sheetIdMap count="3">
      <sheetId val="1"/>
      <sheetId val="2"/>
      <sheetId val="3"/>
    </sheetIdMap>
  </header>
  <header guid="{ECB3F35E-26D6-4AC6-A8A5-D4F4E07E69DF}" dateTime="2026-01-30T14:59:44" maxSheetId="4" userName="Ronald Pinto" r:id="rId45" minRId="854" maxRId="871">
    <sheetIdMap count="3">
      <sheetId val="1"/>
      <sheetId val="2"/>
      <sheetId val="3"/>
    </sheetIdMap>
  </header>
  <header guid="{618FA4DC-F04B-4460-98C7-D168E117D023}" dateTime="2026-02-03T09:45:04" maxSheetId="4" userName="Ronald Pinto" r:id="rId46">
    <sheetIdMap count="3">
      <sheetId val="1"/>
      <sheetId val="2"/>
      <sheetId val="3"/>
    </sheetIdMap>
  </header>
  <header guid="{C6B7D972-81A2-405E-B460-7FD4AE827C29}" dateTime="2026-02-03T10:23:23" maxSheetId="4" userName="Ronald Pinto" r:id="rId47" minRId="873" maxRId="891">
    <sheetIdMap count="3">
      <sheetId val="1"/>
      <sheetId val="2"/>
      <sheetId val="3"/>
    </sheetIdMap>
  </header>
  <header guid="{AF24E138-6735-4090-B010-7B2612079F9A}" dateTime="2026-02-03T10:27:44" maxSheetId="4" userName="Ronald Pinto" r:id="rId48" minRId="893" maxRId="901">
    <sheetIdMap count="3">
      <sheetId val="1"/>
      <sheetId val="2"/>
      <sheetId val="3"/>
    </sheetIdMap>
  </header>
  <header guid="{52FF34A2-0C9A-41FC-96FA-B591CEA25AB8}" dateTime="2026-02-03T10:30:10" maxSheetId="4" userName="Ronald Pinto" r:id="rId49" minRId="903" maxRId="918">
    <sheetIdMap count="3">
      <sheetId val="1"/>
      <sheetId val="2"/>
      <sheetId val="3"/>
    </sheetIdMap>
  </header>
  <header guid="{EF13D2D5-2D26-444D-9482-F3149EA6090E}" dateTime="2026-02-03T10:52:12" maxSheetId="4" userName="Ronald Pinto" r:id="rId50" minRId="920" maxRId="939">
    <sheetIdMap count="3">
      <sheetId val="1"/>
      <sheetId val="2"/>
      <sheetId val="3"/>
    </sheetIdMap>
  </header>
  <header guid="{7A4EE4AE-B949-4050-B5AE-324A544B7E24}" dateTime="2026-02-03T11:07:24" maxSheetId="4" userName="Ronald Pinto" r:id="rId51">
    <sheetIdMap count="3">
      <sheetId val="1"/>
      <sheetId val="2"/>
      <sheetId val="3"/>
    </sheetIdMap>
  </header>
  <header guid="{2B0E21EE-63E0-407A-8A8F-0244D8F1E266}" dateTime="2026-02-03T11:31:23" maxSheetId="4" userName="Ronald Pinto" r:id="rId52" minRId="941" maxRId="960">
    <sheetIdMap count="3">
      <sheetId val="1"/>
      <sheetId val="2"/>
      <sheetId val="3"/>
    </sheetIdMap>
  </header>
  <header guid="{38321831-75A7-4641-B851-0D169FDE128A}" dateTime="2026-02-03T12:53:13" maxSheetId="4" userName="Ronald Pinto" r:id="rId53" minRId="962" maxRId="963">
    <sheetIdMap count="3">
      <sheetId val="1"/>
      <sheetId val="2"/>
      <sheetId val="3"/>
    </sheetIdMap>
  </header>
  <header guid="{FEE686D2-CB90-4CDA-8CDB-99F70AE4D7BE}" dateTime="2026-02-03T17:43:36" maxSheetId="4" userName="Ronald Pinto" r:id="rId54" minRId="965" maxRId="974">
    <sheetIdMap count="3">
      <sheetId val="1"/>
      <sheetId val="2"/>
      <sheetId val="3"/>
    </sheetIdMap>
  </header>
  <header guid="{8FC94A74-500D-44B7-B82A-9047ACBA2550}" dateTime="2026-02-04T10:28:56" maxSheetId="4" userName="Ronald Pinto" r:id="rId55" minRId="976" maxRId="985">
    <sheetIdMap count="3">
      <sheetId val="1"/>
      <sheetId val="2"/>
      <sheetId val="3"/>
    </sheetIdMap>
  </header>
  <header guid="{D82354D4-CCC5-40FD-9EBB-80170ED38F24}" dateTime="2026-02-04T10:30:48" maxSheetId="4" userName="Ronald Pinto" r:id="rId56" minRId="987" maxRId="988">
    <sheetIdMap count="3">
      <sheetId val="1"/>
      <sheetId val="2"/>
      <sheetId val="3"/>
    </sheetIdMap>
  </header>
  <header guid="{32FF9A20-E462-4436-969B-3B8BDC522CEF}" dateTime="2026-02-05T09:59:59" maxSheetId="4" userName="Ronald Pinto" r:id="rId57" minRId="989" maxRId="998">
    <sheetIdMap count="3">
      <sheetId val="1"/>
      <sheetId val="2"/>
      <sheetId val="3"/>
    </sheetIdMap>
  </header>
  <header guid="{9B0A9C0A-6D57-4119-A369-83C57E5E23D5}" dateTime="2026-02-05T10:06:48" maxSheetId="4" userName="Ronald Pinto" r:id="rId58" minRId="1000" maxRId="1009">
    <sheetIdMap count="3">
      <sheetId val="1"/>
      <sheetId val="2"/>
      <sheetId val="3"/>
    </sheetIdMap>
  </header>
  <header guid="{65518E65-C9D6-45D5-A40D-EF968699026C}" dateTime="2026-02-05T10:08:27" maxSheetId="4" userName="Ronald Pinto" r:id="rId59" minRId="1011" maxRId="1020">
    <sheetIdMap count="3">
      <sheetId val="1"/>
      <sheetId val="2"/>
      <sheetId val="3"/>
    </sheetIdMap>
  </header>
  <header guid="{CC4AAC87-9C8D-4A19-8434-7423A15FB4F0}" dateTime="2026-02-05T10:09:39" maxSheetId="4" userName="Ronald Pinto" r:id="rId60">
    <sheetIdMap count="3">
      <sheetId val="1"/>
      <sheetId val="2"/>
      <sheetId val="3"/>
    </sheetIdMap>
  </header>
  <header guid="{44E27FB6-D53D-479F-BC3E-C7CAC8384547}" dateTime="2026-02-05T10:58:05" maxSheetId="4" userName="Ronald Pinto" r:id="rId61" minRId="1023" maxRId="1031">
    <sheetIdMap count="3">
      <sheetId val="1"/>
      <sheetId val="2"/>
      <sheetId val="3"/>
    </sheetIdMap>
  </header>
  <header guid="{44794825-8EB7-4374-8C93-02D4098578A2}" dateTime="2026-02-05T11:42:24" maxSheetId="4" userName="Ronald Pinto" r:id="rId62" minRId="1033" maxRId="1045">
    <sheetIdMap count="3">
      <sheetId val="1"/>
      <sheetId val="2"/>
      <sheetId val="3"/>
    </sheetIdMap>
  </header>
  <header guid="{D875204E-00EE-4088-89D9-C82B6483BB3A}" dateTime="2026-02-05T12:10:28" maxSheetId="4" userName="Ronald Pinto" r:id="rId63" minRId="1047" maxRId="1056">
    <sheetIdMap count="3">
      <sheetId val="1"/>
      <sheetId val="2"/>
      <sheetId val="3"/>
    </sheetIdMap>
  </header>
  <header guid="{F7BF488E-47B3-4752-ADA9-FF0B89E1A79B}" dateTime="2026-02-05T14:04:08" maxSheetId="4" userName="Ronald Pinto" r:id="rId64" minRId="1058" maxRId="1067">
    <sheetIdMap count="3">
      <sheetId val="1"/>
      <sheetId val="2"/>
      <sheetId val="3"/>
    </sheetIdMap>
  </header>
  <header guid="{292CD7D9-6C9B-4586-8D74-149E79D97520}" dateTime="2026-02-06T10:14:47" maxSheetId="4" userName="Ronald Pinto" r:id="rId65" minRId="1069" maxRId="1088">
    <sheetIdMap count="3">
      <sheetId val="1"/>
      <sheetId val="2"/>
      <sheetId val="3"/>
    </sheetIdMap>
  </header>
  <header guid="{12D8153E-1200-4E8B-BCB5-7932A58E7674}" dateTime="2026-02-06T11:59:28" maxSheetId="4" userName="Ronald Pinto" r:id="rId66" minRId="1089" maxRId="1118">
    <sheetIdMap count="3">
      <sheetId val="1"/>
      <sheetId val="2"/>
      <sheetId val="3"/>
    </sheetIdMap>
  </header>
  <header guid="{979D9804-EE17-49E7-8603-A9F35E63158D}" dateTime="2026-02-06T14:29:22" maxSheetId="4" userName="Ronald Pinto" r:id="rId67" minRId="1120" maxRId="1138">
    <sheetIdMap count="3">
      <sheetId val="1"/>
      <sheetId val="2"/>
      <sheetId val="3"/>
    </sheetIdMap>
  </header>
  <header guid="{59F3F3F9-BB47-4827-9DD8-F672E4C5CE44}" dateTime="2026-02-10T09:58:07" maxSheetId="4" userName="Ronald Pinto" r:id="rId68" minRId="1139" maxRId="1157">
    <sheetIdMap count="3">
      <sheetId val="1"/>
      <sheetId val="2"/>
      <sheetId val="3"/>
    </sheetIdMap>
  </header>
  <header guid="{635C7831-A335-4BC9-8257-F48E2999C51E}" dateTime="2026-02-10T10:01:17" maxSheetId="4" userName="Ronald Pinto" r:id="rId69" minRId="1159" maxRId="1178">
    <sheetIdMap count="3">
      <sheetId val="1"/>
      <sheetId val="2"/>
      <sheetId val="3"/>
    </sheetIdMap>
  </header>
  <header guid="{57FFE722-1AC0-4E88-8F97-2C21309BF427}" dateTime="2026-02-10T10:05:19" maxSheetId="4" userName="Ronald Pinto" r:id="rId70" minRId="1179" maxRId="1217">
    <sheetIdMap count="3">
      <sheetId val="1"/>
      <sheetId val="2"/>
      <sheetId val="3"/>
    </sheetIdMap>
  </header>
  <header guid="{ADEB5741-1BC4-46CF-9143-F882F8AC11EA}" dateTime="2026-02-10T10:05:38" maxSheetId="4" userName="Ronald Pinto" r:id="rId71" minRId="1219" maxRId="1225">
    <sheetIdMap count="3">
      <sheetId val="1"/>
      <sheetId val="2"/>
      <sheetId val="3"/>
    </sheetIdMap>
  </header>
  <header guid="{744A36D7-FC9A-4B95-8A4E-47642F744EB8}" dateTime="2026-02-10T16:10:40" maxSheetId="4" userName="Ronald Pinto" r:id="rId72" minRId="1227" maxRId="1252">
    <sheetIdMap count="3">
      <sheetId val="1"/>
      <sheetId val="2"/>
      <sheetId val="3"/>
    </sheetIdMap>
  </header>
  <header guid="{5091FB16-0A7D-449F-A77A-6E665443B6E1}" dateTime="2026-02-10T16:15:54" maxSheetId="4" userName="Ronald Pinto" r:id="rId73" minRId="1253" maxRId="1258">
    <sheetIdMap count="3">
      <sheetId val="1"/>
      <sheetId val="2"/>
      <sheetId val="3"/>
    </sheetIdMap>
  </header>
  <header guid="{85563373-7D7C-428B-A966-01C53CFBF313}" dateTime="2026-02-10T16:28:19" maxSheetId="4" userName="Ronald Pinto" r:id="rId74">
    <sheetIdMap count="3">
      <sheetId val="1"/>
      <sheetId val="2"/>
      <sheetId val="3"/>
    </sheetIdMap>
  </header>
  <header guid="{3FC536AE-B1E8-4D8B-94C6-BD222029C8E7}" dateTime="2026-02-11T10:54:27" maxSheetId="4" userName="Ronald Pinto" r:id="rId75" minRId="1261" maxRId="1271">
    <sheetIdMap count="3">
      <sheetId val="1"/>
      <sheetId val="2"/>
      <sheetId val="3"/>
    </sheetIdMap>
  </header>
  <header guid="{1EBFAB8F-F1BB-44A6-B331-831EB260278B}" dateTime="2026-02-12T09:33:13" maxSheetId="4" userName="Ronald Pinto" r:id="rId76">
    <sheetIdMap count="3">
      <sheetId val="1"/>
      <sheetId val="2"/>
      <sheetId val="3"/>
    </sheetIdMap>
  </header>
  <header guid="{9E763FAE-DED5-4FC2-8D09-54CEC0D2B347}" dateTime="2026-02-12T10:31:09" maxSheetId="4" userName="Ronald Pinto" r:id="rId77" minRId="1274" maxRId="1314">
    <sheetIdMap count="3">
      <sheetId val="1"/>
      <sheetId val="2"/>
      <sheetId val="3"/>
    </sheetIdMap>
  </header>
  <header guid="{B32E8F48-3437-4967-9D9B-B83BBD56E01E}" dateTime="2026-02-12T10:59:26" maxSheetId="4" userName="Ronald Pinto" r:id="rId78">
    <sheetIdMap count="3">
      <sheetId val="1"/>
      <sheetId val="2"/>
      <sheetId val="3"/>
    </sheetIdMap>
  </header>
  <header guid="{BE085B73-81F4-4E11-9468-2D8FF4585706}" dateTime="2026-02-12T11:13:37" maxSheetId="4" userName="Ronald Pinto" r:id="rId79" minRId="1317" maxRId="1327">
    <sheetIdMap count="3">
      <sheetId val="1"/>
      <sheetId val="2"/>
      <sheetId val="3"/>
    </sheetIdMap>
  </header>
  <header guid="{E48F232E-0CF0-4A40-AE79-295A7647C06C}" dateTime="2026-02-12T11:15:36" maxSheetId="4" userName="Ronald Pinto" r:id="rId80" minRId="1329" maxRId="1340">
    <sheetIdMap count="3">
      <sheetId val="1"/>
      <sheetId val="2"/>
      <sheetId val="3"/>
    </sheetIdMap>
  </header>
  <header guid="{1960F519-B90E-4614-A4C7-2E90F4BC09CE}" dateTime="2026-02-12T11:49:11" maxSheetId="4" userName="Ronald Pinto" r:id="rId81" minRId="1342" maxRId="1343">
    <sheetIdMap count="3">
      <sheetId val="1"/>
      <sheetId val="2"/>
      <sheetId val="3"/>
    </sheetIdMap>
  </header>
  <header guid="{F2C07C79-F580-46CE-897C-C6662DCD14E8}" dateTime="2026-02-12T13:24:31" maxSheetId="4" userName="Ronald Pinto" r:id="rId82" minRId="1344" maxRId="1345">
    <sheetIdMap count="3">
      <sheetId val="1"/>
      <sheetId val="2"/>
      <sheetId val="3"/>
    </sheetIdMap>
  </header>
  <header guid="{92E6F0CA-932D-4BD5-8D5D-1FFE666E31FD}" dateTime="2026-02-13T09:42:09" maxSheetId="4" userName="Ronald Pinto" r:id="rId83" minRId="1347" maxRId="1371">
    <sheetIdMap count="3">
      <sheetId val="1"/>
      <sheetId val="2"/>
      <sheetId val="3"/>
    </sheetIdMap>
  </header>
  <header guid="{11D376C2-A1D9-40D4-9FC3-A22BE76B8BF9}" dateTime="2026-02-13T10:31:52" maxSheetId="4" userName="Ronald Pinto" r:id="rId84" minRId="1373" maxRId="1397">
    <sheetIdMap count="3">
      <sheetId val="1"/>
      <sheetId val="2"/>
      <sheetId val="3"/>
    </sheetIdMap>
  </header>
  <header guid="{52D728E8-4D86-4721-994F-8ADC80ECC1F7}" dateTime="2026-02-13T10:36:25" maxSheetId="4" userName="Ronald Pinto" r:id="rId85" minRId="1399" maxRId="1422">
    <sheetIdMap count="3">
      <sheetId val="1"/>
      <sheetId val="2"/>
      <sheetId val="3"/>
    </sheetIdMap>
  </header>
  <header guid="{061BE734-C1B6-4CA4-8089-FE5A738158C7}" dateTime="2026-02-13T10:45:03" maxSheetId="4" userName="Ronald Pinto" r:id="rId86" minRId="1424" maxRId="1450">
    <sheetIdMap count="3">
      <sheetId val="1"/>
      <sheetId val="2"/>
      <sheetId val="3"/>
    </sheetIdMap>
  </header>
  <header guid="{6971595A-4EEF-44CB-B5BE-F7F1539BE1BE}" dateTime="2026-02-13T11:17:29" maxSheetId="4" userName="Ronald Pinto" r:id="rId87" minRId="1452" maxRId="1476">
    <sheetIdMap count="3">
      <sheetId val="1"/>
      <sheetId val="2"/>
      <sheetId val="3"/>
    </sheetIdMap>
  </header>
  <header guid="{75F529EA-288F-4755-A668-8284B1E9DF0D}" dateTime="2026-02-18T11:37:39" maxSheetId="4" userName="Ronald Pinto" r:id="rId88" minRId="1478" maxRId="1489">
    <sheetIdMap count="3">
      <sheetId val="1"/>
      <sheetId val="2"/>
      <sheetId val="3"/>
    </sheetIdMap>
  </header>
  <header guid="{B7B7A48A-CF85-4069-8CE3-54F329B93E5F}" dateTime="2026-02-19T09:50:21" maxSheetId="4" userName="Ronald Pinto" r:id="rId89" minRId="1491" maxRId="1502">
    <sheetIdMap count="3">
      <sheetId val="1"/>
      <sheetId val="2"/>
      <sheetId val="3"/>
    </sheetIdMap>
  </header>
  <header guid="{01A371F8-6D84-431A-9C41-A5CD5566F8C9}" dateTime="2026-02-19T09:52:27" maxSheetId="4" userName="Ronald Pinto" r:id="rId90" minRId="1504" maxRId="1514">
    <sheetIdMap count="3">
      <sheetId val="1"/>
      <sheetId val="2"/>
      <sheetId val="3"/>
    </sheetIdMap>
  </header>
  <header guid="{69B0610B-9708-45C5-91F8-62F765D4CE9D}" dateTime="2026-02-19T11:59:16" maxSheetId="4" userName="Ronald Pinto" r:id="rId91" minRId="1516" maxRId="1540">
    <sheetIdMap count="3">
      <sheetId val="1"/>
      <sheetId val="2"/>
      <sheetId val="3"/>
    </sheetIdMap>
  </header>
  <header guid="{FF4C7425-C036-47A3-AB29-9563C9E0985F}" dateTime="2026-02-19T12:38:36" maxSheetId="4" userName="Ronald Pinto" r:id="rId92">
    <sheetIdMap count="3">
      <sheetId val="1"/>
      <sheetId val="2"/>
      <sheetId val="3"/>
    </sheetIdMap>
  </header>
  <header guid="{2A66E04C-89AC-48E2-9C29-75823FCBC9A6}" dateTime="2026-02-19T12:42:24" maxSheetId="4" userName="Ronald Pinto" r:id="rId93">
    <sheetIdMap count="3">
      <sheetId val="1"/>
      <sheetId val="2"/>
      <sheetId val="3"/>
    </sheetIdMap>
  </header>
  <header guid="{846B3C0C-5607-4D3C-B08D-7DD470485902}" dateTime="2026-02-20T10:11:08" maxSheetId="4" userName="Ronald Pinto" r:id="rId94" minRId="1545" maxRId="1570">
    <sheetIdMap count="3">
      <sheetId val="1"/>
      <sheetId val="2"/>
      <sheetId val="3"/>
    </sheetIdMap>
  </header>
  <header guid="{E5C7F19E-06E8-4826-B39A-BD70A0B3BA1B}" dateTime="2026-02-20T11:54:56" maxSheetId="4" userName="Ronald Pinto" r:id="rId95" minRId="1572" maxRId="1597">
    <sheetIdMap count="3">
      <sheetId val="1"/>
      <sheetId val="2"/>
      <sheetId val="3"/>
    </sheetIdMap>
  </header>
  <header guid="{A8235738-DB6F-40C2-90D0-7FF4256916AC}" dateTime="2026-02-23T15:35:40" maxSheetId="4" userName="Ronald Pinto" r:id="rId96">
    <sheetIdMap count="3">
      <sheetId val="1"/>
      <sheetId val="2"/>
      <sheetId val="3"/>
    </sheetIdMap>
  </header>
  <header guid="{74852759-E03E-4685-AD08-CB0308414FC2}" dateTime="2026-02-23T17:26:44" maxSheetId="4" userName="Ronald Pinto" r:id="rId97" minRId="1600" maxRId="1609">
    <sheetIdMap count="3">
      <sheetId val="1"/>
      <sheetId val="2"/>
      <sheetId val="3"/>
    </sheetIdMap>
  </header>
  <header guid="{93125E67-6360-4BD8-A647-BC34FC74D11E}" dateTime="2026-02-24T10:24:11" maxSheetId="4" userName="Ronald Pinto" r:id="rId98" minRId="1611" maxRId="1646">
    <sheetIdMap count="3">
      <sheetId val="1"/>
      <sheetId val="2"/>
      <sheetId val="3"/>
    </sheetIdMap>
  </header>
  <header guid="{9E921A35-B700-4738-8995-BFC756AB9C09}" dateTime="2026-02-24T10:34:33" maxSheetId="4" userName="Ronald Pinto" r:id="rId99" minRId="1648" maxRId="1684">
    <sheetIdMap count="3">
      <sheetId val="1"/>
      <sheetId val="2"/>
      <sheetId val="3"/>
    </sheetIdMap>
  </header>
  <header guid="{70453F32-3564-4AFA-A73E-E0A68738F66A}" dateTime="2026-02-24T12:11:13" maxSheetId="4" userName="Ronald Pinto" r:id="rId100" minRId="1686">
    <sheetIdMap count="3">
      <sheetId val="1"/>
      <sheetId val="2"/>
      <sheetId val="3"/>
    </sheetIdMap>
  </header>
  <header guid="{32D55A6C-1203-4D0F-B2EF-194B557AF66F}" dateTime="2026-02-25T09:27:56" maxSheetId="4" userName="Ronald Pinto" r:id="rId101">
    <sheetIdMap count="3">
      <sheetId val="1"/>
      <sheetId val="2"/>
      <sheetId val="3"/>
    </sheetIdMap>
  </header>
  <header guid="{AE2DD78D-C0AB-40CC-A1CF-44C63C3AEF88}" dateTime="2026-02-26T11:11:14" maxSheetId="4" userName="Ronald Pinto" r:id="rId102" minRId="1689" maxRId="1698">
    <sheetIdMap count="3">
      <sheetId val="1"/>
      <sheetId val="2"/>
      <sheetId val="3"/>
    </sheetIdMap>
  </header>
  <header guid="{56851513-0515-42B7-BBB4-D0404DE31D57}" dateTime="2026-02-26T11:13:23" maxSheetId="4" userName="Ronald Pinto" r:id="rId103" minRId="1700" maxRId="1709">
    <sheetIdMap count="3">
      <sheetId val="1"/>
      <sheetId val="2"/>
      <sheetId val="3"/>
    </sheetIdMap>
  </header>
  <header guid="{20C709C4-FEAD-4917-85AA-F20CECF5036B}" dateTime="2026-02-26T11:17:18" maxSheetId="4" userName="Ronald Pinto" r:id="rId104" minRId="1711" maxRId="1720">
    <sheetIdMap count="3">
      <sheetId val="1"/>
      <sheetId val="2"/>
      <sheetId val="3"/>
    </sheetIdMap>
  </header>
  <header guid="{99A60BE8-ACF9-4BC2-B59C-446822C8C812}" dateTime="2026-02-26T11:21:05" maxSheetId="4" userName="Ronald Pinto" r:id="rId105" minRId="1722" maxRId="1731">
    <sheetIdMap count="3">
      <sheetId val="1"/>
      <sheetId val="2"/>
      <sheetId val="3"/>
    </sheetIdMap>
  </header>
  <header guid="{B9B44DA4-5B1A-4095-AA7E-D5A3767FACD6}" dateTime="2026-02-26T11:24:19" maxSheetId="4" userName="Ronald Pinto" r:id="rId106" minRId="1733" maxRId="1742">
    <sheetIdMap count="3">
      <sheetId val="1"/>
      <sheetId val="2"/>
      <sheetId val="3"/>
    </sheetIdMap>
  </header>
  <header guid="{72EAD204-737E-4900-B948-ED1A7D89BE71}" dateTime="2026-02-26T13:10:13" maxSheetId="4" userName="Ronald Pinto" r:id="rId107" minRId="1744" maxRId="1749">
    <sheetIdMap count="3">
      <sheetId val="1"/>
      <sheetId val="2"/>
      <sheetId val="3"/>
    </sheetIdMap>
  </header>
  <header guid="{5BAD0B33-0B0E-482B-936C-DD5ED92F5143}" dateTime="2026-02-27T10:25:48" maxSheetId="4" userName="Ronald Pinto" r:id="rId108" minRId="1751" maxRId="1811">
    <sheetIdMap count="3">
      <sheetId val="1"/>
      <sheetId val="2"/>
      <sheetId val="3"/>
    </sheetIdMap>
  </header>
  <header guid="{C09D0A20-72D1-4F69-8D63-F0305654355C}" dateTime="2026-02-27T10:35:20" maxSheetId="4" userName="Ronald Pinto" r:id="rId109" minRId="1813" maxRId="1830">
    <sheetIdMap count="3">
      <sheetId val="1"/>
      <sheetId val="2"/>
      <sheetId val="3"/>
    </sheetIdMap>
  </header>
  <header guid="{4815840A-7BE6-40C6-85FF-AE6148DCCD2D}" dateTime="2026-02-27T10:46:59" maxSheetId="4" userName="Ronald Pinto" r:id="rId110" minRId="1832" maxRId="1850">
    <sheetIdMap count="3">
      <sheetId val="1"/>
      <sheetId val="2"/>
      <sheetId val="3"/>
    </sheetIdMap>
  </header>
  <header guid="{78486482-76BB-487F-B749-8A097C15E9FE}" dateTime="2026-02-27T11:20:22" maxSheetId="4" userName="Ronald Pinto" r:id="rId111" minRId="1852" maxRId="1861">
    <sheetIdMap count="3">
      <sheetId val="1"/>
      <sheetId val="2"/>
      <sheetId val="3"/>
    </sheetIdMap>
  </header>
  <header guid="{8C5BD545-D16D-4593-B95A-FC614E0B8BCF}" dateTime="2026-02-27T11:27:39" maxSheetId="4" userName="Ronald Pinto" r:id="rId112" minRId="1863" maxRId="1887">
    <sheetIdMap count="3">
      <sheetId val="1"/>
      <sheetId val="2"/>
      <sheetId val="3"/>
    </sheetIdMap>
  </header>
  <header guid="{526DE41A-B749-4849-A80A-AF6CA2A624A1}" dateTime="2026-02-27T11:46:25" maxSheetId="4" userName="Ronald Pinto" r:id="rId113" minRId="1889" maxRId="1907">
    <sheetIdMap count="3">
      <sheetId val="1"/>
      <sheetId val="2"/>
      <sheetId val="3"/>
    </sheetIdMap>
  </header>
  <header guid="{334ED688-C309-47F0-AD2B-9AB976F9EAF2}" dateTime="2026-02-27T17:13:23" maxSheetId="4" userName="Ronald Pinto" r:id="rId114" minRId="1909" maxRId="1910">
    <sheetIdMap count="3">
      <sheetId val="1"/>
      <sheetId val="2"/>
      <sheetId val="3"/>
    </sheetIdMap>
  </header>
  <header guid="{C3E84945-A809-4638-AB58-90D26A653FFA}" dateTime="2026-03-02T11:23:56" maxSheetId="4" userName="Ronald Pinto" r:id="rId115" minRId="1911">
    <sheetIdMap count="3">
      <sheetId val="1"/>
      <sheetId val="2"/>
      <sheetId val="3"/>
    </sheetIdMap>
  </header>
  <header guid="{3E93EF44-C3F0-48E8-9400-3599A986752F}" dateTime="2026-03-02T16:19:40" maxSheetId="4" userName="Ronald Pinto" r:id="rId116" minRId="1913" maxRId="1937">
    <sheetIdMap count="3">
      <sheetId val="1"/>
      <sheetId val="2"/>
      <sheetId val="3"/>
    </sheetIdMap>
  </header>
  <header guid="{E25A13AD-6367-4213-86DF-1B58BF2579CB}" dateTime="2026-03-02T16:39:55" maxSheetId="4" userName="Ronald Pinto" r:id="rId117" minRId="1938" maxRId="1950">
    <sheetIdMap count="3">
      <sheetId val="1"/>
      <sheetId val="2"/>
      <sheetId val="3"/>
    </sheetIdMap>
  </header>
  <header guid="{C49715ED-9F69-40E5-BA36-D70709940E4C}" dateTime="2026-03-03T10:10:17" maxSheetId="4" userName="Ronald Pinto" r:id="rId118" minRId="1951" maxRId="1992">
    <sheetIdMap count="3">
      <sheetId val="1"/>
      <sheetId val="2"/>
      <sheetId val="3"/>
    </sheetIdMap>
  </header>
  <header guid="{4E30E478-A7FC-4945-986E-CB0342F00C4D}" dateTime="2026-03-03T10:29:20" maxSheetId="4" userName="Ronald Pinto" r:id="rId119" minRId="1994" maxRId="2036">
    <sheetIdMap count="3">
      <sheetId val="1"/>
      <sheetId val="2"/>
      <sheetId val="3"/>
    </sheetIdMap>
  </header>
  <header guid="{044539ED-78E1-4AEB-B442-A5C0BEC7F13E}" dateTime="2026-03-03T11:50:41" maxSheetId="4" userName="Ronald Pinto" r:id="rId120" minRId="2038" maxRId="2045">
    <sheetIdMap count="3">
      <sheetId val="1"/>
      <sheetId val="2"/>
      <sheetId val="3"/>
    </sheetIdMap>
  </header>
  <header guid="{8730B595-E037-40CC-B8DD-91391A908A8E}" dateTime="2026-03-03T11:51:30" maxSheetId="4" userName="Ronald Pinto" r:id="rId121" minRId="2046">
    <sheetIdMap count="3">
      <sheetId val="1"/>
      <sheetId val="2"/>
      <sheetId val="3"/>
    </sheetIdMap>
  </header>
  <header guid="{EBB2717A-65EE-4A1D-A5F9-6DDD2ACE27D6}" dateTime="2026-03-03T12:07:16" maxSheetId="4" userName="Rodrigo Coutinho" r:id="rId122" minRId="2047" maxRId="2052">
    <sheetIdMap count="3">
      <sheetId val="1"/>
      <sheetId val="2"/>
      <sheetId val="3"/>
    </sheetIdMap>
  </header>
  <header guid="{7661C15A-1CAC-4D92-8FE4-D2F7EDDAB4D8}" dateTime="2026-03-04T11:07:01" maxSheetId="4" userName="Ronald Pinto" r:id="rId123" minRId="2054" maxRId="2068">
    <sheetIdMap count="3">
      <sheetId val="1"/>
      <sheetId val="2"/>
      <sheetId val="3"/>
    </sheetIdMap>
  </header>
  <header guid="{3B2ACEBC-0ACA-4387-92D4-2951EF337F14}" dateTime="2026-03-04T11:07:17" maxSheetId="4" userName="Ronald Pinto" r:id="rId124">
    <sheetIdMap count="3">
      <sheetId val="1"/>
      <sheetId val="2"/>
      <sheetId val="3"/>
    </sheetIdMap>
  </header>
  <header guid="{55AD233D-FEDF-402C-914B-0B6F0F935FD9}" dateTime="2026-03-04T11:07:58" maxSheetId="4" userName="Ronald Pinto" r:id="rId125" minRId="2070" maxRId="2073">
    <sheetIdMap count="3">
      <sheetId val="1"/>
      <sheetId val="2"/>
      <sheetId val="3"/>
    </sheetIdMap>
  </header>
  <header guid="{52CC2E80-7CFB-463F-A93D-29D035790F91}" dateTime="2026-03-05T09:55:29" maxSheetId="4" userName="Ronald Pinto" r:id="rId126" minRId="2074" maxRId="2083">
    <sheetIdMap count="3">
      <sheetId val="1"/>
      <sheetId val="2"/>
      <sheetId val="3"/>
    </sheetIdMap>
  </header>
  <header guid="{BE873871-ED3A-406F-BD87-8534D8A6719E}" dateTime="2026-03-05T10:15:09" maxSheetId="4" userName="Ronald Pinto" r:id="rId127" minRId="2085" maxRId="2094">
    <sheetIdMap count="3">
      <sheetId val="1"/>
      <sheetId val="2"/>
      <sheetId val="3"/>
    </sheetIdMap>
  </header>
  <header guid="{4DC38FC4-4673-497B-8C3F-53A2EEC17585}" dateTime="2026-03-05T12:50:01" maxSheetId="4" userName="Ronald Pinto" r:id="rId128" minRId="2096" maxRId="2131">
    <sheetIdMap count="3">
      <sheetId val="1"/>
      <sheetId val="2"/>
      <sheetId val="3"/>
    </sheetIdMap>
  </header>
  <header guid="{17B65BBB-3AA5-4852-B108-95D3AC0E2704}" dateTime="2026-03-05T12:54:07" maxSheetId="4" userName="Ronald Pinto" r:id="rId129">
    <sheetIdMap count="3">
      <sheetId val="1"/>
      <sheetId val="2"/>
      <sheetId val="3"/>
    </sheetIdMap>
  </header>
  <header guid="{8A06BB01-9B6C-4887-A38A-5A84FA94FF34}" dateTime="2026-03-06T09:21:51" maxSheetId="4" userName="Ronald Pinto" r:id="rId130">
    <sheetIdMap count="3">
      <sheetId val="1"/>
      <sheetId val="2"/>
      <sheetId val="3"/>
    </sheetIdMap>
  </header>
  <header guid="{8BA85D38-8C07-457F-8FBE-5321CAC5D900}" dateTime="2026-03-06T09:37:31" maxSheetId="4" userName="Ronald Pinto" r:id="rId131" minRId="2135" maxRId="2149">
    <sheetIdMap count="3">
      <sheetId val="1"/>
      <sheetId val="2"/>
      <sheetId val="3"/>
    </sheetIdMap>
  </header>
  <header guid="{E87F6A7F-3D3D-4195-BDD6-8D55F8DD2B46}" dateTime="2026-03-06T09:40:30" maxSheetId="4" userName="Ronald Pinto" r:id="rId132" minRId="2151" maxRId="2165">
    <sheetIdMap count="3">
      <sheetId val="1"/>
      <sheetId val="2"/>
      <sheetId val="3"/>
    </sheetIdMap>
  </header>
  <header guid="{81F5F8A6-A01D-484B-A874-91CEE8D8099B}" dateTime="2026-03-06T09:40:47" maxSheetId="4" userName="Ronald Pinto" r:id="rId133">
    <sheetIdMap count="3">
      <sheetId val="1"/>
      <sheetId val="2"/>
      <sheetId val="3"/>
    </sheetIdMap>
  </header>
  <header guid="{9E9A0C27-29E1-4590-B4B4-A6C539B76D0F}" dateTime="2026-03-06T09:44:24" maxSheetId="4" userName="Ronald Pinto" r:id="rId134" minRId="2167" maxRId="2191">
    <sheetIdMap count="3">
      <sheetId val="1"/>
      <sheetId val="2"/>
      <sheetId val="3"/>
    </sheetIdMap>
  </header>
  <header guid="{5A75E2CD-A69B-4D66-9FDE-5FC9DF951E64}" dateTime="2026-03-06T09:44:28" maxSheetId="4" userName="Ronald Pinto" r:id="rId135">
    <sheetIdMap count="3">
      <sheetId val="1"/>
      <sheetId val="2"/>
      <sheetId val="3"/>
    </sheetIdMap>
  </header>
  <header guid="{ADB7BA0B-E41A-44CA-BF69-FF2EC56DE1EB}" dateTime="2026-03-06T10:46:35" maxSheetId="4" userName="Ronald Pinto" r:id="rId136" minRId="2193" maxRId="2218">
    <sheetIdMap count="3">
      <sheetId val="1"/>
      <sheetId val="2"/>
      <sheetId val="3"/>
    </sheetIdMap>
  </header>
  <header guid="{F9D35021-A247-49A2-8285-6BDCC89D5DEB}" dateTime="2026-03-06T11:00:08" maxSheetId="4" userName="Ronald Pinto" r:id="rId137" minRId="2220" maxRId="2244">
    <sheetIdMap count="3">
      <sheetId val="1"/>
      <sheetId val="2"/>
      <sheetId val="3"/>
    </sheetIdMap>
  </header>
  <header guid="{E82D10A1-BC61-464B-AF19-C3A4C42ECB2C}" dateTime="2026-03-06T11:08:16" maxSheetId="4" userName="Ronald Pinto" r:id="rId138" minRId="2246" maxRId="2279">
    <sheetIdMap count="3">
      <sheetId val="1"/>
      <sheetId val="2"/>
      <sheetId val="3"/>
    </sheetIdMap>
  </header>
  <header guid="{7007F257-09A0-4614-8720-260875C939BA}" dateTime="2026-03-06T11:10:39" maxSheetId="4" userName="Ronald Pinto" r:id="rId139" minRId="2281" maxRId="2292">
    <sheetIdMap count="3">
      <sheetId val="1"/>
      <sheetId val="2"/>
      <sheetId val="3"/>
    </sheetIdMap>
  </header>
  <header guid="{6E6AC8E6-B3BA-4BFE-A430-7FD2B004F70C}" dateTime="2026-03-06T11:11:17" maxSheetId="4" userName="Ronald Pinto" r:id="rId140">
    <sheetIdMap count="3">
      <sheetId val="1"/>
      <sheetId val="2"/>
      <sheetId val="3"/>
    </sheetIdMap>
  </header>
  <header guid="{0DEDD412-D5B8-4CC0-B05E-6FFC9064E2F2}" dateTime="2026-03-06T11:21:07" maxSheetId="4" userName="Rodrigo Coutinho" r:id="rId141" minRId="2295" maxRId="2302">
    <sheetIdMap count="3">
      <sheetId val="1"/>
      <sheetId val="2"/>
      <sheetId val="3"/>
    </sheetIdMap>
  </header>
  <header guid="{347428DF-51F9-4486-ACC9-3513DADCC5E8}" dateTime="2026-03-06T11:25:56" maxSheetId="4" userName="Rodrigo Coutinho" r:id="rId142" minRId="2303">
    <sheetIdMap count="3">
      <sheetId val="1"/>
      <sheetId val="2"/>
      <sheetId val="3"/>
    </sheetIdMap>
  </header>
  <header guid="{A91CE9B3-97B2-4B78-AF00-842DE62C57AB}" dateTime="2026-03-06T16:01:53" maxSheetId="4" userName="Rodrigo Coutinho" r:id="rId143" minRId="2304">
    <sheetIdMap count="3">
      <sheetId val="1"/>
      <sheetId val="2"/>
      <sheetId val="3"/>
    </sheetIdMap>
  </header>
  <header guid="{8A5DF9E6-F516-4E4E-AF4C-FD0A524BB37D}" dateTime="2026-03-06T17:21:37" maxSheetId="4" userName="Ronald Pinto" r:id="rId144" minRId="2306">
    <sheetIdMap count="3">
      <sheetId val="1"/>
      <sheetId val="2"/>
      <sheetId val="3"/>
    </sheetIdMap>
  </header>
  <header guid="{9A07B6A0-8F6C-4404-B000-5564132BFCDB}" dateTime="2026-03-09T09:37:24" maxSheetId="4" userName="Ronald Pinto" r:id="rId145">
    <sheetIdMap count="3">
      <sheetId val="1"/>
      <sheetId val="2"/>
      <sheetId val="3"/>
    </sheetIdMap>
  </header>
  <header guid="{D822DE76-73CB-492F-902B-AAE4E3F33ACD}" dateTime="2026-03-10T15:38:09" maxSheetId="4" userName="Ronald Pinto" r:id="rId146" minRId="2308" maxRId="2309">
    <sheetIdMap count="3">
      <sheetId val="1"/>
      <sheetId val="2"/>
      <sheetId val="3"/>
    </sheetIdMap>
  </header>
  <header guid="{8DFBC4B9-5ACB-4D88-85FC-DE865C801572}" dateTime="2026-03-10T15:45:03" maxSheetId="4" userName="Ronald Pinto" r:id="rId147" minRId="2311" maxRId="2329">
    <sheetIdMap count="3">
      <sheetId val="1"/>
      <sheetId val="2"/>
      <sheetId val="3"/>
    </sheetIdMap>
  </header>
  <header guid="{5CF63884-CF0B-4562-8D68-5CAEBC11121D}" dateTime="2026-03-10T16:12:32" maxSheetId="4" userName="Ronald Pinto" r:id="rId148" minRId="2330" maxRId="2348">
    <sheetIdMap count="3">
      <sheetId val="1"/>
      <sheetId val="2"/>
      <sheetId val="3"/>
    </sheetIdMap>
  </header>
  <header guid="{2403AEE0-7B91-4AB0-A6BF-200CC398FA9F}" dateTime="2026-03-11T15:35:58" maxSheetId="4" userName="Ronald Pinto" r:id="rId149" minRId="2349" maxRId="2358">
    <sheetIdMap count="3">
      <sheetId val="1"/>
      <sheetId val="2"/>
      <sheetId val="3"/>
    </sheetIdMap>
  </header>
  <header guid="{2B8DF311-1093-40D4-A421-81D37266F1CB}" dateTime="2026-03-11T17:22:03" maxSheetId="4" userName="Ronald Pinto" r:id="rId150">
    <sheetIdMap count="3">
      <sheetId val="1"/>
      <sheetId val="2"/>
      <sheetId val="3"/>
    </sheetIdMap>
  </header>
  <header guid="{0586DC5C-A4EA-436D-B6C4-646B77AAFD64}" dateTime="2026-03-12T09:23:21" maxSheetId="4" userName="Ronald Pinto" r:id="rId151">
    <sheetIdMap count="3">
      <sheetId val="1"/>
      <sheetId val="2"/>
      <sheetId val="3"/>
    </sheetIdMap>
  </header>
  <header guid="{C81FA635-4D84-43E6-AEB0-01EE6C89AB41}" dateTime="2026-03-12T09:28:50" maxSheetId="4" userName="Ronald Pinto" r:id="rId152" minRId="2362" maxRId="2370">
    <sheetIdMap count="3">
      <sheetId val="1"/>
      <sheetId val="2"/>
      <sheetId val="3"/>
    </sheetIdMap>
  </header>
  <header guid="{E342F77F-CF70-4867-90AD-A619265F69E3}" dateTime="2026-03-12T09:30:51" maxSheetId="4" userName="Ronald Pinto" r:id="rId153" minRId="2372" maxRId="2381">
    <sheetIdMap count="3">
      <sheetId val="1"/>
      <sheetId val="2"/>
      <sheetId val="3"/>
    </sheetIdMap>
  </header>
  <header guid="{1083F14C-B070-444D-883A-1863DE53FE04}" dateTime="2026-03-12T10:07:07" maxSheetId="4" userName="Ronald Pinto" r:id="rId154" minRId="2383" maxRId="2392">
    <sheetIdMap count="3">
      <sheetId val="1"/>
      <sheetId val="2"/>
      <sheetId val="3"/>
    </sheetIdMap>
  </header>
  <header guid="{D0A31F3A-2242-48BD-ABAD-7468E3D2F150}" dateTime="2026-03-12T10:19:26" maxSheetId="4" userName="Ronald Pinto" r:id="rId155" minRId="2393" maxRId="2413">
    <sheetIdMap count="3">
      <sheetId val="1"/>
      <sheetId val="2"/>
      <sheetId val="3"/>
    </sheetIdMap>
  </header>
  <header guid="{F189DE7D-F1E2-4246-B28E-D8760135C47E}" dateTime="2026-03-12T10:21:21" maxSheetId="4" userName="Ronald Pinto" r:id="rId156" minRId="2415" maxRId="2416">
    <sheetIdMap count="3">
      <sheetId val="1"/>
      <sheetId val="2"/>
      <sheetId val="3"/>
    </sheetIdMap>
  </header>
  <header guid="{A0C2EE35-7EC9-4EB1-A206-69EB106AE50F}" dateTime="2026-03-12T10:32:03" maxSheetId="4" userName="Ronald Pinto" r:id="rId157" minRId="2417" maxRId="2468">
    <sheetIdMap count="3">
      <sheetId val="1"/>
      <sheetId val="2"/>
      <sheetId val="3"/>
    </sheetIdMap>
  </header>
  <header guid="{05783B0B-4F05-4C28-9793-0D71164A564D}" dateTime="2026-03-12T10:41:25" maxSheetId="4" userName="Ronald Pinto" r:id="rId158" minRId="2470" maxRId="2489">
    <sheetIdMap count="3">
      <sheetId val="1"/>
      <sheetId val="2"/>
      <sheetId val="3"/>
    </sheetIdMap>
  </header>
  <header guid="{C5F0CE26-7E30-4FF5-BAF0-CC3B3676CA3B}" dateTime="2026-03-12T10:47:45" maxSheetId="4" userName="Ronald Pinto" r:id="rId159" minRId="2491" maxRId="2500">
    <sheetIdMap count="3">
      <sheetId val="1"/>
      <sheetId val="2"/>
      <sheetId val="3"/>
    </sheetIdMap>
  </header>
  <header guid="{A2D807AD-FE66-4F0A-ADA2-E365D46D5696}" dateTime="2026-03-12T10:50:24" maxSheetId="4" userName="Ronald Pinto" r:id="rId160" minRId="2501" maxRId="2504">
    <sheetIdMap count="3">
      <sheetId val="1"/>
      <sheetId val="2"/>
      <sheetId val="3"/>
    </sheetIdMap>
  </header>
  <header guid="{B19118CA-F7C1-4F1F-8F8E-4E66488307F5}" dateTime="2026-03-12T12:40:27" maxSheetId="4" userName="Ronald Pinto" r:id="rId161" minRId="2505" maxRId="2514">
    <sheetIdMap count="3">
      <sheetId val="1"/>
      <sheetId val="2"/>
      <sheetId val="3"/>
    </sheetIdMap>
  </header>
  <header guid="{2217B0A2-41D4-457B-925F-44DD413B3198}" dateTime="2026-03-13T09:45:32" maxSheetId="4" userName="Ronald Pinto" r:id="rId162">
    <sheetIdMap count="3">
      <sheetId val="1"/>
      <sheetId val="2"/>
      <sheetId val="3"/>
    </sheetIdMap>
  </header>
  <header guid="{41CD4F20-CE26-4831-AAFE-E5BAD4F2A251}" dateTime="2026-03-13T10:16:55" maxSheetId="4" userName="Ronald Pinto" r:id="rId163" minRId="2517" maxRId="2541">
    <sheetIdMap count="3">
      <sheetId val="1"/>
      <sheetId val="2"/>
      <sheetId val="3"/>
    </sheetIdMap>
  </header>
  <header guid="{375A238B-9201-491B-A869-E970174EFB83}" dateTime="2026-03-13T10:19:51" maxSheetId="4" userName="Ronald Pinto" r:id="rId164" minRId="2543" maxRId="2552">
    <sheetIdMap count="3">
      <sheetId val="1"/>
      <sheetId val="2"/>
      <sheetId val="3"/>
    </sheetIdMap>
  </header>
  <header guid="{34B0EF8B-85B9-4578-88E2-2128EB01B2B6}" dateTime="2026-03-13T10:22:09" maxSheetId="4" userName="Ronald Pinto" r:id="rId165" minRId="2554" maxRId="2568">
    <sheetIdMap count="3">
      <sheetId val="1"/>
      <sheetId val="2"/>
      <sheetId val="3"/>
    </sheetIdMap>
  </header>
  <header guid="{C473102E-4984-41B1-8D63-56CE29809537}" dateTime="2026-03-13T10:32:14" maxSheetId="4" userName="Ronald Pinto" r:id="rId166" minRId="2570" maxRId="2594">
    <sheetIdMap count="3">
      <sheetId val="1"/>
      <sheetId val="2"/>
      <sheetId val="3"/>
    </sheetIdMap>
  </header>
  <header guid="{5DC84F05-AE02-40CD-81FC-E578E84A9F8D}" dateTime="2026-03-13T10:41:25" maxSheetId="4" userName="Ronald Pinto" r:id="rId167" minRId="2596" maxRId="2620">
    <sheetIdMap count="3">
      <sheetId val="1"/>
      <sheetId val="2"/>
      <sheetId val="3"/>
    </sheetIdMap>
  </header>
  <header guid="{0438D667-920B-4432-AB34-61A891AE7606}" dateTime="2026-03-13T11:01:31" maxSheetId="4" userName="Ronald Pinto" r:id="rId168" minRId="2622" maxRId="2647">
    <sheetIdMap count="3">
      <sheetId val="1"/>
      <sheetId val="2"/>
      <sheetId val="3"/>
    </sheetIdMap>
  </header>
  <header guid="{CE178831-CC98-4607-95F5-4258A3E84000}" dateTime="2026-03-13T11:01:47" maxSheetId="4" userName="Ronald Pinto" r:id="rId169">
    <sheetIdMap count="3">
      <sheetId val="1"/>
      <sheetId val="2"/>
      <sheetId val="3"/>
    </sheetIdMap>
  </header>
  <header guid="{13588C70-4458-48A7-B83A-07EE4C5C6AEB}" dateTime="2026-03-13T12:15:15" maxSheetId="4" userName="Rodrigo Coutinho" r:id="rId170" minRId="2649" maxRId="2657">
    <sheetIdMap count="3">
      <sheetId val="1"/>
      <sheetId val="2"/>
      <sheetId val="3"/>
    </sheetIdMap>
  </header>
  <header guid="{ED746416-87C2-491C-AC76-03916665A702}" dateTime="2026-03-16T11:40:39" maxSheetId="4" userName="Ronald Pinto" r:id="rId171">
    <sheetIdMap count="3">
      <sheetId val="1"/>
      <sheetId val="2"/>
      <sheetId val="3"/>
    </sheetIdMap>
  </header>
  <header guid="{AF0C26F4-F1B5-4923-AD3C-B6FF41FF0B0D}" dateTime="2026-03-17T09:37:01" maxSheetId="4" userName="Ronald Pinto" r:id="rId172" minRId="2660" maxRId="2684">
    <sheetIdMap count="3">
      <sheetId val="1"/>
      <sheetId val="2"/>
      <sheetId val="3"/>
    </sheetIdMap>
  </header>
  <header guid="{CFC319DD-21D0-4F73-81E9-774064FF62B1}" dateTime="2026-03-17T11:22:13" maxSheetId="4" userName="Rodrigo Coutinho" r:id="rId173" minRId="2686">
    <sheetIdMap count="3">
      <sheetId val="1"/>
      <sheetId val="2"/>
      <sheetId val="3"/>
    </sheetIdMap>
  </header>
  <header guid="{EDA9DE9B-E710-4AE0-8228-1C291BE8720D}" dateTime="2026-03-17T17:01:45" maxSheetId="4" userName="Rodrigo Coutinho" r:id="rId174" minRId="2688" maxRId="2693">
    <sheetIdMap count="3">
      <sheetId val="1"/>
      <sheetId val="2"/>
      <sheetId val="3"/>
    </sheetIdMap>
  </header>
  <header guid="{55540C50-AAF5-4F37-8E8D-BB83AEC6480D}" dateTime="2026-03-19T09:24:42" maxSheetId="4" userName="Ronald Pinto" r:id="rId175">
    <sheetIdMap count="3">
      <sheetId val="1"/>
      <sheetId val="2"/>
      <sheetId val="3"/>
    </sheetIdMap>
  </header>
  <header guid="{78D8DFF4-4908-45D0-A407-36DFAB75A544}" dateTime="2026-03-19T09:27:20" maxSheetId="4" userName="Ronald Pinto" r:id="rId176" minRId="2695" maxRId="2715">
    <sheetIdMap count="3">
      <sheetId val="1"/>
      <sheetId val="2"/>
      <sheetId val="3"/>
    </sheetIdMap>
  </header>
  <header guid="{A36A4631-1D5E-42C9-B44D-611279BE0241}" dateTime="2026-03-19T09:28:46" maxSheetId="4" userName="Ronald Pinto" r:id="rId177" minRId="2717" maxRId="2721">
    <sheetIdMap count="3">
      <sheetId val="1"/>
      <sheetId val="2"/>
      <sheetId val="3"/>
    </sheetIdMap>
  </header>
  <header guid="{3A6C5517-17A6-47B8-9D1A-08751214375F}" dateTime="2026-03-19T09:54:43" maxSheetId="4" userName="Ronald Pinto" r:id="rId178" minRId="2723" maxRId="2732">
    <sheetIdMap count="3">
      <sheetId val="1"/>
      <sheetId val="2"/>
      <sheetId val="3"/>
    </sheetIdMap>
  </header>
  <header guid="{1F4E003C-B0B5-45AB-B309-EF38CF23DD7D}" dateTime="2026-03-19T09:56:33" maxSheetId="4" userName="Ronald Pinto" r:id="rId179" minRId="2734">
    <sheetIdMap count="3">
      <sheetId val="1"/>
      <sheetId val="2"/>
      <sheetId val="3"/>
    </sheetIdMap>
  </header>
  <header guid="{FBB4A31C-7EF1-44B9-A97F-17C12FCFDA0F}" dateTime="2026-03-19T10:31:07" maxSheetId="4" userName="Ronald Pinto" r:id="rId180" minRId="2735" maxRId="2744">
    <sheetIdMap count="3">
      <sheetId val="1"/>
      <sheetId val="2"/>
      <sheetId val="3"/>
    </sheetIdMap>
  </header>
  <header guid="{E650B26F-169D-4E5F-A880-E61F851773CC}" dateTime="2026-03-19T11:44:25" maxSheetId="4" userName="Ronald Pinto" r:id="rId181" minRId="2746" maxRId="2755">
    <sheetIdMap count="3">
      <sheetId val="1"/>
      <sheetId val="2"/>
      <sheetId val="3"/>
    </sheetIdMap>
  </header>
  <header guid="{1089F59E-4678-4B25-970C-7AFF4B35A0D8}" dateTime="2026-03-19T11:53:19" maxSheetId="4" userName="Ronald Pinto" r:id="rId182" minRId="2757" maxRId="2758">
    <sheetIdMap count="3">
      <sheetId val="1"/>
      <sheetId val="2"/>
      <sheetId val="3"/>
    </sheetIdMap>
  </header>
  <header guid="{5D438393-0522-49AB-A1E8-AE4B1E868647}" dateTime="2026-03-19T12:21:40" maxSheetId="4" userName="Ronald Pinto" r:id="rId183" minRId="2759" maxRId="2763">
    <sheetIdMap count="3">
      <sheetId val="1"/>
      <sheetId val="2"/>
      <sheetId val="3"/>
    </sheetIdMap>
  </header>
  <header guid="{FA5BAF76-46B8-4711-A291-64339F1D2E08}" dateTime="2026-03-20T10:40:11" maxSheetId="4" userName="Ronald Pinto" r:id="rId184" minRId="2765" maxRId="2790">
    <sheetIdMap count="3">
      <sheetId val="1"/>
      <sheetId val="2"/>
      <sheetId val="3"/>
    </sheetIdMap>
  </header>
  <header guid="{DE0DBE35-8CC9-45D5-99F4-030F0A980331}" dateTime="2026-03-20T10:44:58" maxSheetId="4" userName="Ronald Pinto" r:id="rId185" minRId="2792" maxRId="2816">
    <sheetIdMap count="3">
      <sheetId val="1"/>
      <sheetId val="2"/>
      <sheetId val="3"/>
    </sheetIdMap>
  </header>
  <header guid="{E0CE24B7-354D-439D-B5AA-3C33719C1E2E}" dateTime="2026-03-20T10:45:23" maxSheetId="4" userName="Ronald Pinto" r:id="rId186" minRId="2818">
    <sheetIdMap count="3">
      <sheetId val="1"/>
      <sheetId val="2"/>
      <sheetId val="3"/>
    </sheetIdMap>
  </header>
  <header guid="{277BA7EC-6AB1-4411-ADD8-85ECEDE35D17}" dateTime="2026-03-20T11:21:03" maxSheetId="4" userName="Ronald Pinto" r:id="rId187" minRId="2820" maxRId="2844">
    <sheetIdMap count="3">
      <sheetId val="1"/>
      <sheetId val="2"/>
      <sheetId val="3"/>
    </sheetIdMap>
  </header>
  <header guid="{650C8BEF-A617-4573-9302-3C8ED9A57257}" dateTime="2026-03-20T11:27:42" maxSheetId="4" userName="Ronald Pinto" r:id="rId188" minRId="2845" maxRId="2879">
    <sheetIdMap count="3">
      <sheetId val="1"/>
      <sheetId val="2"/>
      <sheetId val="3"/>
    </sheetIdMap>
  </header>
  <header guid="{23E274E4-A480-4085-8B61-CABD5766700F}" dateTime="2026-03-20T12:38:29" maxSheetId="4" userName="Ronald Pinto" r:id="rId189" minRId="2881" maxRId="2940">
    <sheetIdMap count="3">
      <sheetId val="1"/>
      <sheetId val="2"/>
      <sheetId val="3"/>
    </sheetIdMap>
  </header>
  <header guid="{3C3A61D9-77E7-403F-A4B5-2EF7B218AF2F}" dateTime="2026-03-20T12:38:47" maxSheetId="4" userName="Ronald Pinto" r:id="rId190" minRId="2942" maxRId="2943">
    <sheetIdMap count="3">
      <sheetId val="1"/>
      <sheetId val="2"/>
      <sheetId val="3"/>
    </sheetIdMap>
  </header>
  <header guid="{72DF5E01-5981-443B-8377-536171BDA0B6}" dateTime="2026-03-20T12:39:57" maxSheetId="4" userName="Rodrigo Coutinho" r:id="rId191" minRId="2944" maxRId="2947">
    <sheetIdMap count="3">
      <sheetId val="1"/>
      <sheetId val="2"/>
      <sheetId val="3"/>
    </sheetIdMap>
  </header>
  <header guid="{49AC6BDA-3722-42A3-BE36-D989D7F2009E}" dateTime="2026-03-20T12:54:21" maxSheetId="4" userName="Rodrigo Coutinho" r:id="rId192" minRId="2948" maxRId="2951">
    <sheetIdMap count="3">
      <sheetId val="1"/>
      <sheetId val="2"/>
      <sheetId val="3"/>
    </sheetIdMap>
  </header>
  <header guid="{80E0E8B8-535A-479C-ADB8-4D4900A55DCD}" dateTime="2026-03-20T15:00:54" maxSheetId="4" userName="Ronald Pinto" r:id="rId193" minRId="2952" maxRId="2976">
    <sheetIdMap count="3">
      <sheetId val="1"/>
      <sheetId val="2"/>
      <sheetId val="3"/>
    </sheetIdMap>
  </header>
  <header guid="{77801CC1-DC66-4FB4-9318-A191AAB9B701}" dateTime="2026-03-20T15:50:36" maxSheetId="4" userName="Ronald Pinto" r:id="rId194" minRId="2978" maxRId="3016">
    <sheetIdMap count="3">
      <sheetId val="1"/>
      <sheetId val="2"/>
      <sheetId val="3"/>
    </sheetIdMap>
  </header>
  <header guid="{B0F6BF20-767C-43CB-A655-2607289F478B}" dateTime="2026-03-20T15:54:53" maxSheetId="4" userName="Ronald Pinto" r:id="rId195">
    <sheetIdMap count="3">
      <sheetId val="1"/>
      <sheetId val="2"/>
      <sheetId val="3"/>
    </sheetIdMap>
  </header>
  <header guid="{DE58CE16-ED4A-45E2-8AEE-6E7462A6C4E5}" dateTime="2026-03-20T16:09:32" maxSheetId="4" userName="Rodrigo Coutinho" r:id="rId196" minRId="3019" maxRId="3021">
    <sheetIdMap count="3">
      <sheetId val="1"/>
      <sheetId val="2"/>
      <sheetId val="3"/>
    </sheetIdMap>
  </header>
  <header guid="{E5C8F7FD-6F38-498B-99F2-633D53B100F6}" dateTime="2026-03-20T16:10:26" maxSheetId="4" userName="Rodrigo Coutinho" r:id="rId197" minRId="3022">
    <sheetIdMap count="3">
      <sheetId val="1"/>
      <sheetId val="2"/>
      <sheetId val="3"/>
    </sheetIdMap>
  </header>
  <header guid="{87B49CAF-0AE0-4796-8582-5F38C476F272}" dateTime="2026-03-23T09:41:23" maxSheetId="4" userName="Ronald Pinto" r:id="rId198">
    <sheetIdMap count="3">
      <sheetId val="1"/>
      <sheetId val="2"/>
      <sheetId val="3"/>
    </sheetIdMap>
  </header>
  <header guid="{F5E16A56-C84C-49F7-B84C-E5E1FC855BFA}" dateTime="2026-03-24T10:02:31" maxSheetId="4" userName="Ronald Pinto" r:id="rId199">
    <sheetIdMap count="3">
      <sheetId val="1"/>
      <sheetId val="2"/>
      <sheetId val="3"/>
    </sheetIdMap>
  </header>
  <header guid="{2D4BF2AE-543B-4DC6-AA95-214F725EDD6C}" dateTime="2026-03-24T11:25:48" maxSheetId="4" userName="Ronald Pinto" r:id="rId200" minRId="3025" maxRId="3044">
    <sheetIdMap count="3">
      <sheetId val="1"/>
      <sheetId val="2"/>
      <sheetId val="3"/>
    </sheetIdMap>
  </header>
  <header guid="{91952B53-F48D-40B5-A3FB-4F61412C25BF}" dateTime="2026-03-24T11:36:30" maxSheetId="4" userName="Rodrigo Coutinho" r:id="rId201" minRId="3046">
    <sheetIdMap count="3">
      <sheetId val="1"/>
      <sheetId val="2"/>
      <sheetId val="3"/>
    </sheetIdMap>
  </header>
  <header guid="{50C34FCE-109B-41FF-9D8E-D2214CE98B68}" dateTime="2026-03-24T12:26:04" maxSheetId="4" userName="Ronald Pinto" r:id="rId202" minRId="3048" maxRId="3057">
    <sheetIdMap count="3">
      <sheetId val="1"/>
      <sheetId val="2"/>
      <sheetId val="3"/>
    </sheetIdMap>
  </header>
  <header guid="{A80B01A2-6E12-49A8-B5FA-877F0B161CCF}" dateTime="2026-03-24T14:52:09" maxSheetId="4" userName="Ronald Pinto" r:id="rId203" minRId="3059" maxRId="3083">
    <sheetIdMap count="3">
      <sheetId val="1"/>
      <sheetId val="2"/>
      <sheetId val="3"/>
    </sheetIdMap>
  </header>
  <header guid="{84D56B54-DDC1-4A40-893B-864EEA61D204}" dateTime="2026-03-24T14:52:28" maxSheetId="4" userName="Ronald Pinto" r:id="rId204">
    <sheetIdMap count="3">
      <sheetId val="1"/>
      <sheetId val="2"/>
      <sheetId val="3"/>
    </sheetIdMap>
  </header>
  <header guid="{2BBB4F07-4B5A-47E4-A3BC-648157E80EC6}" dateTime="2026-03-24T15:05:54" maxSheetId="4" userName="Rodrigo Coutinho" r:id="rId205" minRId="3086">
    <sheetIdMap count="3">
      <sheetId val="1"/>
      <sheetId val="2"/>
      <sheetId val="3"/>
    </sheetIdMap>
  </header>
  <header guid="{79678F21-C0AA-4BA8-BD09-B268543FE43A}" dateTime="2026-03-25T11:17:04" maxSheetId="4" userName="Ronald Pinto" r:id="rId206" minRId="3088" maxRId="3124">
    <sheetIdMap count="3">
      <sheetId val="1"/>
      <sheetId val="2"/>
      <sheetId val="3"/>
    </sheetIdMap>
  </header>
  <header guid="{6198A67C-E417-42B7-9910-0F47A2CD87C3}" dateTime="2026-03-25T11:47:15" maxSheetId="4" userName="Rodrigo Coutinho" r:id="rId207">
    <sheetIdMap count="3">
      <sheetId val="1"/>
      <sheetId val="2"/>
      <sheetId val="3"/>
    </sheetIdMap>
  </header>
  <header guid="{BC72D024-E4BB-4633-AC86-2FD2A9FF8849}" dateTime="2026-03-26T11:29:44" maxSheetId="4" userName="Ronald Pinto" r:id="rId208" minRId="3127" maxRId="3136">
    <sheetIdMap count="3">
      <sheetId val="1"/>
      <sheetId val="2"/>
      <sheetId val="3"/>
    </sheetIdMap>
  </header>
  <header guid="{8911CC31-986F-49D8-A5B5-CC41773804AC}" dateTime="2026-03-26T11:36:04" maxSheetId="4" userName="Rodrigo Coutinho" r:id="rId209" minRId="3138">
    <sheetIdMap count="3">
      <sheetId val="1"/>
      <sheetId val="2"/>
      <sheetId val="3"/>
    </sheetIdMap>
  </header>
  <header guid="{B08EC569-BE37-464F-8BFC-2483B8EB59EC}" dateTime="2026-03-26T12:44:11" maxSheetId="4" userName="Ronald Pinto" r:id="rId210" minRId="3139" maxRId="3140">
    <sheetIdMap count="3">
      <sheetId val="1"/>
      <sheetId val="2"/>
      <sheetId val="3"/>
    </sheetIdMap>
  </header>
  <header guid="{0304575F-35AA-494A-84A4-0A42E6FF9D61}" dateTime="2026-03-27T10:34:54" maxSheetId="4" userName="Ronald Pinto" r:id="rId211">
    <sheetIdMap count="3">
      <sheetId val="1"/>
      <sheetId val="2"/>
      <sheetId val="3"/>
    </sheetIdMap>
  </header>
  <header guid="{89EE86A8-8D4A-4B33-8F4D-8B2BF54C6D54}" dateTime="2026-03-27T11:14:22" maxSheetId="4" userName="Ronald Pinto" r:id="rId212" minRId="3143" maxRId="3171">
    <sheetIdMap count="3">
      <sheetId val="1"/>
      <sheetId val="2"/>
      <sheetId val="3"/>
    </sheetIdMap>
  </header>
  <header guid="{C89423EB-E3FC-4A44-B438-EFDC90B2ABC0}" dateTime="2026-03-27T11:18:08" maxSheetId="4" userName="Ronald Pinto" r:id="rId213" minRId="3173" maxRId="3197">
    <sheetIdMap count="3">
      <sheetId val="1"/>
      <sheetId val="2"/>
      <sheetId val="3"/>
    </sheetIdMap>
  </header>
  <header guid="{0BE6D89C-1D55-4462-85EB-94B3317F3B88}" dateTime="2026-03-27T11:21:36" maxSheetId="4" userName="Ronald Pinto" r:id="rId214">
    <sheetIdMap count="3">
      <sheetId val="1"/>
      <sheetId val="2"/>
      <sheetId val="3"/>
    </sheetIdMap>
  </header>
  <header guid="{2D8149E6-D4C2-46F0-89E5-B50F31E55C34}" dateTime="2026-03-27T11:31:26" maxSheetId="4" userName="Ronald Pinto" r:id="rId215" minRId="3200" maxRId="3203">
    <sheetIdMap count="3">
      <sheetId val="1"/>
      <sheetId val="2"/>
      <sheetId val="3"/>
    </sheetIdMap>
  </header>
  <header guid="{F1420DCB-6105-4950-BEB0-FC5589F47C94}" dateTime="2026-03-27T11:33:18" maxSheetId="4" userName="Ronald Pinto" r:id="rId216" minRId="3205" maxRId="3207">
    <sheetIdMap count="3">
      <sheetId val="1"/>
      <sheetId val="2"/>
      <sheetId val="3"/>
    </sheetIdMap>
  </header>
  <header guid="{FC9E517A-E363-43CA-B87B-72774D86E238}" dateTime="2026-03-27T11:33:29" maxSheetId="4" userName="Ronald Pinto" r:id="rId217">
    <sheetIdMap count="3">
      <sheetId val="1"/>
      <sheetId val="2"/>
      <sheetId val="3"/>
    </sheetIdMap>
  </header>
  <header guid="{D34F3167-DF8F-47DF-9B33-D56D1FFD17FB}" dateTime="2026-03-27T12:06:46" maxSheetId="4" userName="Ronald Pinto" r:id="rId218" minRId="3210" maxRId="3234">
    <sheetIdMap count="3">
      <sheetId val="1"/>
      <sheetId val="2"/>
      <sheetId val="3"/>
    </sheetIdMap>
  </header>
  <header guid="{CAFB0C0D-82A7-4688-A42B-365965D72D4A}" dateTime="2026-03-27T12:08:17" maxSheetId="4" userName="Ronald Pinto" r:id="rId219">
    <sheetIdMap count="3">
      <sheetId val="1"/>
      <sheetId val="2"/>
      <sheetId val="3"/>
    </sheetIdMap>
  </header>
  <header guid="{6F9C07BE-80DD-44FF-8AA1-98C78B593CF1}" dateTime="2026-03-27T13:17:11" maxSheetId="4" userName="Rodrigo Coutinho" r:id="rId220" minRId="3237" maxRId="3239">
    <sheetIdMap count="3">
      <sheetId val="1"/>
      <sheetId val="2"/>
      <sheetId val="3"/>
    </sheetIdMap>
  </header>
  <header guid="{7B75615F-D60B-4F1F-A2DD-2288FC11B252}" dateTime="2026-03-30T11:47:36" maxSheetId="4" userName="Rodrigo Coutinho" r:id="rId221" minRId="3240" maxRId="3277">
    <sheetIdMap count="3">
      <sheetId val="1"/>
      <sheetId val="2"/>
      <sheetId val="3"/>
    </sheetIdMap>
  </header>
  <header guid="{168DD8ED-F1AE-4621-8815-9931D519E6B3}" dateTime="2026-03-30T11:50:28" maxSheetId="4" userName="Ronald Pinto" r:id="rId222">
    <sheetIdMap count="3">
      <sheetId val="1"/>
      <sheetId val="2"/>
      <sheetId val="3"/>
    </sheetIdMap>
  </header>
  <header guid="{436BCCA6-0F6F-4B8E-B137-9A7724AB6470}" dateTime="2026-03-31T09:28:03" maxSheetId="4" userName="Ronald Pinto" r:id="rId223">
    <sheetIdMap count="3">
      <sheetId val="1"/>
      <sheetId val="2"/>
      <sheetId val="3"/>
    </sheetIdMap>
  </header>
  <header guid="{86D81E44-E4F9-45F6-8D97-7F18F59D38B3}" dateTime="2026-03-31T09:58:02" maxSheetId="4" userName="Ronald Pinto" r:id="rId224" minRId="3280" maxRId="3299">
    <sheetIdMap count="3">
      <sheetId val="1"/>
      <sheetId val="2"/>
      <sheetId val="3"/>
    </sheetIdMap>
  </header>
  <header guid="{CA945431-1F2D-44C4-809C-F67180CD8C50}" dateTime="2026-03-31T11:23:53" maxSheetId="4" userName="Rodrigo Coutinho" r:id="rId225" minRId="3301">
    <sheetIdMap count="3">
      <sheetId val="1"/>
      <sheetId val="2"/>
      <sheetId val="3"/>
    </sheetIdMap>
  </header>
  <header guid="{9D182176-A0A4-4576-9EEB-E63E5E3D0427}" dateTime="2026-03-31T11:38:00" maxSheetId="4" userName="Ronald Pinto" r:id="rId226" minRId="3302" maxRId="3335">
    <sheetIdMap count="3">
      <sheetId val="1"/>
      <sheetId val="2"/>
      <sheetId val="3"/>
    </sheetIdMap>
  </header>
  <header guid="{AB607FB0-15F3-4235-8313-5ADFFAC525C9}" dateTime="2026-03-31T12:04:51" maxSheetId="4" userName="Ronald Pinto" r:id="rId227" minRId="3337" maxRId="3369">
    <sheetIdMap count="3">
      <sheetId val="1"/>
      <sheetId val="2"/>
      <sheetId val="3"/>
    </sheetIdMap>
  </header>
  <header guid="{56A8DD77-B08F-4073-B7D3-FC52B01F9DBE}" dateTime="2026-03-31T12:12:08" maxSheetId="4" userName="Rodrigo Coutinho" r:id="rId228" minRId="3371">
    <sheetIdMap count="3">
      <sheetId val="1"/>
      <sheetId val="2"/>
      <sheetId val="3"/>
    </sheetIdMap>
  </header>
  <header guid="{E2B22724-9981-4FF0-9311-B6906BB74387}" dateTime="2026-03-31T12:20:21" maxSheetId="4" userName="Rodrigo Coutinho" r:id="rId229" minRId="3372" maxRId="3373">
    <sheetIdMap count="3">
      <sheetId val="1"/>
      <sheetId val="2"/>
      <sheetId val="3"/>
    </sheetIdMap>
  </header>
  <header guid="{15EEE8C0-55EC-4052-8CEC-1896812BAA1B}" dateTime="2026-03-31T12:29:21" maxSheetId="4" userName="Ronald Pinto" r:id="rId230" minRId="3374">
    <sheetIdMap count="3">
      <sheetId val="1"/>
      <sheetId val="2"/>
      <sheetId val="3"/>
    </sheetIdMap>
  </header>
  <header guid="{A7909519-7BE2-470A-85DB-29BB8BEE6A4C}" dateTime="2026-03-31T12:56:31" maxSheetId="4" userName="Ronald Pinto" r:id="rId231">
    <sheetIdMap count="3">
      <sheetId val="1"/>
      <sheetId val="2"/>
      <sheetId val="3"/>
    </sheetIdMap>
  </header>
  <header guid="{FB1FFF99-80B2-445B-AD1C-7D8753E09CF4}" dateTime="2026-03-31T14:31:28" maxSheetId="4" userName="Ronald Pinto" r:id="rId232" minRId="3376" maxRId="3386">
    <sheetIdMap count="3">
      <sheetId val="1"/>
      <sheetId val="2"/>
      <sheetId val="3"/>
    </sheetIdMap>
  </header>
  <header guid="{ACB4FA3A-A3F0-4FCA-8D01-520B951B1CD7}" dateTime="2026-03-31T14:33:33" maxSheetId="4" userName="Ronald Pinto" r:id="rId233">
    <sheetIdMap count="3">
      <sheetId val="1"/>
      <sheetId val="2"/>
      <sheetId val="3"/>
    </sheetIdMap>
  </header>
  <header guid="{80228A7A-CE5B-4808-89AE-FBA86AA5236D}" dateTime="2026-03-31T14:38:17" maxSheetId="4" userName="Ronald Pinto" r:id="rId234" minRId="3391" maxRId="3415">
    <sheetIdMap count="3">
      <sheetId val="1"/>
      <sheetId val="2"/>
      <sheetId val="3"/>
    </sheetIdMap>
  </header>
  <header guid="{D8ED841B-D0A8-448B-9F1A-2AF28C518178}" dateTime="2026-03-31T14:50:33" maxSheetId="4" userName="Ronald Pinto" r:id="rId235" minRId="3417" maxRId="3441">
    <sheetIdMap count="3">
      <sheetId val="1"/>
      <sheetId val="2"/>
      <sheetId val="3"/>
    </sheetIdMap>
  </header>
  <header guid="{E8DA2E5B-997C-4DFE-B2D7-B88B4CC38705}" dateTime="2026-03-31T14:58:03" maxSheetId="4" userName="Ronald Pinto" r:id="rId236" minRId="3443">
    <sheetIdMap count="3">
      <sheetId val="1"/>
      <sheetId val="2"/>
      <sheetId val="3"/>
    </sheetIdMap>
  </header>
  <header guid="{5518B5D0-E661-42C0-886A-EFE1DBD2B8E6}" dateTime="2026-03-31T16:07:59" maxSheetId="4" userName="Rodrigo Coutinho" r:id="rId237" minRId="3444" maxRId="3445">
    <sheetIdMap count="3">
      <sheetId val="1"/>
      <sheetId val="2"/>
      <sheetId val="3"/>
    </sheetIdMap>
  </header>
  <header guid="{01B7A09C-E7D5-45B3-8C63-4110BE197BAE}" dateTime="2026-04-01T09:28:51" maxSheetId="4" userName="Ronald Pinto" r:id="rId238" minRId="3446" maxRId="3460">
    <sheetIdMap count="3">
      <sheetId val="1"/>
      <sheetId val="2"/>
      <sheetId val="3"/>
    </sheetIdMap>
  </header>
  <header guid="{3476F701-FF41-4B3D-AB05-4EED7EA695EC}" dateTime="2026-04-01T09:31:13" maxSheetId="4" userName="Ronald Pinto" r:id="rId239" minRId="3462" maxRId="3481">
    <sheetIdMap count="3">
      <sheetId val="1"/>
      <sheetId val="2"/>
      <sheetId val="3"/>
    </sheetIdMap>
  </header>
  <header guid="{2965C533-207C-4C4A-84BC-D0167A2BE5FF}" dateTime="2026-04-01T09:32:11" maxSheetId="4" userName="Ronald Pinto" r:id="rId240" minRId="3483" maxRId="3486">
    <sheetIdMap count="3">
      <sheetId val="1"/>
      <sheetId val="2"/>
      <sheetId val="3"/>
    </sheetIdMap>
  </header>
  <header guid="{6478D95C-CB62-41C0-A226-59354D11A16D}" dateTime="2026-04-01T09:32:41" maxSheetId="4" userName="Ronald Pinto" r:id="rId241">
    <sheetIdMap count="3">
      <sheetId val="1"/>
      <sheetId val="2"/>
      <sheetId val="3"/>
    </sheetIdMap>
  </header>
  <header guid="{003C2374-CAC8-461D-8112-A18F89D18427}" dateTime="2026-04-01T09:45:51" maxSheetId="4" userName="Ronald Pinto" r:id="rId242" minRId="3487" maxRId="3509">
    <sheetIdMap count="3">
      <sheetId val="1"/>
      <sheetId val="2"/>
      <sheetId val="3"/>
    </sheetIdMap>
  </header>
  <header guid="{05B4CA7B-1767-4F0F-B3F7-DF5135841556}" dateTime="2026-04-01T10:54:38" maxSheetId="4" userName="Ronald Pinto" r:id="rId243" minRId="3511">
    <sheetIdMap count="3">
      <sheetId val="1"/>
      <sheetId val="2"/>
      <sheetId val="3"/>
    </sheetIdMap>
  </header>
  <header guid="{F0E13D4A-5F34-4865-9C5E-F72BCCD4C1BD}" dateTime="2026-04-01T11:12:13" maxSheetId="4" userName="Ronald Pinto" r:id="rId244" minRId="3512" maxRId="3517">
    <sheetIdMap count="3">
      <sheetId val="1"/>
      <sheetId val="2"/>
      <sheetId val="3"/>
    </sheetIdMap>
  </header>
  <header guid="{4C579C11-C8E7-41B2-BDF9-9E0C258BBD80}" dateTime="2026-04-01T14:44:51" maxSheetId="4" userName="Ronald Pinto" r:id="rId245" minRId="3519" maxRId="3526">
    <sheetIdMap count="3">
      <sheetId val="1"/>
      <sheetId val="2"/>
      <sheetId val="3"/>
    </sheetIdMap>
  </header>
  <header guid="{8806C195-844E-4DF8-90F4-4ED3765E4BD8}" dateTime="2026-04-01T14:54:27" maxSheetId="4" userName="Ronald Pinto" r:id="rId246" minRId="3528" maxRId="3570">
    <sheetIdMap count="3">
      <sheetId val="1"/>
      <sheetId val="2"/>
      <sheetId val="3"/>
    </sheetIdMap>
  </header>
  <header guid="{0F72C4A4-0E06-42B6-9D7D-E93C9B489098}" dateTime="2026-04-06T10:41:05" maxSheetId="4" userName="Diego González" r:id="rId247" minRId="3572" maxRId="3584">
    <sheetIdMap count="3">
      <sheetId val="1"/>
      <sheetId val="2"/>
      <sheetId val="3"/>
    </sheetIdMap>
  </header>
  <header guid="{C35A73F0-D945-44C7-94A9-CA3C64003512}" dateTime="2026-04-06T10:51:57" maxSheetId="4" userName="Ronald Pinto" r:id="rId248">
    <sheetIdMap count="3">
      <sheetId val="1"/>
      <sheetId val="2"/>
      <sheetId val="3"/>
    </sheetIdMap>
  </header>
  <header guid="{31F45877-4C0E-4AF4-AFE2-51162CFDA149}" dateTime="2026-04-06T10:53:42" maxSheetId="4" userName="Ronald Pinto" r:id="rId249" minRId="3587" maxRId="3600">
    <sheetIdMap count="3">
      <sheetId val="1"/>
      <sheetId val="2"/>
      <sheetId val="3"/>
    </sheetIdMap>
  </header>
  <header guid="{8724E08C-2310-485C-9B86-F8E8F9069F41}" dateTime="2026-04-06T10:55:04" maxSheetId="4" userName="Ronald Pinto" r:id="rId250" minRId="3602" maxRId="3615">
    <sheetIdMap count="3">
      <sheetId val="1"/>
      <sheetId val="2"/>
      <sheetId val="3"/>
    </sheetIdMap>
  </header>
  <header guid="{5634EAD3-5AC8-4831-BB0E-82B3B42D8470}" dateTime="2026-04-06T11:02:31" maxSheetId="4" userName="Diego González" r:id="rId251" minRId="3617" maxRId="3628">
    <sheetIdMap count="3">
      <sheetId val="1"/>
      <sheetId val="2"/>
      <sheetId val="3"/>
    </sheetIdMap>
  </header>
  <header guid="{158B2D45-6188-4F83-987B-46B9BB7BA89D}" dateTime="2026-04-06T11:21:56" maxSheetId="4" userName="Rodrigo Coutinho" r:id="rId252" minRId="3629" maxRId="3632">
    <sheetIdMap count="3">
      <sheetId val="1"/>
      <sheetId val="2"/>
      <sheetId val="3"/>
    </sheetIdMap>
  </header>
  <header guid="{0BFD59F5-AC68-4F84-94B0-77911E186486}" dateTime="2026-04-07T10:21:12" maxSheetId="4" userName="Ronald Pinto" r:id="rId253">
    <sheetIdMap count="3">
      <sheetId val="1"/>
      <sheetId val="2"/>
      <sheetId val="3"/>
    </sheetIdMap>
  </header>
  <header guid="{F96D884F-541B-49FD-81A0-CEA7881A3385}" dateTime="2026-04-08T09:44:29" maxSheetId="4" userName="Ronald Pinto" r:id="rId254">
    <sheetIdMap count="3">
      <sheetId val="1"/>
      <sheetId val="2"/>
      <sheetId val="3"/>
    </sheetIdMap>
  </header>
  <header guid="{A89EAA56-6B29-4CB5-B54B-175344489E49}" dateTime="2026-04-09T09:30:58" maxSheetId="4" userName="Ronald Pinto" r:id="rId255" minRId="3635" maxRId="3645">
    <sheetIdMap count="3">
      <sheetId val="1"/>
      <sheetId val="2"/>
      <sheetId val="3"/>
    </sheetIdMap>
  </header>
  <header guid="{57C3006E-D016-48CA-B20F-B7CD5D739FC1}" dateTime="2026-04-09T09:32:36" maxSheetId="4" userName="Ronald Pinto" r:id="rId256" minRId="3647" maxRId="3658">
    <sheetIdMap count="3">
      <sheetId val="1"/>
      <sheetId val="2"/>
      <sheetId val="3"/>
    </sheetIdMap>
  </header>
  <header guid="{AC270661-5659-44D9-8FF4-C1627D6B940D}" dateTime="2026-04-09T09:35:30" maxSheetId="4" userName="Ronald Pinto" r:id="rId257" minRId="3660" maxRId="3662">
    <sheetIdMap count="3">
      <sheetId val="1"/>
      <sheetId val="2"/>
      <sheetId val="3"/>
    </sheetIdMap>
  </header>
  <header guid="{6DF2B8A4-D7E7-4BD0-AFD6-C3ADC4BD13A2}" dateTime="2026-04-09T09:35:51" maxSheetId="4" userName="Ronald Pinto" r:id="rId258" minRId="3663" maxRId="3664">
    <sheetIdMap count="3">
      <sheetId val="1"/>
      <sheetId val="2"/>
      <sheetId val="3"/>
    </sheetIdMap>
  </header>
  <header guid="{EA2E2F4F-F364-4D8E-9AED-5FAF91822E25}" dateTime="2026-04-09T11:03:12" maxSheetId="4" userName="Ronald Pinto" r:id="rId259">
    <sheetIdMap count="3">
      <sheetId val="1"/>
      <sheetId val="2"/>
      <sheetId val="3"/>
    </sheetIdMap>
  </header>
  <header guid="{DDEF6214-9BE7-4F0F-8C41-C04CB7806EF8}" dateTime="2026-04-09T12:18:23" maxSheetId="4" userName="Ronald Pinto" r:id="rId260">
    <sheetIdMap count="3">
      <sheetId val="1"/>
      <sheetId val="2"/>
      <sheetId val="3"/>
    </sheetIdMap>
  </header>
  <header guid="{70E43339-52DE-4781-BF2E-70189938D8BD}" dateTime="2026-04-10T09:38:02" maxSheetId="4" userName="Ronald Pinto" r:id="rId261" minRId="3668" maxRId="3694">
    <sheetIdMap count="3">
      <sheetId val="1"/>
      <sheetId val="2"/>
      <sheetId val="3"/>
    </sheetIdMap>
  </header>
  <header guid="{7501BFBB-9C4D-44FE-A546-26AD28B89CB2}" dateTime="2026-04-10T09:54:13" maxSheetId="4" userName="Ronald Pinto" r:id="rId262" minRId="3696" maxRId="3745">
    <sheetIdMap count="3">
      <sheetId val="1"/>
      <sheetId val="2"/>
      <sheetId val="3"/>
    </sheetIdMap>
  </header>
  <header guid="{A20F4B69-ACE4-404E-8F99-EC18D6CBE15C}" dateTime="2026-04-10T09:58:05" maxSheetId="4" userName="Ronald Pinto" r:id="rId263" minRId="3746" maxRId="3755">
    <sheetIdMap count="3">
      <sheetId val="1"/>
      <sheetId val="2"/>
      <sheetId val="3"/>
    </sheetIdMap>
  </header>
  <header guid="{E6D9E7C3-3FB0-4361-9811-C71470772A51}" dateTime="2026-04-10T10:19:25" maxSheetId="4" userName="Ronald Pinto" r:id="rId264" minRId="3757" maxRId="3791">
    <sheetIdMap count="3">
      <sheetId val="1"/>
      <sheetId val="2"/>
      <sheetId val="3"/>
    </sheetIdMap>
  </header>
  <header guid="{F474E132-AD90-4AF6-A0E9-558D0F015B81}" dateTime="2026-04-10T10:22:46" maxSheetId="4" userName="Ronald Pinto" r:id="rId265" minRId="3793" maxRId="3817">
    <sheetIdMap count="3">
      <sheetId val="1"/>
      <sheetId val="2"/>
      <sheetId val="3"/>
    </sheetIdMap>
  </header>
  <header guid="{05300169-1028-4E6B-9759-73DDB4AFCA00}" dateTime="2026-04-10T10:46:25" maxSheetId="4" userName="Ronald Pinto" r:id="rId266" minRId="3819" maxRId="3834">
    <sheetIdMap count="3">
      <sheetId val="1"/>
      <sheetId val="2"/>
      <sheetId val="3"/>
    </sheetIdMap>
  </header>
  <header guid="{FCC38C71-8D99-4800-BA6B-7901B7925B6B}" dateTime="2026-04-10T10:51:36" maxSheetId="4" userName="Ronald Pinto" r:id="rId267" minRId="3836" maxRId="3849">
    <sheetIdMap count="3">
      <sheetId val="1"/>
      <sheetId val="2"/>
      <sheetId val="3"/>
    </sheetIdMap>
  </header>
  <header guid="{BD21A8C2-20CA-4A0D-B4ED-6C9684757FCE}" dateTime="2026-04-10T11:39:02" maxSheetId="4" userName="Rodrigo Coutinho" r:id="rId268" minRId="3851" maxRId="3858">
    <sheetIdMap count="3">
      <sheetId val="1"/>
      <sheetId val="2"/>
      <sheetId val="3"/>
    </sheetIdMap>
  </header>
  <header guid="{DE551557-21A3-44E7-8DCE-3E0A33A47A52}" dateTime="2026-04-10T12:27:02" maxSheetId="4" userName="Ronald Pinto" r:id="rId269" minRId="3859" maxRId="3936">
    <sheetIdMap count="3">
      <sheetId val="1"/>
      <sheetId val="2"/>
      <sheetId val="3"/>
    </sheetIdMap>
  </header>
  <header guid="{CCE9EEF7-72D8-4165-A9B0-D9F3846810F1}" dateTime="2026-04-10T12:43:25" maxSheetId="4" userName="Ronald Pinto" r:id="rId270">
    <sheetIdMap count="3">
      <sheetId val="1"/>
      <sheetId val="2"/>
      <sheetId val="3"/>
    </sheetIdMap>
  </header>
  <header guid="{25922A81-067B-4F4E-B688-28CDB8A6D4EF}" dateTime="2026-04-10T14:12:01" maxSheetId="4" userName="Rodrigo Coutinho" r:id="rId271" minRId="3939" maxRId="3940">
    <sheetIdMap count="3">
      <sheetId val="1"/>
      <sheetId val="2"/>
      <sheetId val="3"/>
    </sheetIdMap>
  </header>
  <header guid="{7286E49E-9CFE-4EE9-B990-F4495318A124}" dateTime="2026-04-10T17:11:20" maxSheetId="4" userName="Ronald Pinto" r:id="rId272">
    <sheetIdMap count="3">
      <sheetId val="1"/>
      <sheetId val="2"/>
      <sheetId val="3"/>
    </sheetIdMap>
  </header>
  <header guid="{FC1B7A9A-4F2B-42BF-828D-93BE6865CB21}" dateTime="2026-04-10T17:12:12" maxSheetId="4" userName="Ronald Pinto" r:id="rId273" minRId="3942" maxRId="3945">
    <sheetIdMap count="3">
      <sheetId val="1"/>
      <sheetId val="2"/>
      <sheetId val="3"/>
    </sheetIdMap>
  </header>
  <header guid="{80D2D380-10CB-4C7F-88C3-455EC4ED5674}" dateTime="2026-04-10T17:14:31" maxSheetId="4" userName="Ronald Pinto" r:id="rId274">
    <sheetIdMap count="3">
      <sheetId val="1"/>
      <sheetId val="2"/>
      <sheetId val="3"/>
    </sheetIdMap>
  </header>
  <header guid="{D747D11C-30FB-4C45-8306-8831DC0021AE}" dateTime="2026-04-10T17:16:33" maxSheetId="4" userName="Ronald Pinto" r:id="rId275" minRId="3947" maxRId="4056">
    <sheetIdMap count="3">
      <sheetId val="1"/>
      <sheetId val="2"/>
      <sheetId val="3"/>
    </sheetIdMap>
  </header>
  <header guid="{31323B63-A944-487F-AA7C-27A5C1237628}" dateTime="2026-04-14T09:43:42" maxSheetId="4" userName="Ronald Pinto" r:id="rId276" minRId="4058" maxRId="4068">
    <sheetIdMap count="3">
      <sheetId val="1"/>
      <sheetId val="2"/>
      <sheetId val="3"/>
    </sheetIdMap>
  </header>
  <header guid="{E0AEF288-568A-4B02-A8EE-88D495A0F2F7}" dateTime="2026-04-14T10:36:37" maxSheetId="4" userName="Ronald Pinto" r:id="rId277" minRId="4069" maxRId="4083">
    <sheetIdMap count="3">
      <sheetId val="1"/>
      <sheetId val="2"/>
      <sheetId val="3"/>
    </sheetIdMap>
  </header>
  <header guid="{771C208D-3154-40C7-93A6-3F4559682B4C}" dateTime="2026-04-14T11:15:51" maxSheetId="4" userName="Rodrigo Coutinho" r:id="rId278" minRId="4085" maxRId="4090">
    <sheetIdMap count="3">
      <sheetId val="1"/>
      <sheetId val="2"/>
      <sheetId val="3"/>
    </sheetIdMap>
  </header>
  <header guid="{3F877876-9D08-4FAD-952B-4DC746D42D13}" dateTime="2026-04-15T09:31:11" maxSheetId="4" userName="Ronald Pinto" r:id="rId279" minRId="4092" maxRId="4101">
    <sheetIdMap count="3">
      <sheetId val="1"/>
      <sheetId val="2"/>
      <sheetId val="3"/>
    </sheetIdMap>
  </header>
  <header guid="{1F8EE9D4-FEBB-49DA-BA49-93525D1767FD}" dateTime="2026-04-16T10:27:54" maxSheetId="4" userName="Ronald Pinto" r:id="rId280" minRId="4103" maxRId="4122">
    <sheetIdMap count="3">
      <sheetId val="1"/>
      <sheetId val="2"/>
      <sheetId val="3"/>
    </sheetIdMap>
  </header>
  <header guid="{911FF79B-5A18-490F-B6DD-019057074307}" dateTime="2026-04-16T10:56:49" maxSheetId="4" userName="Ronald Pinto" r:id="rId281" minRId="4124" maxRId="4133">
    <sheetIdMap count="3">
      <sheetId val="1"/>
      <sheetId val="2"/>
      <sheetId val="3"/>
    </sheetIdMap>
  </header>
  <header guid="{F4D397F7-50CC-497A-8538-4A668E8A3465}" dateTime="2026-04-16T11:50:27" maxSheetId="4" userName="Ronald Pinto" r:id="rId282" minRId="4135" maxRId="4145">
    <sheetIdMap count="3">
      <sheetId val="1"/>
      <sheetId val="2"/>
      <sheetId val="3"/>
    </sheetIdMap>
  </header>
  <header guid="{8CAB9204-BE96-4BF0-A4AC-20B6BC699209}" dateTime="2026-04-16T13:14:08" maxSheetId="4" userName="Ronald Pinto" r:id="rId283" minRId="4147" maxRId="4157">
    <sheetIdMap count="3">
      <sheetId val="1"/>
      <sheetId val="2"/>
      <sheetId val="3"/>
    </sheetIdMap>
  </header>
  <header guid="{6A39D1DD-6D80-4154-9BD0-3A078E71AA9E}" dateTime="2026-04-16T13:38:04" maxSheetId="4" userName="Ronald Pinto" r:id="rId284" minRId="4159" maxRId="4163">
    <sheetIdMap count="3">
      <sheetId val="1"/>
      <sheetId val="2"/>
      <sheetId val="3"/>
    </sheetIdMap>
  </header>
  <header guid="{440FB6DB-B5BA-4EDA-A673-4469A0A0A109}" dateTime="2026-04-17T09:35:35" maxSheetId="4" userName="Ronald Pinto" r:id="rId285" minRId="4165" maxRId="4184">
    <sheetIdMap count="3">
      <sheetId val="1"/>
      <sheetId val="2"/>
      <sheetId val="3"/>
    </sheetIdMap>
  </header>
  <header guid="{143D0ED6-3C32-4354-83DC-005D97C421CB}" dateTime="2026-04-17T09:47:25" maxSheetId="4" userName="Ronald Pinto" r:id="rId286" minRId="4186" maxRId="4205">
    <sheetIdMap count="3">
      <sheetId val="1"/>
      <sheetId val="2"/>
      <sheetId val="3"/>
    </sheetIdMap>
  </header>
  <header guid="{32D597E4-D49A-4421-B4F4-855C4C7627CC}" dateTime="2026-04-17T09:51:02" maxSheetId="4" userName="Ronald Pinto" r:id="rId287" minRId="4207" maxRId="4227">
    <sheetIdMap count="3">
      <sheetId val="1"/>
      <sheetId val="2"/>
      <sheetId val="3"/>
    </sheetIdMap>
  </header>
  <header guid="{3EDF1D2E-2A1F-4CEF-AD7A-3E6A0A065224}" dateTime="2026-04-17T09:57:01" maxSheetId="4" userName="Ronald Pinto" r:id="rId288" minRId="4229" maxRId="4248">
    <sheetIdMap count="3">
      <sheetId val="1"/>
      <sheetId val="2"/>
      <sheetId val="3"/>
    </sheetIdMap>
  </header>
  <header guid="{98DF5D4C-CB00-4CB8-A70B-6A2FD7DF484A}" dateTime="2026-04-17T10:15:25" maxSheetId="4" userName="Ronald Pinto" r:id="rId289" minRId="4250" maxRId="4289">
    <sheetIdMap count="3">
      <sheetId val="1"/>
      <sheetId val="2"/>
      <sheetId val="3"/>
    </sheetIdMap>
  </header>
  <header guid="{D4536D86-F39A-46F0-89B1-AB38CE069445}" dateTime="2026-04-17T11:20:36" maxSheetId="4" userName="Ronald Pinto" r:id="rId290" minRId="4291" maxRId="4315">
    <sheetIdMap count="3">
      <sheetId val="1"/>
      <sheetId val="2"/>
      <sheetId val="3"/>
    </sheetIdMap>
  </header>
  <header guid="{12D36ECB-3AF3-4B0E-AF8A-CBF893ACC562}" dateTime="2026-04-17T11:25:18" maxSheetId="4" userName="Ronald Pinto" r:id="rId291" minRId="4317" maxRId="4341">
    <sheetIdMap count="3">
      <sheetId val="1"/>
      <sheetId val="2"/>
      <sheetId val="3"/>
    </sheetIdMap>
  </header>
  <header guid="{2F5E5A93-E2B6-4AD8-87DE-C0C94F4D2693}" dateTime="2026-04-17T11:26:46" maxSheetId="4" userName="Ronald Pinto" r:id="rId292">
    <sheetIdMap count="3">
      <sheetId val="1"/>
      <sheetId val="2"/>
      <sheetId val="3"/>
    </sheetIdMap>
  </header>
  <header guid="{DCECDF38-2F00-435C-BD10-A75D17D92CE9}" dateTime="2026-04-17T11:41:25" maxSheetId="4" userName="Ronald Pinto" r:id="rId293" minRId="4344">
    <sheetIdMap count="3">
      <sheetId val="1"/>
      <sheetId val="2"/>
      <sheetId val="3"/>
    </sheetIdMap>
  </header>
  <header guid="{D7863BC9-3946-454A-832D-782C46A32A8D}" dateTime="2026-04-17T12:23:07" maxSheetId="4" userName="Rodrigo Coutinho" r:id="rId294" minRId="4346" maxRId="4353">
    <sheetIdMap count="3">
      <sheetId val="1"/>
      <sheetId val="2"/>
      <sheetId val="3"/>
    </sheetIdMap>
  </header>
  <header guid="{9964AA36-3C39-4886-8E89-0B4FD584D2EF}" dateTime="2026-04-20T09:04:16" maxSheetId="4" userName="Ronald Pinto" r:id="rId295">
    <sheetIdMap count="3">
      <sheetId val="1"/>
      <sheetId val="2"/>
      <sheetId val="3"/>
    </sheetIdMap>
  </header>
  <header guid="{261C8F2E-A053-4ED7-96B9-B8CAEF8BC071}" dateTime="2026-04-20T11:03:39" maxSheetId="4" userName="Ronald Pinto" r:id="rId296" minRId="4356">
    <sheetIdMap count="3">
      <sheetId val="1"/>
      <sheetId val="2"/>
      <sheetId val="3"/>
    </sheetIdMap>
  </header>
  <header guid="{56C60353-25EF-4132-A2E8-B2B57E7E413E}" dateTime="2026-04-20T11:11:05" maxSheetId="4" userName="Ronald Pinto" r:id="rId297" minRId="4358" maxRId="4360">
    <sheetIdMap count="3">
      <sheetId val="1"/>
      <sheetId val="2"/>
      <sheetId val="3"/>
    </sheetIdMap>
  </header>
  <header guid="{CB01F7E8-7406-4070-8DF6-A4CE037F7D77}" dateTime="2026-04-21T09:54:48" maxSheetId="4" userName="Ronald Pinto" r:id="rId298" minRId="4362" maxRId="4399">
    <sheetIdMap count="3">
      <sheetId val="1"/>
      <sheetId val="2"/>
      <sheetId val="3"/>
    </sheetIdMap>
  </header>
  <header guid="{3405D69E-0936-4724-8AB5-489CDC826764}" dateTime="2026-04-21T10:02:25" maxSheetId="4" userName="Ronald Pinto" r:id="rId299">
    <sheetIdMap count="3">
      <sheetId val="1"/>
      <sheetId val="2"/>
      <sheetId val="3"/>
    </sheetIdMap>
  </header>
  <header guid="{ADC65F60-60A2-4669-BA7C-1C11C04DB146}" dateTime="2026-04-21T11:45:05" maxSheetId="4" userName="Rodrigo Coutinho" r:id="rId300" minRId="4402" maxRId="4404">
    <sheetIdMap count="3">
      <sheetId val="1"/>
      <sheetId val="2"/>
      <sheetId val="3"/>
    </sheetIdMap>
  </header>
  <header guid="{1DFE08E4-C0FC-46F2-B81F-DEA2682A8E69}" dateTime="2026-04-23T09:42:34" maxSheetId="4" userName="Ronald Pinto" r:id="rId301" minRId="4405" maxRId="4415">
    <sheetIdMap count="3">
      <sheetId val="1"/>
      <sheetId val="2"/>
      <sheetId val="3"/>
    </sheetIdMap>
  </header>
  <header guid="{5A444054-20AB-4655-9F8C-09872811A55C}" dateTime="2026-04-23T09:44:41" maxSheetId="4" userName="Ronald Pinto" r:id="rId302" minRId="4417" maxRId="4429">
    <sheetIdMap count="3">
      <sheetId val="1"/>
      <sheetId val="2"/>
      <sheetId val="3"/>
    </sheetIdMap>
  </header>
  <header guid="{22237B0E-C83A-42C0-B15B-F05709642EEB}" dateTime="2026-04-23T09:47:57" maxSheetId="4" userName="Ronald Pinto" r:id="rId303" minRId="4431" maxRId="4441">
    <sheetIdMap count="3">
      <sheetId val="1"/>
      <sheetId val="2"/>
      <sheetId val="3"/>
    </sheetIdMap>
  </header>
  <header guid="{802D6D9B-208F-4DA7-A61F-8F645251F96B}" dateTime="2026-04-23T13:22:13" maxSheetId="4" userName="Ronald Pinto" r:id="rId304">
    <sheetIdMap count="3">
      <sheetId val="1"/>
      <sheetId val="2"/>
      <sheetId val="3"/>
    </sheetIdMap>
  </header>
  <header guid="{B1170AD3-59FF-4B3C-AA0C-CAF6069E8E2B}" dateTime="2026-04-24T11:03:52" maxSheetId="4" userName="Ronald Pinto" r:id="rId305" minRId="4444" maxRId="4468">
    <sheetIdMap count="3">
      <sheetId val="1"/>
      <sheetId val="2"/>
      <sheetId val="3"/>
    </sheetIdMap>
  </header>
  <header guid="{6E2209D9-2A1B-4A04-87F5-DD16222CBC8E}" dateTime="2026-04-24T11:22:05" maxSheetId="4" userName="Ronald Pinto" r:id="rId306" minRId="4470" maxRId="4494">
    <sheetIdMap count="3">
      <sheetId val="1"/>
      <sheetId val="2"/>
      <sheetId val="3"/>
    </sheetIdMap>
  </header>
  <header guid="{F89DCAB7-F852-4721-9E3A-751A51472490}" dateTime="2026-04-24T11:25:39" maxSheetId="4" userName="Ronald Pinto" r:id="rId307" minRId="4496" maxRId="4521">
    <sheetIdMap count="3">
      <sheetId val="1"/>
      <sheetId val="2"/>
      <sheetId val="3"/>
    </sheetIdMap>
  </header>
  <header guid="{070AF933-57BF-4813-9DC8-DE93D7D2E84D}" dateTime="2026-04-24T11:34:14" maxSheetId="4" userName="Ronald Pinto" r:id="rId308" minRId="4523" maxRId="4560">
    <sheetIdMap count="3">
      <sheetId val="1"/>
      <sheetId val="2"/>
      <sheetId val="3"/>
    </sheetIdMap>
  </header>
  <header guid="{0A29FD72-992A-4F95-8DC2-D4B93900557E}" dateTime="2026-04-24T15:11:49" maxSheetId="4" userName="Ronald Pinto" r:id="rId309" minRId="4562">
    <sheetIdMap count="3">
      <sheetId val="1"/>
      <sheetId val="2"/>
      <sheetId val="3"/>
    </sheetIdMap>
  </header>
  <header guid="{AE2FF599-C703-46E9-A157-765AB97BF69B}" dateTime="2026-04-24T16:48:36" maxSheetId="4" userName="Ronald Pinto" r:id="rId310" minRId="4564" maxRId="4588">
    <sheetIdMap count="3">
      <sheetId val="1"/>
      <sheetId val="2"/>
      <sheetId val="3"/>
    </sheetIdMap>
  </header>
  <header guid="{EDDC6EC3-403B-402C-A526-63FC43AA0B6D}" dateTime="2026-04-27T12:57:19" maxSheetId="4" userName="Ronald Pinto" r:id="rId311">
    <sheetIdMap count="3">
      <sheetId val="1"/>
      <sheetId val="2"/>
      <sheetId val="3"/>
    </sheetIdMap>
  </header>
  <header guid="{67A67866-6668-42D0-8404-77AFCED4D9A9}" dateTime="2026-04-27T13:17:35" maxSheetId="4" userName="Rodrigo Coutinho" r:id="rId312" minRId="4591">
    <sheetIdMap count="3">
      <sheetId val="1"/>
      <sheetId val="2"/>
      <sheetId val="3"/>
    </sheetIdMap>
  </header>
  <header guid="{D8FDCF54-1E73-4066-82A8-76F33E146EE6}" dateTime="2026-04-28T09:51:56" maxSheetId="4" userName="Ronald Pinto" r:id="rId313" minRId="4592" maxRId="4691">
    <sheetIdMap count="3">
      <sheetId val="1"/>
      <sheetId val="2"/>
      <sheetId val="3"/>
    </sheetIdMap>
  </header>
  <header guid="{E3BE34AA-07E7-494F-9AA6-12380224BD8C}" dateTime="2026-04-28T09:52:55" maxSheetId="4" userName="Ronald Pinto" r:id="rId314" minRId="4693" maxRId="4695">
    <sheetIdMap count="3">
      <sheetId val="1"/>
      <sheetId val="2"/>
      <sheetId val="3"/>
    </sheetIdMap>
  </header>
  <header guid="{8824D89F-DA1A-43C9-A78C-5F6C23A8DBA7}" dateTime="2026-04-28T10:02:56" maxSheetId="4" userName="Ronald Pinto" r:id="rId315" minRId="4696" maxRId="4701">
    <sheetIdMap count="3">
      <sheetId val="1"/>
      <sheetId val="2"/>
      <sheetId val="3"/>
    </sheetIdMap>
  </header>
  <header guid="{58962F7C-C9F8-4FFD-B8C5-2ADBC5239C69}" dateTime="2026-04-29T16:33:02" maxSheetId="4" userName="Ronald Pinto" r:id="rId316" minRId="4703" maxRId="4712">
    <sheetIdMap count="3">
      <sheetId val="1"/>
      <sheetId val="2"/>
      <sheetId val="3"/>
    </sheetIdMap>
  </header>
  <header guid="{B07160AA-4E2B-4024-A9B7-06F16582EA7F}" dateTime="2026-04-30T10:05:00" maxSheetId="4" userName="Ronald Pinto" r:id="rId317" minRId="4714" maxRId="4723">
    <sheetIdMap count="3">
      <sheetId val="1"/>
      <sheetId val="2"/>
      <sheetId val="3"/>
    </sheetIdMap>
  </header>
  <header guid="{47DBEC54-3077-4BA2-944A-D3F3D7F3A300}" dateTime="2026-04-30T10:28:58" maxSheetId="4" userName="Ronald Pinto" r:id="rId318" minRId="4725" maxRId="4734">
    <sheetIdMap count="3">
      <sheetId val="1"/>
      <sheetId val="2"/>
      <sheetId val="3"/>
    </sheetIdMap>
  </header>
  <header guid="{FCDA6931-375B-4CF8-94AB-495E464C7F8F}" dateTime="2026-04-30T10:49:29" maxSheetId="4" userName="Ronald Pinto" r:id="rId319" minRId="4736" maxRId="4745">
    <sheetIdMap count="3">
      <sheetId val="1"/>
      <sheetId val="2"/>
      <sheetId val="3"/>
    </sheetIdMap>
  </header>
  <header guid="{5B95676C-4D52-495F-A460-2D2CCAEB92C9}" dateTime="2026-04-30T12:55:20" maxSheetId="4" userName="Ronald Pinto" r:id="rId320" minRId="4747" maxRId="4750">
    <sheetIdMap count="3">
      <sheetId val="1"/>
      <sheetId val="2"/>
      <sheetId val="3"/>
    </sheetIdMap>
  </header>
  <header guid="{8CDCD363-9B67-469E-8787-269C2B0198F5}" dateTime="2026-04-30T18:28:51" maxSheetId="4" userName="Rodrigo Coutinho" r:id="rId321" minRId="4752" maxRId="4757">
    <sheetIdMap count="3">
      <sheetId val="1"/>
      <sheetId val="2"/>
      <sheetId val="3"/>
    </sheetIdMap>
  </header>
  <header guid="{2A2EF4CC-67AD-4F18-BCF9-4F79B66386B5}" dateTime="2026-05-04T09:27:29" maxSheetId="4" userName="Ronald Pinto" r:id="rId322">
    <sheetIdMap count="3">
      <sheetId val="1"/>
      <sheetId val="2"/>
      <sheetId val="3"/>
    </sheetIdMap>
  </header>
  <header guid="{D8B1E418-544E-480A-8C75-DB9D7D7CE9F5}" dateTime="2026-05-04T09:50:27" maxSheetId="4" userName="Ronald Pinto" r:id="rId323" minRId="4760" maxRId="4773">
    <sheetIdMap count="3">
      <sheetId val="1"/>
      <sheetId val="2"/>
      <sheetId val="3"/>
    </sheetIdMap>
  </header>
  <header guid="{EC51C18C-3ABA-414A-8FC1-84D686890F00}" dateTime="2026-05-04T11:00:02" maxSheetId="4" userName="Ronald Pinto" r:id="rId324" minRId="4775" maxRId="4815">
    <sheetIdMap count="3">
      <sheetId val="1"/>
      <sheetId val="2"/>
      <sheetId val="3"/>
    </sheetIdMap>
  </header>
  <header guid="{CF238599-D97E-4C4A-ADD8-DE0645B6E653}" dateTime="2026-05-04T11:03:43" maxSheetId="4" userName="Ronald Pinto" r:id="rId325" minRId="4817" maxRId="4835">
    <sheetIdMap count="3">
      <sheetId val="1"/>
      <sheetId val="2"/>
      <sheetId val="3"/>
    </sheetIdMap>
  </header>
  <header guid="{E3F3A209-E866-4A6E-920C-6540F31F4522}" dateTime="2026-05-04T11:05:34" maxSheetId="4" userName="Ronald Pinto" r:id="rId326" minRId="4837">
    <sheetIdMap count="3">
      <sheetId val="1"/>
      <sheetId val="2"/>
      <sheetId val="3"/>
    </sheetIdMap>
  </header>
  <header guid="{CD3756AE-8C9C-4633-8160-64969764C3E6}" dateTime="2026-05-04T11:08:53" maxSheetId="4" userName="Ronald Pinto" r:id="rId327">
    <sheetIdMap count="3">
      <sheetId val="1"/>
      <sheetId val="2"/>
      <sheetId val="3"/>
    </sheetIdMap>
  </header>
  <header guid="{57FCF4DE-FB43-477D-887C-FFE7A523FE6E}" dateTime="2026-05-04T11:18:35" maxSheetId="4" userName="Ronald Pinto" r:id="rId328" minRId="4839" maxRId="4858">
    <sheetIdMap count="3">
      <sheetId val="1"/>
      <sheetId val="2"/>
      <sheetId val="3"/>
    </sheetIdMap>
  </header>
  <header guid="{B0DD4AB2-4D58-4E29-88AA-556C222FB58F}" dateTime="2026-05-04T11:22:23" maxSheetId="4" userName="Ronald Pinto" r:id="rId329">
    <sheetIdMap count="3">
      <sheetId val="1"/>
      <sheetId val="2"/>
      <sheetId val="3"/>
    </sheetIdMap>
  </header>
  <header guid="{1CC161A4-73F4-4FE7-A7D2-C9E5762B3A5D}" dateTime="2026-05-04T13:40:44" maxSheetId="4" userName="Rodrigo Coutinho" r:id="rId330" minRId="4861" maxRId="4978">
    <sheetIdMap count="3">
      <sheetId val="1"/>
      <sheetId val="2"/>
      <sheetId val="3"/>
    </sheetIdMap>
  </header>
  <header guid="{312D98C6-D514-4AE1-AAEF-CFBAEE0DF5A7}" dateTime="2026-05-04T13:41:01" maxSheetId="4" userName="Rodrigo Coutinho" r:id="rId331">
    <sheetIdMap count="3">
      <sheetId val="1"/>
      <sheetId val="2"/>
      <sheetId val="3"/>
    </sheetIdMap>
  </header>
  <header guid="{EAD64FE7-0E1E-4DC1-A930-365D85DB86FC}" dateTime="2026-05-05T09:45:41" maxSheetId="4" userName="Ronald Pinto" r:id="rId332">
    <sheetIdMap count="3">
      <sheetId val="1"/>
      <sheetId val="2"/>
      <sheetId val="3"/>
    </sheetIdMap>
  </header>
  <header guid="{1A9F9329-2A3C-4857-9B5D-6DB202A5DE59}" dateTime="2026-05-05T10:54:42" maxSheetId="4" userName="Rodrigo Coutinho" r:id="rId333" minRId="4981" maxRId="5018">
    <sheetIdMap count="3">
      <sheetId val="1"/>
      <sheetId val="2"/>
      <sheetId val="3"/>
    </sheetIdMap>
  </header>
  <header guid="{78DB955B-C523-4DB3-AE05-D3B7A8AE902E}" dateTime="2026-05-05T12:08:45" maxSheetId="4" userName="Rodrigo Coutinho" r:id="rId334" minRId="5019" maxRId="5023">
    <sheetIdMap count="3">
      <sheetId val="1"/>
      <sheetId val="2"/>
      <sheetId val="3"/>
    </sheetIdMap>
  </header>
  <header guid="{566BC3C9-5427-4F3E-ADC2-BB9FA99BEF53}" dateTime="2026-05-05T12:52:14" maxSheetId="4" userName="Ronald Pinto" r:id="rId335" minRId="5024" maxRId="5043">
    <sheetIdMap count="3">
      <sheetId val="1"/>
      <sheetId val="2"/>
      <sheetId val="3"/>
    </sheetIdMap>
  </header>
  <header guid="{D6144105-37D0-4FA1-9304-0FAFA51CC156}" dateTime="2026-05-05T17:28:02" maxSheetId="4" userName="Rodrigo Coutinho" r:id="rId336" minRId="5045">
    <sheetIdMap count="3">
      <sheetId val="1"/>
      <sheetId val="2"/>
      <sheetId val="3"/>
    </sheetIdMap>
  </header>
  <header guid="{0B340683-B551-4557-8F56-FDEE3DC9C7FD}" dateTime="2026-05-06T11:58:32" maxSheetId="4" userName="Ronald Pinto" r:id="rId337" minRId="5046" maxRId="5048">
    <sheetIdMap count="3">
      <sheetId val="1"/>
      <sheetId val="2"/>
      <sheetId val="3"/>
    </sheetIdMap>
  </header>
  <header guid="{56222846-597F-468C-B1EA-D4407354F0B7}" dateTime="2026-05-07T09:31:10" maxSheetId="4" userName="Ronald Pinto" r:id="rId338" minRId="5050" maxRId="5060">
    <sheetIdMap count="3">
      <sheetId val="1"/>
      <sheetId val="2"/>
      <sheetId val="3"/>
    </sheetIdMap>
  </header>
  <header guid="{12D3C64B-3156-4468-A5FB-4E7F8F386FDC}" dateTime="2026-05-07T09:57:30" maxSheetId="4" userName="Ronald Pinto" r:id="rId339" minRId="5062" maxRId="5071">
    <sheetIdMap count="3">
      <sheetId val="1"/>
      <sheetId val="2"/>
      <sheetId val="3"/>
    </sheetIdMap>
  </header>
  <header guid="{5BB91D92-855E-4A5B-B693-A421544C840F}" dateTime="2026-05-07T10:17:28" maxSheetId="4" userName="Ronald Pinto" r:id="rId340" minRId="5073">
    <sheetIdMap count="3">
      <sheetId val="1"/>
      <sheetId val="2"/>
      <sheetId val="3"/>
    </sheetIdMap>
  </header>
  <header guid="{90140015-BD29-403B-A2BC-81196678C3C4}" dateTime="2026-05-07T12:38:15" maxSheetId="4" userName="Ronald Pinto" r:id="rId341">
    <sheetIdMap count="3">
      <sheetId val="1"/>
      <sheetId val="2"/>
      <sheetId val="3"/>
    </sheetIdMap>
  </header>
  <header guid="{C1CB744B-F80F-43AF-BDB2-908AE9750173}" dateTime="2026-05-08T10:08:13" maxSheetId="4" userName="Ronald Pinto" r:id="rId342" minRId="5075" maxRId="5099">
    <sheetIdMap count="3">
      <sheetId val="1"/>
      <sheetId val="2"/>
      <sheetId val="3"/>
    </sheetIdMap>
  </header>
  <header guid="{1FCE1A1D-B705-402C-AACF-5D45384C0448}" dateTime="2026-05-08T10:11:28" maxSheetId="4" userName="Ronald Pinto" r:id="rId343" minRId="5101" maxRId="5127">
    <sheetIdMap count="3">
      <sheetId val="1"/>
      <sheetId val="2"/>
      <sheetId val="3"/>
    </sheetIdMap>
  </header>
  <header guid="{D075C063-12E5-4818-872D-CCC39AAD12DC}" dateTime="2026-05-08T10:14:27" maxSheetId="4" userName="Ronald Pinto" r:id="rId344" minRId="5129" maxRId="5153">
    <sheetIdMap count="3">
      <sheetId val="1"/>
      <sheetId val="2"/>
      <sheetId val="3"/>
    </sheetIdMap>
  </header>
  <header guid="{F0145620-CCC2-4D72-B600-076BCA2C437A}" dateTime="2026-05-08T10:33:48" maxSheetId="4" userName="Ronald Pinto" r:id="rId345">
    <sheetIdMap count="3">
      <sheetId val="1"/>
      <sheetId val="2"/>
      <sheetId val="3"/>
    </sheetIdMap>
  </header>
  <header guid="{1DB08FBF-1C5B-49E9-8CE2-09F3CDB2D047}" dateTime="2026-05-08T11:44:18" maxSheetId="4" userName="Rodrigo Coutinho" r:id="rId346" minRId="5156" maxRId="5158">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48:A52">
    <dxf>
      <fill>
        <patternFill patternType="none">
          <bgColor auto="1"/>
        </patternFill>
      </fill>
    </dxf>
  </rfmt>
  <rcv guid="{D015136D-255F-4042-9389-EB535F138010}" action="delete"/>
  <rdn rId="0" localSheetId="1" customView="1" name="Z_D015136D_255F_4042_9389_EB535F138010_.wvu.Rows" hidden="1" oldHidden="1">
    <formula>DATA!$2:$47</formula>
  </rdn>
  <rdn rId="0" localSheetId="1" customView="1" name="Z_D015136D_255F_4042_9389_EB535F138010_.wvu.FilterData" hidden="1" oldHidden="1">
    <formula>DATA!$A$1:$AK$47</formula>
    <oldFormula>DATA!$A$1:$AK$47</oldFormula>
  </rdn>
  <rcv guid="{D015136D-255F-4042-9389-EB535F138010}" action="add"/>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dn rId="0" localSheetId="1" customView="1" name="Z_D015136D_255F_4042_9389_EB535F138010_.wvu.Rows" hidden="1" oldHidden="1">
    <oldFormula>DATA!$2:$47</oldFormula>
  </rdn>
  <rcv guid="{D015136D-255F-4042-9389-EB535F138010}" action="delete"/>
  <rdn rId="0" localSheetId="1" customView="1" name="Z_D015136D_255F_4042_9389_EB535F138010_.wvu.FilterData" hidden="1" oldHidden="1">
    <formula>DATA!$A$1:$AK$47</formula>
    <oldFormula>DATA!$A$1:$AK$47</oldFormula>
  </rdn>
  <rcv guid="{D015136D-255F-4042-9389-EB535F138010}"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5" sId="1">
    <nc r="M40">
      <f>+N40-H40</f>
    </nc>
  </rcc>
  <rcc rId="1546" sId="1">
    <nc r="N40">
      <f>2500.3+3000.5</f>
    </nc>
  </rcc>
  <rcc rId="1547" sId="1" numFmtId="34">
    <nc r="O40">
      <v>9</v>
    </nc>
  </rcc>
  <rcc rId="1548" sId="1" numFmtId="34">
    <nc r="P40">
      <v>3</v>
    </nc>
  </rcc>
  <rcc rId="1549" sId="1">
    <nc r="Q40">
      <f>+P40+O40</f>
    </nc>
  </rcc>
  <rcc rId="1550" sId="1">
    <nc r="R40">
      <f>(N40/Q40)</f>
    </nc>
  </rcc>
  <rcc rId="1551" sId="1">
    <nc r="S40">
      <f>(('Costo por negocio'!$B$2-DATA!R40)*DATA!O40)+('Costo por negocio'!$C$2-DATA!R40)*DATA!P40</f>
    </nc>
  </rcc>
  <rcc rId="1552" sId="1">
    <nc r="U40" t="inlineStr">
      <is>
        <t>SI</t>
      </is>
    </nc>
  </rcc>
  <rcc rId="1553" sId="1">
    <nc r="V40" t="inlineStr">
      <is>
        <t>SI</t>
      </is>
    </nc>
  </rcc>
  <rcc rId="1554" sId="1">
    <nc r="W40" t="inlineStr">
      <is>
        <t>SI</t>
      </is>
    </nc>
  </rcc>
  <rcc rId="1555" sId="1" numFmtId="19">
    <nc r="T40">
      <v>46073</v>
    </nc>
  </rcc>
  <rcc rId="1556" sId="1">
    <nc r="Y40" t="inlineStr">
      <is>
        <t>BEB 9280</t>
      </is>
    </nc>
  </rcc>
  <rcc rId="1557" sId="1" numFmtId="34">
    <nc r="AD40">
      <v>99981</v>
    </nc>
  </rcc>
  <rcc rId="1558" sId="1" numFmtId="27">
    <nc r="AE40">
      <v>46062.708333333336</v>
    </nc>
  </rcc>
  <rcc rId="1559" sId="1" numFmtId="34">
    <nc r="AF40">
      <v>101018</v>
    </nc>
  </rcc>
  <rcc rId="1560" sId="1">
    <nc r="AH40">
      <f>+AF40-AD40</f>
    </nc>
  </rcc>
  <rcc rId="1561" sId="1" numFmtId="27">
    <nc r="AG40">
      <v>46066.402777777781</v>
    </nc>
  </rcc>
  <rcc rId="1562" sId="1">
    <nc r="AI40">
      <v>3</v>
    </nc>
  </rcc>
  <rcc rId="1563" sId="1">
    <nc r="AJ40">
      <f>+AI40*5</f>
    </nc>
  </rcc>
  <rcc rId="1564" sId="1">
    <nc r="AK40">
      <f>+Q40-AJ40</f>
    </nc>
  </rcc>
  <rcc rId="1565" sId="1">
    <nc r="AM40">
      <f>+AH40/Q40</f>
    </nc>
  </rcc>
  <rcc rId="1566" sId="1">
    <nc r="AN40">
      <f>+Q40/AI40</f>
    </nc>
  </rcc>
  <rcc rId="1567" sId="1">
    <nc r="AQ40">
      <f>+N40/78.54</f>
    </nc>
  </rcc>
  <rcc rId="1568" sId="1">
    <nc r="AR40">
      <f>+AH40/11</f>
    </nc>
  </rcc>
  <rcc rId="1569" sId="1">
    <nc r="AS40">
      <f>+AR40-AQ40</f>
    </nc>
  </rcc>
  <rcc rId="1570" sId="1">
    <nc r="AT40">
      <f>+AH40/AQ40</f>
    </nc>
  </rcc>
  <rfmt sheetId="1" sqref="A40:AK40">
    <dxf>
      <fill>
        <patternFill patternType="solid">
          <bgColor rgb="FF92D050"/>
        </patternFill>
      </fill>
    </dxf>
  </rfmt>
  <rcv guid="{D015136D-255F-4042-9389-EB535F138010}" action="delete"/>
  <rdn rId="0" localSheetId="1" customView="1" name="Z_D015136D_255F_4042_9389_EB535F138010_.wvu.FilterData" hidden="1" oldHidden="1">
    <formula>DATA!$A$1:$AK$52</formula>
    <oldFormula>DATA!$A$1:$AK$47</oldFormula>
  </rdn>
  <rcv guid="{D015136D-255F-4042-9389-EB535F138010}" action="add"/>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46:AK46" start="0" length="2147483647">
    <dxf>
      <font>
        <color rgb="FFFF0000"/>
      </font>
    </dxf>
  </rfmt>
  <rfmt sheetId="1" sqref="A46:AK46">
    <dxf>
      <fill>
        <patternFill patternType="solid">
          <bgColor theme="1"/>
        </patternFill>
      </fill>
    </dxf>
  </rfmt>
  <rfmt sheetId="1" sqref="A46:AK46" start="0" length="2147483647">
    <dxf>
      <font>
        <color rgb="FF92D050"/>
      </font>
    </dxf>
  </rfmt>
  <rfmt sheetId="1" sqref="A46:AK46" start="0" length="2147483647">
    <dxf>
      <font>
        <color auto="1"/>
      </font>
    </dxf>
  </rfmt>
  <rfmt sheetId="1" sqref="A46" start="0" length="0">
    <dxf>
      <font>
        <color auto="1"/>
        <name val="Calibri"/>
        <scheme val="none"/>
      </font>
      <fill>
        <patternFill>
          <bgColor rgb="FF92D050"/>
        </patternFill>
      </fill>
    </dxf>
  </rfmt>
  <rfmt sheetId="1" sqref="B46" start="0" length="0">
    <dxf>
      <font>
        <color auto="1"/>
        <name val="Calibri"/>
        <scheme val="none"/>
      </font>
      <fill>
        <patternFill>
          <bgColor rgb="FF92D050"/>
        </patternFill>
      </fill>
    </dxf>
  </rfmt>
  <rfmt sheetId="1" sqref="C46" start="0" length="0">
    <dxf>
      <font>
        <color auto="1"/>
        <name val="Calibri"/>
        <scheme val="none"/>
      </font>
      <fill>
        <patternFill>
          <bgColor rgb="FF92D050"/>
        </patternFill>
      </fill>
    </dxf>
  </rfmt>
  <rfmt sheetId="1" sqref="D46" start="0" length="0">
    <dxf>
      <font>
        <color auto="1"/>
        <name val="Calibri"/>
        <scheme val="none"/>
      </font>
      <fill>
        <patternFill>
          <bgColor rgb="FF92D050"/>
        </patternFill>
      </fill>
    </dxf>
  </rfmt>
  <rfmt sheetId="1" sqref="E46" start="0" length="0">
    <dxf>
      <font>
        <color auto="1"/>
        <name val="Calibri"/>
        <scheme val="none"/>
      </font>
      <fill>
        <patternFill>
          <bgColor rgb="FF92D050"/>
        </patternFill>
      </fill>
    </dxf>
  </rfmt>
  <rfmt sheetId="1" sqref="F46" start="0" length="0">
    <dxf>
      <font>
        <color auto="1"/>
        <name val="Calibri"/>
        <scheme val="none"/>
      </font>
      <fill>
        <patternFill>
          <bgColor rgb="FF92D050"/>
        </patternFill>
      </fill>
    </dxf>
  </rfmt>
  <rfmt sheetId="1" sqref="G46" start="0" length="0">
    <dxf>
      <font>
        <color auto="1"/>
        <name val="Calibri"/>
        <scheme val="none"/>
      </font>
      <fill>
        <patternFill>
          <bgColor rgb="FF92D050"/>
        </patternFill>
      </fill>
    </dxf>
  </rfmt>
  <rcc rId="1572" sId="1" odxf="1" dxf="1">
    <oc r="H46">
      <f>12*263</f>
    </oc>
    <nc r="H46">
      <f>12*263</f>
    </nc>
    <odxf>
      <font>
        <color auto="1"/>
        <name val="Calibri"/>
        <scheme val="none"/>
      </font>
      <fill>
        <patternFill>
          <bgColor theme="1"/>
        </patternFill>
      </fill>
    </odxf>
    <ndxf>
      <font>
        <color auto="1"/>
        <name val="Calibri"/>
        <scheme val="none"/>
      </font>
      <fill>
        <patternFill>
          <bgColor rgb="FF92D050"/>
        </patternFill>
      </fill>
    </ndxf>
  </rcc>
  <rfmt sheetId="1" sqref="I46" start="0" length="0">
    <dxf>
      <font>
        <color auto="1"/>
        <name val="Calibri"/>
        <scheme val="none"/>
      </font>
      <numFmt numFmtId="0" formatCode="General"/>
      <fill>
        <patternFill>
          <bgColor rgb="FF92D050"/>
        </patternFill>
      </fill>
    </dxf>
  </rfmt>
  <rfmt sheetId="1" sqref="J46" start="0" length="0">
    <dxf>
      <font>
        <color auto="1"/>
        <name val="Calibri"/>
        <scheme val="none"/>
      </font>
      <fill>
        <patternFill>
          <bgColor rgb="FF92D050"/>
        </patternFill>
      </fill>
    </dxf>
  </rfmt>
  <rfmt sheetId="1" sqref="K46" start="0" length="0">
    <dxf>
      <font>
        <color auto="1"/>
        <name val="Calibri"/>
        <scheme val="none"/>
      </font>
      <fill>
        <patternFill>
          <bgColor rgb="FF92D050"/>
        </patternFill>
      </fill>
    </dxf>
  </rfmt>
  <rfmt sheetId="1" sqref="L46" start="0" length="0">
    <dxf>
      <font>
        <color auto="1"/>
        <name val="Calibri"/>
        <scheme val="none"/>
      </font>
      <fill>
        <patternFill>
          <bgColor rgb="FF92D050"/>
        </patternFill>
      </fill>
    </dxf>
  </rfmt>
  <rcc rId="1573" sId="1" odxf="1" dxf="1">
    <nc r="M46">
      <f>+N46-H46</f>
    </nc>
    <ndxf>
      <font>
        <color auto="1"/>
        <name val="Calibri"/>
        <scheme val="none"/>
      </font>
      <fill>
        <patternFill>
          <bgColor rgb="FF92D050"/>
        </patternFill>
      </fill>
    </ndxf>
  </rcc>
  <rcc rId="1574" sId="1" odxf="1" dxf="1" numFmtId="34">
    <nc r="N46">
      <v>2346.6</v>
    </nc>
    <ndxf>
      <font>
        <color auto="1"/>
        <name val="Calibri"/>
        <scheme val="none"/>
      </font>
      <fill>
        <patternFill>
          <bgColor rgb="FF92D050"/>
        </patternFill>
      </fill>
    </ndxf>
  </rcc>
  <rcc rId="1575" sId="1" odxf="1" dxf="1" numFmtId="34">
    <nc r="O46">
      <v>16</v>
    </nc>
    <ndxf>
      <font>
        <color auto="1"/>
        <name val="Calibri"/>
        <scheme val="none"/>
      </font>
      <fill>
        <patternFill>
          <bgColor rgb="FF92D050"/>
        </patternFill>
      </fill>
    </ndxf>
  </rcc>
  <rfmt sheetId="1" sqref="P46" start="0" length="0">
    <dxf>
      <font>
        <color auto="1"/>
        <name val="Calibri"/>
        <scheme val="none"/>
      </font>
      <fill>
        <patternFill>
          <bgColor rgb="FF92D050"/>
        </patternFill>
      </fill>
    </dxf>
  </rfmt>
  <rcc rId="1576" sId="1" odxf="1" dxf="1">
    <nc r="Q46">
      <f>+P46+O46</f>
    </nc>
    <ndxf>
      <font>
        <color auto="1"/>
        <name val="Calibri"/>
        <scheme val="none"/>
      </font>
      <fill>
        <patternFill>
          <bgColor rgb="FF92D050"/>
        </patternFill>
      </fill>
    </ndxf>
  </rcc>
  <rcc rId="1577" sId="1" odxf="1" dxf="1">
    <nc r="R46">
      <f>(N46/Q46)</f>
    </nc>
    <ndxf>
      <font>
        <color auto="1"/>
        <name val="Calibri"/>
        <scheme val="none"/>
      </font>
      <fill>
        <patternFill>
          <bgColor rgb="FF92D050"/>
        </patternFill>
      </fill>
    </ndxf>
  </rcc>
  <rcc rId="1578" sId="1" odxf="1" dxf="1">
    <nc r="S46">
      <f>(('Costo por negocio'!$B$2-DATA!R46)*DATA!O46)+('Costo por negocio'!$C$2-DATA!R46)*DATA!P46</f>
    </nc>
    <ndxf>
      <font>
        <color auto="1"/>
        <name val="Calibri"/>
        <scheme val="none"/>
      </font>
      <fill>
        <patternFill>
          <bgColor rgb="FF92D050"/>
        </patternFill>
      </fill>
    </ndxf>
  </rcc>
  <rcc rId="1579" sId="1" odxf="1" dxf="1" numFmtId="19">
    <nc r="T46">
      <v>46073</v>
    </nc>
    <ndxf>
      <font>
        <color auto="1"/>
        <name val="Calibri"/>
        <scheme val="none"/>
      </font>
      <fill>
        <patternFill>
          <bgColor rgb="FF92D050"/>
        </patternFill>
      </fill>
    </ndxf>
  </rcc>
  <rcc rId="1580" sId="1" odxf="1" dxf="1">
    <nc r="U46" t="inlineStr">
      <is>
        <t>SI</t>
      </is>
    </nc>
    <ndxf>
      <font>
        <color auto="1"/>
        <name val="Calibri"/>
        <scheme val="none"/>
      </font>
      <fill>
        <patternFill>
          <bgColor rgb="FF92D050"/>
        </patternFill>
      </fill>
    </ndxf>
  </rcc>
  <rcc rId="1581" sId="1" odxf="1" dxf="1">
    <nc r="V46" t="inlineStr">
      <is>
        <t>SI</t>
      </is>
    </nc>
    <ndxf>
      <font>
        <color auto="1"/>
        <name val="Calibri"/>
        <scheme val="none"/>
      </font>
      <fill>
        <patternFill>
          <bgColor rgb="FF92D050"/>
        </patternFill>
      </fill>
    </ndxf>
  </rcc>
  <rcc rId="1582" sId="1" odxf="1" dxf="1">
    <nc r="W46" t="inlineStr">
      <is>
        <t>SI</t>
      </is>
    </nc>
    <ndxf>
      <font>
        <color auto="1"/>
        <name val="Calibri"/>
        <scheme val="none"/>
      </font>
      <fill>
        <patternFill>
          <bgColor rgb="FF92D050"/>
        </patternFill>
      </fill>
    </ndxf>
  </rcc>
  <rfmt sheetId="1" sqref="X46" start="0" length="0">
    <dxf>
      <font>
        <color auto="1"/>
        <name val="Calibri"/>
        <scheme val="none"/>
      </font>
      <fill>
        <patternFill>
          <bgColor rgb="FF92D050"/>
        </patternFill>
      </fill>
    </dxf>
  </rfmt>
  <rcc rId="1583" sId="1" odxf="1" dxf="1">
    <nc r="Y46" t="inlineStr">
      <is>
        <t>BEB 4233</t>
      </is>
    </nc>
    <ndxf>
      <font>
        <color auto="1"/>
        <name val="Calibri"/>
        <scheme val="none"/>
      </font>
      <fill>
        <patternFill>
          <bgColor rgb="FF92D050"/>
        </patternFill>
      </fill>
    </ndxf>
  </rcc>
  <rfmt sheetId="1" sqref="Z46" start="0" length="0">
    <dxf>
      <font>
        <color auto="1"/>
        <name val="Calibri"/>
        <scheme val="none"/>
      </font>
      <fill>
        <patternFill>
          <bgColor rgb="FF92D050"/>
        </patternFill>
      </fill>
    </dxf>
  </rfmt>
  <rfmt sheetId="1" sqref="AA46" start="0" length="0">
    <dxf>
      <font>
        <color auto="1"/>
        <name val="Calibri"/>
        <scheme val="none"/>
      </font>
      <fill>
        <patternFill>
          <bgColor rgb="FF92D050"/>
        </patternFill>
      </fill>
    </dxf>
  </rfmt>
  <rfmt sheetId="1" sqref="AB46" start="0" length="0">
    <dxf>
      <font>
        <color auto="1"/>
        <name val="Calibri"/>
        <scheme val="none"/>
      </font>
      <fill>
        <patternFill>
          <bgColor rgb="FF92D050"/>
        </patternFill>
      </fill>
    </dxf>
  </rfmt>
  <rfmt sheetId="1" sqref="AC46" start="0" length="0">
    <dxf>
      <font>
        <color auto="1"/>
        <name val="Calibri"/>
        <scheme val="none"/>
      </font>
      <fill>
        <patternFill>
          <bgColor rgb="FF92D050"/>
        </patternFill>
      </fill>
    </dxf>
  </rfmt>
  <rcc rId="1584" sId="1" odxf="1" dxf="1" numFmtId="34">
    <nc r="AD46">
      <v>111906</v>
    </nc>
    <ndxf>
      <font>
        <color auto="1"/>
        <name val="Calibri"/>
        <scheme val="none"/>
      </font>
      <fill>
        <patternFill>
          <bgColor rgb="FF92D050"/>
        </patternFill>
      </fill>
    </ndxf>
  </rcc>
  <rcc rId="1585" sId="1" odxf="1" dxf="1" numFmtId="27">
    <nc r="AE46">
      <v>46071.395833333336</v>
    </nc>
    <ndxf>
      <font>
        <color auto="1"/>
        <name val="Calibri"/>
        <scheme val="none"/>
      </font>
      <fill>
        <patternFill>
          <bgColor rgb="FF92D050"/>
        </patternFill>
      </fill>
    </ndxf>
  </rcc>
  <rcc rId="1586" sId="1" odxf="1" dxf="1" numFmtId="34">
    <nc r="AF46">
      <v>112489</v>
    </nc>
    <ndxf>
      <font>
        <color auto="1"/>
        <name val="Calibri"/>
        <scheme val="none"/>
      </font>
      <fill>
        <patternFill>
          <bgColor rgb="FF92D050"/>
        </patternFill>
      </fill>
    </ndxf>
  </rcc>
  <rcc rId="1587" sId="1" odxf="1" dxf="1" numFmtId="27">
    <nc r="AG46">
      <v>46073.381944444445</v>
    </nc>
    <ndxf>
      <font>
        <color auto="1"/>
        <name val="Calibri"/>
        <scheme val="none"/>
      </font>
      <fill>
        <patternFill>
          <bgColor rgb="FF92D050"/>
        </patternFill>
      </fill>
    </ndxf>
  </rcc>
  <rcc rId="1588" sId="1" odxf="1" dxf="1">
    <nc r="AH46">
      <f>+AF46-AD46</f>
    </nc>
    <ndxf>
      <font>
        <color auto="1"/>
        <name val="Calibri"/>
        <scheme val="none"/>
      </font>
      <fill>
        <patternFill>
          <bgColor rgb="FF92D050"/>
        </patternFill>
      </fill>
    </ndxf>
  </rcc>
  <rcc rId="1589" sId="1" odxf="1" dxf="1">
    <nc r="AI46">
      <v>2</v>
    </nc>
    <ndxf>
      <font>
        <color auto="1"/>
        <name val="Calibri"/>
        <scheme val="none"/>
      </font>
      <fill>
        <patternFill>
          <bgColor rgb="FF92D050"/>
        </patternFill>
      </fill>
    </ndxf>
  </rcc>
  <rcc rId="1590" sId="1" odxf="1" dxf="1">
    <nc r="AJ46">
      <f>+AI46*5</f>
    </nc>
    <ndxf>
      <font>
        <color auto="1"/>
        <name val="Calibri"/>
        <scheme val="none"/>
      </font>
      <fill>
        <patternFill>
          <bgColor rgb="FF92D050"/>
        </patternFill>
      </fill>
    </ndxf>
  </rcc>
  <rcc rId="1591" sId="1" odxf="1" dxf="1">
    <nc r="AK46">
      <f>+Q46-AJ46</f>
    </nc>
    <ndxf>
      <font>
        <color auto="1"/>
        <name val="Calibri"/>
        <scheme val="none"/>
      </font>
      <fill>
        <patternFill>
          <bgColor rgb="FF92D050"/>
        </patternFill>
      </fill>
    </ndxf>
  </rcc>
  <rcc rId="1592" sId="1">
    <nc r="AM46">
      <f>+AH46/Q46</f>
    </nc>
  </rcc>
  <rcc rId="1593" sId="1">
    <nc r="AN46">
      <f>+Q46/AI46</f>
    </nc>
  </rcc>
  <rcc rId="1594" sId="1">
    <nc r="AQ46">
      <f>+N46/78.54</f>
    </nc>
  </rcc>
  <rcc rId="1595" sId="1">
    <nc r="AR46">
      <f>+AH46/11</f>
    </nc>
  </rcc>
  <rcc rId="1596" sId="1">
    <nc r="AS46">
      <f>+AR46-AQ46</f>
    </nc>
  </rcc>
  <rcc rId="1597" sId="1">
    <nc r="AT46">
      <f>+AH46/AQ46</f>
    </nc>
  </rcc>
  <rcv guid="{D015136D-255F-4042-9389-EB535F138010}" action="delete"/>
  <rdn rId="0" localSheetId="1" customView="1" name="Z_D015136D_255F_4042_9389_EB535F138010_.wvu.FilterData" hidden="1" oldHidden="1">
    <formula>DATA!$A$1:$AK$52</formula>
    <oldFormula>DATA!$A$1:$AK$52</oldFormula>
  </rdn>
  <rcv guid="{D015136D-255F-4042-9389-EB535F138010}" action="add"/>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 sId="1">
    <oc r="H11">
      <v>7000</v>
    </oc>
    <nc r="H11">
      <v>8000</v>
    </nc>
  </rcc>
  <rcc rId="42" sId="1">
    <oc r="E11" t="inlineStr">
      <is>
        <t>07/01 al 09/01/2026</t>
      </is>
    </oc>
    <nc r="E11" t="inlineStr">
      <is>
        <t>13/01 al 15/01/2026</t>
      </is>
    </nc>
  </rcc>
  <rcc rId="43" sId="1" numFmtId="19">
    <oc r="F11">
      <v>46029</v>
    </oc>
    <nc r="F11">
      <v>46035</v>
    </nc>
  </rcc>
  <rcc rId="44" sId="1" numFmtId="19">
    <oc r="G11">
      <v>46031</v>
    </oc>
    <nc r="G11">
      <v>46037</v>
    </nc>
  </rcc>
  <rcc rId="45" sId="1">
    <nc r="A11">
      <v>10</v>
    </nc>
  </rcc>
  <rcv guid="{D015136D-255F-4042-9389-EB535F138010}" action="delete"/>
  <rdn rId="0" localSheetId="1" customView="1" name="Z_D015136D_255F_4042_9389_EB535F138010_.wvu.Rows" hidden="1" oldHidden="1">
    <formula>DATA!$2:$7</formula>
  </rdn>
  <rdn rId="0" localSheetId="1" customView="1" name="Z_D015136D_255F_4042_9389_EB535F138010_.wvu.FilterData" hidden="1" oldHidden="1">
    <formula>DATA!$A$1:$AY$1</formula>
  </rdn>
  <rcv guid="{D015136D-255F-4042-9389-EB535F138010}" action="add"/>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dn rId="0" localSheetId="1" customView="1" name="Z_D015136D_255F_4042_9389_EB535F138010_.wvu.Rows" hidden="1" oldHidden="1">
    <oldFormula>DATA!$2:$7</oldFormula>
  </rdn>
  <rcv guid="{D015136D-255F-4042-9389-EB535F138010}" action="delete"/>
  <rdn rId="0" localSheetId="1" customView="1" name="Z_D015136D_255F_4042_9389_EB535F138010_.wvu.FilterData" hidden="1" oldHidden="1">
    <formula>DATA!$A$1:$AY$1</formula>
    <oldFormula>DATA!$A$1:$AY$1</oldFormula>
  </rdn>
  <rcv guid="{D015136D-255F-4042-9389-EB535F138010}" action="add"/>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 sId="1">
    <nc r="M6">
      <f>+N6-H6</f>
    </nc>
  </rcc>
  <rcc rId="51" sId="1">
    <nc r="Q6">
      <f>+P6+O6</f>
    </nc>
  </rcc>
  <rcc rId="52" sId="1">
    <nc r="R6">
      <f>(N6/Q6)</f>
    </nc>
  </rcc>
  <rcc rId="53" sId="1">
    <nc r="U6" t="inlineStr">
      <is>
        <t>SI</t>
      </is>
    </nc>
  </rcc>
  <rcc rId="54" sId="1">
    <nc r="V6" t="inlineStr">
      <is>
        <t>SI</t>
      </is>
    </nc>
  </rcc>
  <rcc rId="55" sId="1">
    <nc r="W6" t="inlineStr">
      <is>
        <t>SI</t>
      </is>
    </nc>
  </rcc>
  <rcc rId="56" sId="1">
    <nc r="N6">
      <f>2098+1000.5+800</f>
    </nc>
  </rcc>
  <rcc rId="57" sId="1">
    <nc r="P6">
      <v>8</v>
    </nc>
  </rcc>
  <rfmt sheetId="1" sqref="S6" start="0" length="0">
    <dxf>
      <numFmt numFmtId="35" formatCode="_-* #,##0.00_-;\-* #,##0.00_-;_-* &quot;-&quot;??_-;_-@_-"/>
    </dxf>
  </rfmt>
  <rcc rId="58" sId="1">
    <nc r="S6">
      <f>(('Costo por negocio'!$B$2-DATA!R6)*DATA!O6)+('Costo por negocio'!$C$2-DATA!R6)*DATA!P6</f>
    </nc>
  </rcc>
  <rfmt sheetId="1" sqref="L2:T21">
    <dxf>
      <numFmt numFmtId="35" formatCode="_-* #,##0.00_-;\-* #,##0.00_-;_-* &quot;-&quot;??_-;_-@_-"/>
    </dxf>
  </rfmt>
  <rcc rId="59" sId="1">
    <oc r="I6">
      <v>15</v>
    </oc>
    <nc r="I6">
      <v>10</v>
    </nc>
  </rcc>
  <rrc rId="60" sId="1" eol="1" ref="A31:XFD31" action="insertRow"/>
  <rfmt sheetId="1" sqref="T31" start="0" length="0">
    <dxf>
      <numFmt numFmtId="35" formatCode="_-* #,##0.00_-;\-* #,##0.00_-;_-* &quot;-&quot;??_-;_-@_-"/>
    </dxf>
  </rfmt>
  <rcc rId="61" sId="1">
    <nc r="S2">
      <f>(('Costo por negocio'!$B$2-DATA!R2)*DATA!O2)+('Costo por negocio'!$C$2-DATA!R2)*DATA!P2</f>
    </nc>
  </rcc>
  <rcc rId="62" sId="1">
    <nc r="S3">
      <f>(('Costo por negocio'!$B$2-DATA!R3)*DATA!O3)+('Costo por negocio'!$C$2-DATA!R3)*DATA!P3</f>
    </nc>
  </rcc>
  <rcc rId="63" sId="1">
    <nc r="S4">
      <f>(('Costo por negocio'!$B$2-DATA!R4)*DATA!O4)+('Costo por negocio'!$C$2-DATA!R4)*DATA!P4</f>
    </nc>
  </rcc>
  <rcc rId="64" sId="1">
    <nc r="S5">
      <f>(('Costo por negocio'!$B$2-DATA!R5)*DATA!O5)+('Costo por negocio'!$C$2-DATA!R5)*DATA!P5</f>
    </nc>
  </rcc>
  <rcc rId="65" sId="1">
    <nc r="S7">
      <f>(('Costo por negocio'!$B$2-DATA!R7)*DATA!O7)+('Costo por negocio'!$C$2-DATA!R7)*DATA!P7</f>
    </nc>
  </rcc>
  <rcc rId="66" sId="1">
    <nc r="S8">
      <f>(('Costo por negocio'!$B$2-DATA!R8)*DATA!O8)+('Costo por negocio'!$C$2-DATA!R8)*DATA!P8</f>
    </nc>
  </rcc>
  <rcc rId="67" sId="1">
    <nc r="S9">
      <f>(('Costo por negocio'!$B$2-DATA!R9)*DATA!O9)+('Costo por negocio'!$C$2-DATA!R9)*DATA!P9</f>
    </nc>
  </rcc>
  <rcc rId="68" sId="1">
    <nc r="S10">
      <f>(('Costo por negocio'!$B$2-DATA!R10)*DATA!O10)+('Costo por negocio'!$C$2-DATA!R10)*DATA!P10</f>
    </nc>
  </rcc>
  <rcc rId="69" sId="1">
    <nc r="S11">
      <f>(('Costo por negocio'!$B$2-DATA!R11)*DATA!O11)+('Costo por negocio'!$C$2-DATA!R11)*DATA!P11</f>
    </nc>
  </rcc>
  <rcc rId="70" sId="1">
    <nc r="S12">
      <f>(('Costo por negocio'!$B$2-DATA!R12)*DATA!O12)+('Costo por negocio'!$C$2-DATA!R12)*DATA!P12</f>
    </nc>
  </rcc>
  <rcc rId="71" sId="1">
    <nc r="S13">
      <f>(('Costo por negocio'!$B$2-DATA!R13)*DATA!O13)+('Costo por negocio'!$C$2-DATA!R13)*DATA!P13</f>
    </nc>
  </rcc>
  <rcc rId="72" sId="1">
    <nc r="S14">
      <f>(('Costo por negocio'!$B$2-DATA!R14)*DATA!O14)+('Costo por negocio'!$C$2-DATA!R14)*DATA!P14</f>
    </nc>
  </rcc>
  <rcc rId="73" sId="1">
    <nc r="S15">
      <f>(('Costo por negocio'!$B$2-DATA!R15)*DATA!O15)+('Costo por negocio'!$C$2-DATA!R15)*DATA!P15</f>
    </nc>
  </rcc>
  <rcc rId="74" sId="1">
    <nc r="S16">
      <f>(('Costo por negocio'!$B$2-DATA!R16)*DATA!O16)+('Costo por negocio'!$C$2-DATA!R16)*DATA!P16</f>
    </nc>
  </rcc>
  <rcc rId="75" sId="1">
    <nc r="S17">
      <f>(('Costo por negocio'!$B$2-DATA!R17)*DATA!O17)+('Costo por negocio'!$C$2-DATA!R17)*DATA!P17</f>
    </nc>
  </rcc>
  <rcc rId="76" sId="1">
    <nc r="S18">
      <f>(('Costo por negocio'!$B$2-DATA!R18)*DATA!O18)+('Costo por negocio'!$C$2-DATA!R18)*DATA!P18</f>
    </nc>
  </rcc>
  <rcc rId="77" sId="1">
    <nc r="S19">
      <f>(('Costo por negocio'!$B$2-DATA!R19)*DATA!O19)+('Costo por negocio'!$C$2-DATA!R19)*DATA!P19</f>
    </nc>
  </rcc>
  <rcc rId="78" sId="1">
    <nc r="S20">
      <f>(('Costo por negocio'!$B$2-DATA!R20)*DATA!O20)+('Costo por negocio'!$C$2-DATA!R20)*DATA!P20</f>
    </nc>
  </rcc>
  <rcc rId="79" sId="1">
    <nc r="S21">
      <f>(('Costo por negocio'!$B$2-DATA!R21)*DATA!O21)+('Costo por negocio'!$C$2-DATA!R21)*DATA!P21</f>
    </nc>
  </rcc>
  <rcc rId="80" sId="1" odxf="1" dxf="1">
    <nc r="S22">
      <f>(('Costo por negocio'!$B$2-DATA!R22)*DATA!O22)+('Costo por negocio'!$C$2-DATA!R22)*DATA!P22</f>
    </nc>
    <odxf>
      <numFmt numFmtId="0" formatCode="General"/>
    </odxf>
    <ndxf>
      <numFmt numFmtId="35" formatCode="_-* #,##0.00_-;\-* #,##0.00_-;_-* &quot;-&quot;??_-;_-@_-"/>
    </ndxf>
  </rcc>
  <rcc rId="81" sId="1" odxf="1" dxf="1">
    <nc r="S23">
      <f>(('Costo por negocio'!$B$2-DATA!R23)*DATA!O23)+('Costo por negocio'!$C$2-DATA!R23)*DATA!P23</f>
    </nc>
    <odxf>
      <numFmt numFmtId="0" formatCode="General"/>
    </odxf>
    <ndxf>
      <numFmt numFmtId="35" formatCode="_-* #,##0.00_-;\-* #,##0.00_-;_-* &quot;-&quot;??_-;_-@_-"/>
    </ndxf>
  </rcc>
  <rcc rId="82" sId="1" odxf="1" dxf="1">
    <nc r="S24">
      <f>(('Costo por negocio'!$B$2-DATA!R24)*DATA!O24)+('Costo por negocio'!$C$2-DATA!R24)*DATA!P24</f>
    </nc>
    <odxf>
      <numFmt numFmtId="0" formatCode="General"/>
    </odxf>
    <ndxf>
      <numFmt numFmtId="35" formatCode="_-* #,##0.00_-;\-* #,##0.00_-;_-* &quot;-&quot;??_-;_-@_-"/>
    </ndxf>
  </rcc>
  <rcc rId="83" sId="1" odxf="1" dxf="1">
    <nc r="S25">
      <f>(('Costo por negocio'!$B$2-DATA!R25)*DATA!O25)+('Costo por negocio'!$C$2-DATA!R25)*DATA!P25</f>
    </nc>
    <odxf>
      <numFmt numFmtId="0" formatCode="General"/>
    </odxf>
    <ndxf>
      <numFmt numFmtId="35" formatCode="_-* #,##0.00_-;\-* #,##0.00_-;_-* &quot;-&quot;??_-;_-@_-"/>
    </ndxf>
  </rcc>
  <rcc rId="84" sId="1" odxf="1" dxf="1">
    <nc r="S26">
      <f>(('Costo por negocio'!$B$2-DATA!R26)*DATA!O26)+('Costo por negocio'!$C$2-DATA!R26)*DATA!P26</f>
    </nc>
    <odxf>
      <numFmt numFmtId="0" formatCode="General"/>
    </odxf>
    <ndxf>
      <numFmt numFmtId="35" formatCode="_-* #,##0.00_-;\-* #,##0.00_-;_-* &quot;-&quot;??_-;_-@_-"/>
    </ndxf>
  </rcc>
  <rcc rId="85" sId="1" odxf="1" dxf="1">
    <nc r="S27">
      <f>(('Costo por negocio'!$B$2-DATA!R27)*DATA!O27)+('Costo por negocio'!$C$2-DATA!R27)*DATA!P27</f>
    </nc>
    <odxf>
      <numFmt numFmtId="0" formatCode="General"/>
    </odxf>
    <ndxf>
      <numFmt numFmtId="35" formatCode="_-* #,##0.00_-;\-* #,##0.00_-;_-* &quot;-&quot;??_-;_-@_-"/>
    </ndxf>
  </rcc>
  <rfmt sheetId="1" sqref="T6">
    <dxf>
      <numFmt numFmtId="19" formatCode="dd/mm/yyyy"/>
    </dxf>
  </rfmt>
  <rcc rId="86" sId="1" numFmtId="19">
    <nc r="T6">
      <v>46031</v>
    </nc>
  </rcc>
  <rcc rId="87" sId="1">
    <nc r="Y6" t="inlineStr">
      <is>
        <t>BEC 5528</t>
      </is>
    </nc>
  </rcc>
  <rcv guid="{D015136D-255F-4042-9389-EB535F138010}" action="delete"/>
  <rdn rId="0" localSheetId="1" customView="1" name="Z_D015136D_255F_4042_9389_EB535F138010_.wvu.FilterData" hidden="1" oldHidden="1">
    <formula>DATA!$A$1:$AY$1</formula>
    <oldFormula>DATA!$A$1:$AY$1</oldFormula>
  </rdn>
  <rcv guid="{D015136D-255F-4042-9389-EB535F138010}" action="add"/>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Q31" start="0" length="0">
    <dxf>
      <numFmt numFmtId="35" formatCode="_-* #,##0.00_-;\-* #,##0.00_-;_-* &quot;-&quot;??_-;_-@_-"/>
    </dxf>
  </rfmt>
  <rfmt sheetId="1" sqref="H2:H28">
    <dxf>
      <numFmt numFmtId="35" formatCode="_-* #,##0.00_-;\-* #,##0.00_-;_-* &quot;-&quot;??_-;_-@_-"/>
    </dxf>
  </rfmt>
  <rfmt sheetId="1" sqref="H2:H28">
    <dxf>
      <numFmt numFmtId="167" formatCode="_-* #,##0.0_-;\-* #,##0.0_-;_-* &quot;-&quot;??_-;_-@_-"/>
    </dxf>
  </rfmt>
  <rfmt sheetId="1" sqref="H2:H28">
    <dxf>
      <numFmt numFmtId="164" formatCode="_-* #,##0_-;\-* #,##0_-;_-* &quot;-&quot;??_-;_-@_-"/>
    </dxf>
  </rfmt>
  <rfmt sheetId="1" sqref="A6:AK6">
    <dxf>
      <fill>
        <patternFill patternType="solid">
          <bgColor rgb="FF92D050"/>
        </patternFill>
      </fill>
    </dxf>
  </rfmt>
  <rcc rId="89" sId="1">
    <nc r="AD6">
      <v>81499</v>
    </nc>
  </rcc>
  <rfmt sheetId="1" sqref="AE6" start="0" length="0">
    <dxf>
      <numFmt numFmtId="27" formatCode="dd/mm/yyyy\ h:mm"/>
    </dxf>
  </rfmt>
  <rfmt sheetId="1" sqref="AD6">
    <dxf>
      <numFmt numFmtId="35" formatCode="_-* #,##0.00_-;\-* #,##0.00_-;_-* &quot;-&quot;??_-;_-@_-"/>
    </dxf>
  </rfmt>
  <rfmt sheetId="1" sqref="AD6">
    <dxf>
      <numFmt numFmtId="167" formatCode="_-* #,##0.0_-;\-* #,##0.0_-;_-* &quot;-&quot;??_-;_-@_-"/>
    </dxf>
  </rfmt>
  <rfmt sheetId="1" sqref="AD6">
    <dxf>
      <numFmt numFmtId="164" formatCode="_-* #,##0_-;\-* #,##0_-;_-* &quot;-&quot;??_-;_-@_-"/>
    </dxf>
  </rfmt>
  <rcc rId="90" sId="1">
    <nc r="AF6">
      <v>80882</v>
    </nc>
  </rcc>
  <rfmt sheetId="1" sqref="AF6">
    <dxf>
      <numFmt numFmtId="35" formatCode="_-* #,##0.00_-;\-* #,##0.00_-;_-* &quot;-&quot;??_-;_-@_-"/>
    </dxf>
  </rfmt>
  <rfmt sheetId="1" sqref="AF6">
    <dxf>
      <numFmt numFmtId="167" formatCode="_-* #,##0.0_-;\-* #,##0.0_-;_-* &quot;-&quot;??_-;_-@_-"/>
    </dxf>
  </rfmt>
  <rfmt sheetId="1" sqref="AF6">
    <dxf>
      <numFmt numFmtId="164" formatCode="_-* #,##0_-;\-* #,##0_-;_-* &quot;-&quot;??_-;_-@_-"/>
    </dxf>
  </rfmt>
  <rcc rId="91" sId="1" odxf="1" dxf="1" numFmtId="27">
    <nc r="AG6">
      <v>46031.377083333333</v>
    </nc>
    <odxf>
      <numFmt numFmtId="0" formatCode="General"/>
    </odxf>
    <ndxf>
      <numFmt numFmtId="27" formatCode="dd/mm/yyyy\ h:mm"/>
    </ndxf>
  </rcc>
  <rcc rId="92" sId="1" numFmtId="27">
    <nc r="AE6">
      <v>46029.399305555555</v>
    </nc>
  </rcc>
  <rcc rId="93" sId="1" odxf="1" dxf="1">
    <nc r="AH6">
      <f>+AF6-AD6</f>
    </nc>
    <odxf>
      <numFmt numFmtId="0" formatCode="General"/>
    </odxf>
    <ndxf>
      <numFmt numFmtId="164" formatCode="_-* #,##0_-;\-* #,##0_-;_-* &quot;-&quot;??_-;_-@_-"/>
    </ndxf>
  </rcc>
  <rfmt sheetId="1" sqref="AH6">
    <dxf>
      <numFmt numFmtId="35" formatCode="_-* #,##0.00_-;\-* #,##0.00_-;_-* &quot;-&quot;??_-;_-@_-"/>
    </dxf>
  </rfmt>
  <rfmt sheetId="1" sqref="AH6">
    <dxf>
      <numFmt numFmtId="167" formatCode="_-* #,##0.0_-;\-* #,##0.0_-;_-* &quot;-&quot;??_-;_-@_-"/>
    </dxf>
  </rfmt>
  <rfmt sheetId="1" sqref="AH6">
    <dxf>
      <numFmt numFmtId="164" formatCode="_-* #,##0_-;\-* #,##0_-;_-* &quot;-&quot;??_-;_-@_-"/>
    </dxf>
  </rfmt>
  <rcc rId="94" sId="1">
    <nc r="AI6">
      <v>2</v>
    </nc>
  </rcc>
  <rcc rId="95" sId="1">
    <nc r="AJ6">
      <f>+AI6*5</f>
    </nc>
  </rcc>
  <rcc rId="96" sId="1">
    <nc r="AK6">
      <f>+Q6-AJ6</f>
    </nc>
  </rcc>
  <rcc rId="97" sId="1">
    <nc r="AM6">
      <f>+AH6/Q6</f>
    </nc>
  </rcc>
  <rcc rId="98" sId="1">
    <nc r="AN6">
      <f>+Q6/AI6</f>
    </nc>
  </rcc>
  <rcc rId="99" sId="1">
    <nc r="AQ6">
      <f>+N6/78.54</f>
    </nc>
  </rcc>
  <rcc rId="100" sId="1">
    <nc r="AR6">
      <f>+AH6/11</f>
    </nc>
  </rcc>
  <rcc rId="101" sId="1">
    <nc r="AS6">
      <f>+AR6-AQ6</f>
    </nc>
  </rcc>
  <rcc rId="102" sId="1">
    <nc r="AT6">
      <f>+AH6/AQ6</f>
    </nc>
  </rcc>
  <rfmt sheetId="1" sqref="AQ6:AT6">
    <dxf>
      <numFmt numFmtId="35" formatCode="_-* #,##0.00_-;\-* #,##0.00_-;_-* &quot;-&quot;??_-;_-@_-"/>
    </dxf>
  </rfmt>
  <rfmt sheetId="1" sqref="AQ6:AT6">
    <dxf>
      <numFmt numFmtId="167" formatCode="_-* #,##0.0_-;\-* #,##0.0_-;_-* &quot;-&quot;??_-;_-@_-"/>
    </dxf>
  </rfmt>
  <rfmt sheetId="1" sqref="AQ6:AT6">
    <dxf>
      <numFmt numFmtId="164" formatCode="_-* #,##0_-;\-* #,##0_-;_-* &quot;-&quot;??_-;_-@_-"/>
    </dxf>
  </rfmt>
  <rfmt sheetId="1" sqref="AL38:AY38" start="0" length="0">
    <dxf>
      <border>
        <bottom style="thin">
          <color indexed="64"/>
        </bottom>
      </border>
    </dxf>
  </rfmt>
  <rfmt sheetId="1" sqref="AL2:AL38" start="0" length="0">
    <dxf>
      <border>
        <left/>
      </border>
    </dxf>
  </rfmt>
  <rfmt sheetId="1" sqref="AL2:AY2" start="0" length="0">
    <dxf>
      <border>
        <top/>
      </border>
    </dxf>
  </rfmt>
  <rfmt sheetId="1" sqref="AY2:AY38" start="0" length="0">
    <dxf>
      <border>
        <right/>
      </border>
    </dxf>
  </rfmt>
  <rfmt sheetId="1" sqref="AL38:AY38" start="0" length="0">
    <dxf>
      <border>
        <bottom/>
      </border>
    </dxf>
  </rfmt>
  <rfmt sheetId="1" sqref="AL2:AY38">
    <dxf>
      <border>
        <left/>
        <right/>
        <top/>
        <bottom/>
        <vertical/>
        <horizontal/>
      </border>
    </dxf>
  </rfmt>
  <rfmt sheetId="1" sqref="AM1" start="0" length="0">
    <dxf>
      <border>
        <left style="thin">
          <color indexed="64"/>
        </left>
      </border>
    </dxf>
  </rfmt>
  <rfmt sheetId="1" sqref="AM1:AY1" start="0" length="0">
    <dxf>
      <border>
        <top style="thin">
          <color indexed="64"/>
        </top>
      </border>
    </dxf>
  </rfmt>
  <rfmt sheetId="1" sqref="AY1" start="0" length="0">
    <dxf>
      <border>
        <right style="thin">
          <color indexed="64"/>
        </right>
      </border>
    </dxf>
  </rfmt>
  <rfmt sheetId="1" sqref="AM1:AY1" start="0" length="0">
    <dxf>
      <border>
        <bottom style="thin">
          <color indexed="64"/>
        </bottom>
      </border>
    </dxf>
  </rfmt>
  <rfmt sheetId="1" sqref="AM1:AY1">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A1:AK1" start="0" length="0">
    <dxf>
      <border>
        <top style="thin">
          <color indexed="64"/>
        </top>
      </border>
    </dxf>
  </rfmt>
  <rfmt sheetId="1" sqref="AK1" start="0" length="0">
    <dxf>
      <border>
        <right style="thin">
          <color indexed="64"/>
        </right>
      </border>
    </dxf>
  </rfmt>
  <rfmt sheetId="1" sqref="A1:AK1">
    <dxf>
      <border>
        <top style="thin">
          <color indexed="64"/>
        </top>
        <bottom style="thin">
          <color indexed="64"/>
        </bottom>
        <horizontal style="thin">
          <color indexed="64"/>
        </horizontal>
      </border>
    </dxf>
  </rfmt>
  <rcv guid="{D015136D-255F-4042-9389-EB535F138010}" action="delete"/>
  <rdn rId="0" localSheetId="1" customView="1" name="Z_D015136D_255F_4042_9389_EB535F138010_.wvu.FilterData" hidden="1" oldHidden="1">
    <formula>DATA!$A$1:$AY$1</formula>
    <oldFormula>DATA!$A$1:$AY$1</oldFormula>
  </rdn>
  <rcv guid="{D015136D-255F-4042-9389-EB535F138010}" action="add"/>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 sId="1">
    <nc r="M7">
      <f>+N7-H7</f>
    </nc>
  </rcc>
  <rcc rId="105" sId="1">
    <nc r="Q7">
      <f>+P7+O7</f>
    </nc>
  </rcc>
  <rcc rId="106" sId="1">
    <nc r="R7">
      <f>(N7/Q7)</f>
    </nc>
  </rcc>
  <rcc rId="107" sId="1">
    <oc r="S7">
      <f>(('Costo por negocio'!$B$2-DATA!R7)*DATA!O7)+('Costo por negocio'!$C$2-DATA!R7)*DATA!P7</f>
    </oc>
    <nc r="S7">
      <f>(('Costo por negocio'!$B$2-DATA!R7)*DATA!O7)+('Costo por negocio'!$C$2-DATA!R7)*DATA!P7</f>
    </nc>
  </rcc>
  <rcc rId="108" sId="1">
    <nc r="U7" t="inlineStr">
      <is>
        <t>SI</t>
      </is>
    </nc>
  </rcc>
  <rcc rId="109" sId="1">
    <nc r="V7" t="inlineStr">
      <is>
        <t>SI</t>
      </is>
    </nc>
  </rcc>
  <rcc rId="110" sId="1">
    <nc r="W7" t="inlineStr">
      <is>
        <t>SI</t>
      </is>
    </nc>
  </rcc>
  <rcc rId="111" sId="1">
    <nc r="AM7">
      <f>+AH7/Q7</f>
    </nc>
  </rcc>
  <rcc rId="112" sId="1">
    <nc r="AN7">
      <f>+Q7/AI7</f>
    </nc>
  </rcc>
  <rcc rId="113" sId="1">
    <nc r="AQ7">
      <f>+N7/78.54</f>
    </nc>
  </rcc>
  <rcc rId="114" sId="1">
    <nc r="AR7">
      <f>+AH7/11</f>
    </nc>
  </rcc>
  <rcc rId="115" sId="1">
    <nc r="AS7">
      <f>+AR7-AQ7</f>
    </nc>
  </rcc>
  <rcc rId="116" sId="1">
    <nc r="AT7">
      <f>+AH7/AQ7</f>
    </nc>
  </rcc>
  <rcc rId="117" sId="1">
    <nc r="N7">
      <f>3020.1+1995</f>
    </nc>
  </rcc>
  <rcc rId="118" sId="1" numFmtId="34">
    <nc r="P7">
      <v>20</v>
    </nc>
  </rcc>
  <rfmt sheetId="1" sqref="T2" start="0" length="0">
    <dxf>
      <numFmt numFmtId="19" formatCode="dd/mm/yyyy"/>
      <fill>
        <patternFill patternType="solid">
          <bgColor rgb="FF92D050"/>
        </patternFill>
      </fill>
    </dxf>
  </rfmt>
  <rfmt sheetId="1" sqref="T3" start="0" length="0">
    <dxf>
      <numFmt numFmtId="19" formatCode="dd/mm/yyyy"/>
      <fill>
        <patternFill patternType="solid">
          <bgColor rgb="FF92D050"/>
        </patternFill>
      </fill>
    </dxf>
  </rfmt>
  <rfmt sheetId="1" sqref="T4" start="0" length="0">
    <dxf>
      <numFmt numFmtId="19" formatCode="dd/mm/yyyy"/>
      <fill>
        <patternFill patternType="solid">
          <bgColor rgb="FF92D050"/>
        </patternFill>
      </fill>
    </dxf>
  </rfmt>
  <rfmt sheetId="1" sqref="T5" start="0" length="0">
    <dxf>
      <numFmt numFmtId="19" formatCode="dd/mm/yyyy"/>
      <fill>
        <patternFill patternType="solid">
          <bgColor rgb="FF92D050"/>
        </patternFill>
      </fill>
    </dxf>
  </rfmt>
  <rcc rId="119" sId="1" odxf="1" dxf="1" numFmtId="19">
    <nc r="T7">
      <v>46031</v>
    </nc>
    <ndxf>
      <numFmt numFmtId="19" formatCode="dd/mm/yyyy"/>
      <fill>
        <patternFill patternType="solid">
          <bgColor rgb="FF92D050"/>
        </patternFill>
      </fill>
    </ndxf>
  </rcc>
  <rfmt sheetId="1" sqref="T8" start="0" length="0">
    <dxf>
      <numFmt numFmtId="19" formatCode="dd/mm/yyyy"/>
      <fill>
        <patternFill patternType="solid">
          <bgColor rgb="FF92D050"/>
        </patternFill>
      </fill>
    </dxf>
  </rfmt>
  <rfmt sheetId="1" sqref="T9" start="0" length="0">
    <dxf>
      <numFmt numFmtId="19" formatCode="dd/mm/yyyy"/>
      <fill>
        <patternFill patternType="solid">
          <bgColor rgb="FF92D050"/>
        </patternFill>
      </fill>
    </dxf>
  </rfmt>
  <rfmt sheetId="1" sqref="T10" start="0" length="0">
    <dxf>
      <numFmt numFmtId="19" formatCode="dd/mm/yyyy"/>
      <fill>
        <patternFill patternType="solid">
          <bgColor rgb="FF92D050"/>
        </patternFill>
      </fill>
    </dxf>
  </rfmt>
  <rfmt sheetId="1" sqref="T11" start="0" length="0">
    <dxf>
      <numFmt numFmtId="19" formatCode="dd/mm/yyyy"/>
      <fill>
        <patternFill patternType="solid">
          <bgColor rgb="FF92D050"/>
        </patternFill>
      </fill>
    </dxf>
  </rfmt>
  <rfmt sheetId="1" sqref="T12" start="0" length="0">
    <dxf>
      <numFmt numFmtId="19" formatCode="dd/mm/yyyy"/>
      <fill>
        <patternFill patternType="solid">
          <bgColor rgb="FF92D050"/>
        </patternFill>
      </fill>
    </dxf>
  </rfmt>
  <rfmt sheetId="1" sqref="T13" start="0" length="0">
    <dxf>
      <numFmt numFmtId="19" formatCode="dd/mm/yyyy"/>
      <fill>
        <patternFill patternType="solid">
          <bgColor rgb="FF92D050"/>
        </patternFill>
      </fill>
    </dxf>
  </rfmt>
  <rfmt sheetId="1" sqref="T14" start="0" length="0">
    <dxf>
      <numFmt numFmtId="19" formatCode="dd/mm/yyyy"/>
      <fill>
        <patternFill patternType="solid">
          <bgColor rgb="FF92D050"/>
        </patternFill>
      </fill>
    </dxf>
  </rfmt>
  <rfmt sheetId="1" sqref="T15" start="0" length="0">
    <dxf>
      <numFmt numFmtId="19" formatCode="dd/mm/yyyy"/>
      <fill>
        <patternFill patternType="solid">
          <bgColor rgb="FF92D050"/>
        </patternFill>
      </fill>
    </dxf>
  </rfmt>
  <rfmt sheetId="1" sqref="T16" start="0" length="0">
    <dxf>
      <numFmt numFmtId="19" formatCode="dd/mm/yyyy"/>
      <fill>
        <patternFill patternType="solid">
          <bgColor rgb="FF92D050"/>
        </patternFill>
      </fill>
    </dxf>
  </rfmt>
  <rfmt sheetId="1" sqref="T17" start="0" length="0">
    <dxf>
      <numFmt numFmtId="19" formatCode="dd/mm/yyyy"/>
      <fill>
        <patternFill patternType="solid">
          <bgColor rgb="FF92D050"/>
        </patternFill>
      </fill>
    </dxf>
  </rfmt>
  <rfmt sheetId="1" sqref="T18" start="0" length="0">
    <dxf>
      <numFmt numFmtId="19" formatCode="dd/mm/yyyy"/>
      <fill>
        <patternFill patternType="solid">
          <bgColor rgb="FF92D050"/>
        </patternFill>
      </fill>
    </dxf>
  </rfmt>
  <rfmt sheetId="1" sqref="T19" start="0" length="0">
    <dxf>
      <numFmt numFmtId="19" formatCode="dd/mm/yyyy"/>
      <fill>
        <patternFill patternType="solid">
          <bgColor rgb="FF92D050"/>
        </patternFill>
      </fill>
    </dxf>
  </rfmt>
  <rfmt sheetId="1" sqref="T20" start="0" length="0">
    <dxf>
      <numFmt numFmtId="19" formatCode="dd/mm/yyyy"/>
      <fill>
        <patternFill patternType="solid">
          <bgColor rgb="FF92D050"/>
        </patternFill>
      </fill>
    </dxf>
  </rfmt>
  <rfmt sheetId="1" sqref="T21" start="0" length="0">
    <dxf>
      <numFmt numFmtId="19" formatCode="dd/mm/yyyy"/>
      <fill>
        <patternFill patternType="solid">
          <bgColor rgb="FF92D050"/>
        </patternFill>
      </fill>
    </dxf>
  </rfmt>
  <rfmt sheetId="1" sqref="T22" start="0" length="0">
    <dxf>
      <numFmt numFmtId="19" formatCode="dd/mm/yyyy"/>
      <fill>
        <patternFill patternType="solid">
          <bgColor rgb="FF92D050"/>
        </patternFill>
      </fill>
    </dxf>
  </rfmt>
  <rfmt sheetId="1" sqref="T23" start="0" length="0">
    <dxf>
      <numFmt numFmtId="19" formatCode="dd/mm/yyyy"/>
      <fill>
        <patternFill patternType="solid">
          <bgColor rgb="FF92D050"/>
        </patternFill>
      </fill>
    </dxf>
  </rfmt>
  <rfmt sheetId="1" sqref="T24" start="0" length="0">
    <dxf>
      <numFmt numFmtId="19" formatCode="dd/mm/yyyy"/>
      <fill>
        <patternFill patternType="solid">
          <bgColor rgb="FF92D050"/>
        </patternFill>
      </fill>
    </dxf>
  </rfmt>
  <rfmt sheetId="1" sqref="T25" start="0" length="0">
    <dxf>
      <numFmt numFmtId="19" formatCode="dd/mm/yyyy"/>
      <fill>
        <patternFill patternType="solid">
          <bgColor rgb="FF92D050"/>
        </patternFill>
      </fill>
    </dxf>
  </rfmt>
  <rfmt sheetId="1" sqref="T26" start="0" length="0">
    <dxf>
      <numFmt numFmtId="19" formatCode="dd/mm/yyyy"/>
      <fill>
        <patternFill patternType="solid">
          <bgColor rgb="FF92D050"/>
        </patternFill>
      </fill>
    </dxf>
  </rfmt>
  <rfmt sheetId="1" sqref="T27" start="0" length="0">
    <dxf>
      <numFmt numFmtId="19" formatCode="dd/mm/yyyy"/>
      <fill>
        <patternFill patternType="solid">
          <bgColor rgb="FF92D050"/>
        </patternFill>
      </fill>
    </dxf>
  </rfmt>
  <rfmt sheetId="1" sqref="T2:T27">
    <dxf>
      <fill>
        <patternFill patternType="none">
          <bgColor auto="1"/>
        </patternFill>
      </fill>
    </dxf>
  </rfmt>
  <rfmt sheetId="1" sqref="T6">
    <dxf>
      <fill>
        <patternFill patternType="solid">
          <bgColor rgb="FF92D050"/>
        </patternFill>
      </fill>
    </dxf>
  </rfmt>
  <rfmt sheetId="1" sqref="P2:Q27">
    <dxf>
      <numFmt numFmtId="35" formatCode="_-* #,##0.00_-;\-* #,##0.00_-;_-* &quot;-&quot;??_-;_-@_-"/>
    </dxf>
  </rfmt>
  <rfmt sheetId="1" sqref="P2:Q27">
    <dxf>
      <numFmt numFmtId="167" formatCode="_-* #,##0.0_-;\-* #,##0.0_-;_-* &quot;-&quot;??_-;_-@_-"/>
    </dxf>
  </rfmt>
  <rfmt sheetId="1" sqref="P2:Q27">
    <dxf>
      <numFmt numFmtId="164" formatCode="_-* #,##0_-;\-* #,##0_-;_-* &quot;-&quot;??_-;_-@_-"/>
    </dxf>
  </rfmt>
  <rcc rId="120" sId="1">
    <nc r="Y7" t="inlineStr">
      <is>
        <t>BAA 7043</t>
      </is>
    </nc>
  </rcc>
  <rfmt sheetId="1" sqref="AD2" start="0" length="0">
    <dxf>
      <numFmt numFmtId="164" formatCode="_-* #,##0_-;\-* #,##0_-;_-* &quot;-&quot;??_-;_-@_-"/>
      <fill>
        <patternFill patternType="solid">
          <bgColor rgb="FF92D050"/>
        </patternFill>
      </fill>
    </dxf>
  </rfmt>
  <rfmt sheetId="1" sqref="AD3" start="0" length="0">
    <dxf>
      <numFmt numFmtId="164" formatCode="_-* #,##0_-;\-* #,##0_-;_-* &quot;-&quot;??_-;_-@_-"/>
      <fill>
        <patternFill patternType="solid">
          <bgColor rgb="FF92D050"/>
        </patternFill>
      </fill>
    </dxf>
  </rfmt>
  <rfmt sheetId="1" sqref="AD4" start="0" length="0">
    <dxf>
      <numFmt numFmtId="164" formatCode="_-* #,##0_-;\-* #,##0_-;_-* &quot;-&quot;??_-;_-@_-"/>
      <fill>
        <patternFill patternType="solid">
          <bgColor rgb="FF92D050"/>
        </patternFill>
      </fill>
    </dxf>
  </rfmt>
  <rfmt sheetId="1" sqref="AD5" start="0" length="0">
    <dxf>
      <numFmt numFmtId="164" formatCode="_-* #,##0_-;\-* #,##0_-;_-* &quot;-&quot;??_-;_-@_-"/>
      <fill>
        <patternFill patternType="solid">
          <bgColor rgb="FF92D050"/>
        </patternFill>
      </fill>
    </dxf>
  </rfmt>
  <rfmt sheetId="1" sqref="AD7" start="0" length="0">
    <dxf>
      <numFmt numFmtId="164" formatCode="_-* #,##0_-;\-* #,##0_-;_-* &quot;-&quot;??_-;_-@_-"/>
      <fill>
        <patternFill patternType="solid">
          <bgColor rgb="FF92D050"/>
        </patternFill>
      </fill>
    </dxf>
  </rfmt>
  <rfmt sheetId="1" sqref="AD8" start="0" length="0">
    <dxf>
      <numFmt numFmtId="164" formatCode="_-* #,##0_-;\-* #,##0_-;_-* &quot;-&quot;??_-;_-@_-"/>
      <fill>
        <patternFill patternType="solid">
          <bgColor rgb="FF92D050"/>
        </patternFill>
      </fill>
    </dxf>
  </rfmt>
  <rfmt sheetId="1" sqref="AD9" start="0" length="0">
    <dxf>
      <numFmt numFmtId="164" formatCode="_-* #,##0_-;\-* #,##0_-;_-* &quot;-&quot;??_-;_-@_-"/>
      <fill>
        <patternFill patternType="solid">
          <bgColor rgb="FF92D050"/>
        </patternFill>
      </fill>
    </dxf>
  </rfmt>
  <rfmt sheetId="1" sqref="AD10" start="0" length="0">
    <dxf>
      <numFmt numFmtId="164" formatCode="_-* #,##0_-;\-* #,##0_-;_-* &quot;-&quot;??_-;_-@_-"/>
      <fill>
        <patternFill patternType="solid">
          <bgColor rgb="FF92D050"/>
        </patternFill>
      </fill>
    </dxf>
  </rfmt>
  <rfmt sheetId="1" sqref="AD11" start="0" length="0">
    <dxf>
      <numFmt numFmtId="164" formatCode="_-* #,##0_-;\-* #,##0_-;_-* &quot;-&quot;??_-;_-@_-"/>
      <fill>
        <patternFill patternType="solid">
          <bgColor rgb="FF92D050"/>
        </patternFill>
      </fill>
    </dxf>
  </rfmt>
  <rfmt sheetId="1" sqref="AD12" start="0" length="0">
    <dxf>
      <numFmt numFmtId="164" formatCode="_-* #,##0_-;\-* #,##0_-;_-* &quot;-&quot;??_-;_-@_-"/>
      <fill>
        <patternFill patternType="solid">
          <bgColor rgb="FF92D050"/>
        </patternFill>
      </fill>
    </dxf>
  </rfmt>
  <rfmt sheetId="1" sqref="AD13" start="0" length="0">
    <dxf>
      <numFmt numFmtId="164" formatCode="_-* #,##0_-;\-* #,##0_-;_-* &quot;-&quot;??_-;_-@_-"/>
      <fill>
        <patternFill patternType="solid">
          <bgColor rgb="FF92D050"/>
        </patternFill>
      </fill>
    </dxf>
  </rfmt>
  <rfmt sheetId="1" sqref="AD14" start="0" length="0">
    <dxf>
      <numFmt numFmtId="164" formatCode="_-* #,##0_-;\-* #,##0_-;_-* &quot;-&quot;??_-;_-@_-"/>
      <fill>
        <patternFill patternType="solid">
          <bgColor rgb="FF92D050"/>
        </patternFill>
      </fill>
    </dxf>
  </rfmt>
  <rfmt sheetId="1" sqref="AD15" start="0" length="0">
    <dxf>
      <numFmt numFmtId="164" formatCode="_-* #,##0_-;\-* #,##0_-;_-* &quot;-&quot;??_-;_-@_-"/>
      <fill>
        <patternFill patternType="solid">
          <bgColor rgb="FF92D050"/>
        </patternFill>
      </fill>
    </dxf>
  </rfmt>
  <rfmt sheetId="1" sqref="AD16" start="0" length="0">
    <dxf>
      <numFmt numFmtId="164" formatCode="_-* #,##0_-;\-* #,##0_-;_-* &quot;-&quot;??_-;_-@_-"/>
      <fill>
        <patternFill patternType="solid">
          <bgColor rgb="FF92D050"/>
        </patternFill>
      </fill>
    </dxf>
  </rfmt>
  <rfmt sheetId="1" sqref="AD17" start="0" length="0">
    <dxf>
      <numFmt numFmtId="164" formatCode="_-* #,##0_-;\-* #,##0_-;_-* &quot;-&quot;??_-;_-@_-"/>
      <fill>
        <patternFill patternType="solid">
          <bgColor rgb="FF92D050"/>
        </patternFill>
      </fill>
    </dxf>
  </rfmt>
  <rfmt sheetId="1" sqref="AD18" start="0" length="0">
    <dxf>
      <numFmt numFmtId="164" formatCode="_-* #,##0_-;\-* #,##0_-;_-* &quot;-&quot;??_-;_-@_-"/>
      <fill>
        <patternFill patternType="solid">
          <bgColor rgb="FF92D050"/>
        </patternFill>
      </fill>
    </dxf>
  </rfmt>
  <rfmt sheetId="1" sqref="AD19" start="0" length="0">
    <dxf>
      <numFmt numFmtId="164" formatCode="_-* #,##0_-;\-* #,##0_-;_-* &quot;-&quot;??_-;_-@_-"/>
      <fill>
        <patternFill patternType="solid">
          <bgColor rgb="FF92D050"/>
        </patternFill>
      </fill>
    </dxf>
  </rfmt>
  <rfmt sheetId="1" sqref="AD20" start="0" length="0">
    <dxf>
      <numFmt numFmtId="164" formatCode="_-* #,##0_-;\-* #,##0_-;_-* &quot;-&quot;??_-;_-@_-"/>
      <fill>
        <patternFill patternType="solid">
          <bgColor rgb="FF92D050"/>
        </patternFill>
      </fill>
    </dxf>
  </rfmt>
  <rfmt sheetId="1" sqref="AD21" start="0" length="0">
    <dxf>
      <numFmt numFmtId="164" formatCode="_-* #,##0_-;\-* #,##0_-;_-* &quot;-&quot;??_-;_-@_-"/>
      <fill>
        <patternFill patternType="solid">
          <bgColor rgb="FF92D050"/>
        </patternFill>
      </fill>
    </dxf>
  </rfmt>
  <rfmt sheetId="1" sqref="AD22" start="0" length="0">
    <dxf>
      <numFmt numFmtId="164" formatCode="_-* #,##0_-;\-* #,##0_-;_-* &quot;-&quot;??_-;_-@_-"/>
      <fill>
        <patternFill patternType="solid">
          <bgColor rgb="FF92D050"/>
        </patternFill>
      </fill>
    </dxf>
  </rfmt>
  <rfmt sheetId="1" sqref="AD23" start="0" length="0">
    <dxf>
      <numFmt numFmtId="164" formatCode="_-* #,##0_-;\-* #,##0_-;_-* &quot;-&quot;??_-;_-@_-"/>
      <fill>
        <patternFill patternType="solid">
          <bgColor rgb="FF92D050"/>
        </patternFill>
      </fill>
    </dxf>
  </rfmt>
  <rfmt sheetId="1" sqref="AD24" start="0" length="0">
    <dxf>
      <numFmt numFmtId="164" formatCode="_-* #,##0_-;\-* #,##0_-;_-* &quot;-&quot;??_-;_-@_-"/>
      <fill>
        <patternFill patternType="solid">
          <bgColor rgb="FF92D050"/>
        </patternFill>
      </fill>
    </dxf>
  </rfmt>
  <rfmt sheetId="1" sqref="AD25" start="0" length="0">
    <dxf>
      <numFmt numFmtId="164" formatCode="_-* #,##0_-;\-* #,##0_-;_-* &quot;-&quot;??_-;_-@_-"/>
      <fill>
        <patternFill patternType="solid">
          <bgColor rgb="FF92D050"/>
        </patternFill>
      </fill>
    </dxf>
  </rfmt>
  <rfmt sheetId="1" sqref="AD26" start="0" length="0">
    <dxf>
      <numFmt numFmtId="164" formatCode="_-* #,##0_-;\-* #,##0_-;_-* &quot;-&quot;??_-;_-@_-"/>
      <fill>
        <patternFill patternType="solid">
          <bgColor rgb="FF92D050"/>
        </patternFill>
      </fill>
    </dxf>
  </rfmt>
  <rfmt sheetId="1" sqref="AD27" start="0" length="0">
    <dxf>
      <numFmt numFmtId="164" formatCode="_-* #,##0_-;\-* #,##0_-;_-* &quot;-&quot;??_-;_-@_-"/>
      <fill>
        <patternFill patternType="solid">
          <bgColor rgb="FF92D050"/>
        </patternFill>
      </fill>
    </dxf>
  </rfmt>
  <rfmt sheetId="1" sqref="AD2:AD27">
    <dxf>
      <fill>
        <patternFill patternType="none">
          <bgColor auto="1"/>
        </patternFill>
      </fill>
    </dxf>
  </rfmt>
  <rfmt sheetId="1" sqref="AD6">
    <dxf>
      <fill>
        <patternFill patternType="solid">
          <bgColor rgb="FF92D050"/>
        </patternFill>
      </fill>
    </dxf>
  </rfmt>
  <rfmt sheetId="1" sqref="AD2" start="0" length="0">
    <dxf>
      <fill>
        <patternFill patternType="solid">
          <bgColor rgb="FF92D050"/>
        </patternFill>
      </fill>
    </dxf>
  </rfmt>
  <rfmt sheetId="1" sqref="AE2" start="0" length="0">
    <dxf>
      <numFmt numFmtId="27" formatCode="dd/mm/yyyy\ h:mm"/>
      <fill>
        <patternFill patternType="solid">
          <bgColor rgb="FF92D050"/>
        </patternFill>
      </fill>
    </dxf>
  </rfmt>
  <rfmt sheetId="1" sqref="AF2" start="0" length="0">
    <dxf>
      <numFmt numFmtId="164" formatCode="_-* #,##0_-;\-* #,##0_-;_-* &quot;-&quot;??_-;_-@_-"/>
      <fill>
        <patternFill patternType="solid">
          <bgColor rgb="FF92D050"/>
        </patternFill>
      </fill>
    </dxf>
  </rfmt>
  <rfmt sheetId="1" sqref="AG2" start="0" length="0">
    <dxf>
      <numFmt numFmtId="27" formatCode="dd/mm/yyyy\ h:mm"/>
      <fill>
        <patternFill patternType="solid">
          <bgColor rgb="FF92D050"/>
        </patternFill>
      </fill>
    </dxf>
  </rfmt>
  <rfmt sheetId="1" sqref="AH2" start="0" length="0">
    <dxf>
      <numFmt numFmtId="164" formatCode="_-* #,##0_-;\-* #,##0_-;_-* &quot;-&quot;??_-;_-@_-"/>
      <fill>
        <patternFill patternType="solid">
          <bgColor rgb="FF92D050"/>
        </patternFill>
      </fill>
    </dxf>
  </rfmt>
  <rfmt sheetId="1" sqref="AI2" start="0" length="0">
    <dxf>
      <fill>
        <patternFill patternType="solid">
          <bgColor rgb="FF92D050"/>
        </patternFill>
      </fill>
    </dxf>
  </rfmt>
  <rfmt sheetId="1" sqref="AJ2" start="0" length="0">
    <dxf>
      <fill>
        <patternFill patternType="solid">
          <bgColor rgb="FF92D050"/>
        </patternFill>
      </fill>
    </dxf>
  </rfmt>
  <rfmt sheetId="1" sqref="AK2" start="0" length="0">
    <dxf>
      <fill>
        <patternFill patternType="solid">
          <bgColor rgb="FF92D050"/>
        </patternFill>
      </fill>
    </dxf>
  </rfmt>
  <rfmt sheetId="1" sqref="AD3" start="0" length="0">
    <dxf>
      <fill>
        <patternFill patternType="solid">
          <bgColor rgb="FF92D050"/>
        </patternFill>
      </fill>
    </dxf>
  </rfmt>
  <rfmt sheetId="1" sqref="AE3" start="0" length="0">
    <dxf>
      <numFmt numFmtId="27" formatCode="dd/mm/yyyy\ h:mm"/>
      <fill>
        <patternFill patternType="solid">
          <bgColor rgb="FF92D050"/>
        </patternFill>
      </fill>
    </dxf>
  </rfmt>
  <rfmt sheetId="1" sqref="AF3" start="0" length="0">
    <dxf>
      <numFmt numFmtId="164" formatCode="_-* #,##0_-;\-* #,##0_-;_-* &quot;-&quot;??_-;_-@_-"/>
      <fill>
        <patternFill patternType="solid">
          <bgColor rgb="FF92D050"/>
        </patternFill>
      </fill>
    </dxf>
  </rfmt>
  <rfmt sheetId="1" sqref="AG3" start="0" length="0">
    <dxf>
      <numFmt numFmtId="27" formatCode="dd/mm/yyyy\ h:mm"/>
      <fill>
        <patternFill patternType="solid">
          <bgColor rgb="FF92D050"/>
        </patternFill>
      </fill>
    </dxf>
  </rfmt>
  <rfmt sheetId="1" sqref="AH3" start="0" length="0">
    <dxf>
      <numFmt numFmtId="164" formatCode="_-* #,##0_-;\-* #,##0_-;_-* &quot;-&quot;??_-;_-@_-"/>
      <fill>
        <patternFill patternType="solid">
          <bgColor rgb="FF92D050"/>
        </patternFill>
      </fill>
    </dxf>
  </rfmt>
  <rfmt sheetId="1" sqref="AI3" start="0" length="0">
    <dxf>
      <fill>
        <patternFill patternType="solid">
          <bgColor rgb="FF92D050"/>
        </patternFill>
      </fill>
    </dxf>
  </rfmt>
  <rfmt sheetId="1" sqref="AJ3" start="0" length="0">
    <dxf>
      <fill>
        <patternFill patternType="solid">
          <bgColor rgb="FF92D050"/>
        </patternFill>
      </fill>
    </dxf>
  </rfmt>
  <rfmt sheetId="1" sqref="AK3" start="0" length="0">
    <dxf>
      <fill>
        <patternFill patternType="solid">
          <bgColor rgb="FF92D050"/>
        </patternFill>
      </fill>
    </dxf>
  </rfmt>
  <rfmt sheetId="1" sqref="AD4" start="0" length="0">
    <dxf>
      <fill>
        <patternFill patternType="solid">
          <bgColor rgb="FF92D050"/>
        </patternFill>
      </fill>
    </dxf>
  </rfmt>
  <rfmt sheetId="1" sqref="AE4" start="0" length="0">
    <dxf>
      <numFmt numFmtId="27" formatCode="dd/mm/yyyy\ h:mm"/>
      <fill>
        <patternFill patternType="solid">
          <bgColor rgb="FF92D050"/>
        </patternFill>
      </fill>
    </dxf>
  </rfmt>
  <rfmt sheetId="1" sqref="AF4" start="0" length="0">
    <dxf>
      <numFmt numFmtId="164" formatCode="_-* #,##0_-;\-* #,##0_-;_-* &quot;-&quot;??_-;_-@_-"/>
      <fill>
        <patternFill patternType="solid">
          <bgColor rgb="FF92D050"/>
        </patternFill>
      </fill>
    </dxf>
  </rfmt>
  <rfmt sheetId="1" sqref="AG4" start="0" length="0">
    <dxf>
      <numFmt numFmtId="27" formatCode="dd/mm/yyyy\ h:mm"/>
      <fill>
        <patternFill patternType="solid">
          <bgColor rgb="FF92D050"/>
        </patternFill>
      </fill>
    </dxf>
  </rfmt>
  <rfmt sheetId="1" sqref="AH4" start="0" length="0">
    <dxf>
      <numFmt numFmtId="164" formatCode="_-* #,##0_-;\-* #,##0_-;_-* &quot;-&quot;??_-;_-@_-"/>
      <fill>
        <patternFill patternType="solid">
          <bgColor rgb="FF92D050"/>
        </patternFill>
      </fill>
    </dxf>
  </rfmt>
  <rfmt sheetId="1" sqref="AI4" start="0" length="0">
    <dxf>
      <fill>
        <patternFill patternType="solid">
          <bgColor rgb="FF92D050"/>
        </patternFill>
      </fill>
    </dxf>
  </rfmt>
  <rfmt sheetId="1" sqref="AJ4" start="0" length="0">
    <dxf>
      <fill>
        <patternFill patternType="solid">
          <bgColor rgb="FF92D050"/>
        </patternFill>
      </fill>
    </dxf>
  </rfmt>
  <rfmt sheetId="1" sqref="AK4" start="0" length="0">
    <dxf>
      <fill>
        <patternFill patternType="solid">
          <bgColor rgb="FF92D050"/>
        </patternFill>
      </fill>
    </dxf>
  </rfmt>
  <rfmt sheetId="1" sqref="AD5" start="0" length="0">
    <dxf>
      <fill>
        <patternFill patternType="solid">
          <bgColor rgb="FF92D050"/>
        </patternFill>
      </fill>
    </dxf>
  </rfmt>
  <rfmt sheetId="1" sqref="AE5" start="0" length="0">
    <dxf>
      <numFmt numFmtId="27" formatCode="dd/mm/yyyy\ h:mm"/>
      <fill>
        <patternFill patternType="solid">
          <bgColor rgb="FF92D050"/>
        </patternFill>
      </fill>
    </dxf>
  </rfmt>
  <rfmt sheetId="1" sqref="AF5" start="0" length="0">
    <dxf>
      <numFmt numFmtId="164" formatCode="_-* #,##0_-;\-* #,##0_-;_-* &quot;-&quot;??_-;_-@_-"/>
      <fill>
        <patternFill patternType="solid">
          <bgColor rgb="FF92D050"/>
        </patternFill>
      </fill>
    </dxf>
  </rfmt>
  <rfmt sheetId="1" sqref="AG5" start="0" length="0">
    <dxf>
      <numFmt numFmtId="27" formatCode="dd/mm/yyyy\ h:mm"/>
      <fill>
        <patternFill patternType="solid">
          <bgColor rgb="FF92D050"/>
        </patternFill>
      </fill>
    </dxf>
  </rfmt>
  <rfmt sheetId="1" sqref="AH5" start="0" length="0">
    <dxf>
      <numFmt numFmtId="164" formatCode="_-* #,##0_-;\-* #,##0_-;_-* &quot;-&quot;??_-;_-@_-"/>
      <fill>
        <patternFill patternType="solid">
          <bgColor rgb="FF92D050"/>
        </patternFill>
      </fill>
    </dxf>
  </rfmt>
  <rfmt sheetId="1" sqref="AI5" start="0" length="0">
    <dxf>
      <fill>
        <patternFill patternType="solid">
          <bgColor rgb="FF92D050"/>
        </patternFill>
      </fill>
    </dxf>
  </rfmt>
  <rfmt sheetId="1" sqref="AJ5" start="0" length="0">
    <dxf>
      <fill>
        <patternFill patternType="solid">
          <bgColor rgb="FF92D050"/>
        </patternFill>
      </fill>
    </dxf>
  </rfmt>
  <rfmt sheetId="1" sqref="AK5" start="0" length="0">
    <dxf>
      <fill>
        <patternFill patternType="solid">
          <bgColor rgb="FF92D050"/>
        </patternFill>
      </fill>
    </dxf>
  </rfmt>
  <rfmt sheetId="1" sqref="AD7" start="0" length="0">
    <dxf>
      <fill>
        <patternFill patternType="solid">
          <bgColor rgb="FF92D050"/>
        </patternFill>
      </fill>
    </dxf>
  </rfmt>
  <rfmt sheetId="1" sqref="AE7" start="0" length="0">
    <dxf>
      <numFmt numFmtId="27" formatCode="dd/mm/yyyy\ h:mm"/>
      <fill>
        <patternFill patternType="solid">
          <bgColor rgb="FF92D050"/>
        </patternFill>
      </fill>
    </dxf>
  </rfmt>
  <rfmt sheetId="1" sqref="AF7" start="0" length="0">
    <dxf>
      <numFmt numFmtId="164" formatCode="_-* #,##0_-;\-* #,##0_-;_-* &quot;-&quot;??_-;_-@_-"/>
      <fill>
        <patternFill patternType="solid">
          <bgColor rgb="FF92D050"/>
        </patternFill>
      </fill>
    </dxf>
  </rfmt>
  <rfmt sheetId="1" sqref="AG7" start="0" length="0">
    <dxf>
      <numFmt numFmtId="27" formatCode="dd/mm/yyyy\ h:mm"/>
      <fill>
        <patternFill patternType="solid">
          <bgColor rgb="FF92D050"/>
        </patternFill>
      </fill>
    </dxf>
  </rfmt>
  <rcc rId="121" sId="1" odxf="1" dxf="1">
    <nc r="AH7">
      <f>+AF7-AD7</f>
    </nc>
    <ndxf>
      <numFmt numFmtId="164" formatCode="_-* #,##0_-;\-* #,##0_-;_-* &quot;-&quot;??_-;_-@_-"/>
      <fill>
        <patternFill patternType="solid">
          <bgColor rgb="FF92D050"/>
        </patternFill>
      </fill>
    </ndxf>
  </rcc>
  <rcc rId="122" sId="1" odxf="1" dxf="1">
    <nc r="AI7">
      <v>2</v>
    </nc>
    <ndxf>
      <fill>
        <patternFill patternType="solid">
          <bgColor rgb="FF92D050"/>
        </patternFill>
      </fill>
    </ndxf>
  </rcc>
  <rcc rId="123" sId="1" odxf="1" dxf="1">
    <nc r="AJ7">
      <f>+AI7*5</f>
    </nc>
    <ndxf>
      <fill>
        <patternFill patternType="solid">
          <bgColor rgb="FF92D050"/>
        </patternFill>
      </fill>
    </ndxf>
  </rcc>
  <rcc rId="124" sId="1" odxf="1" dxf="1">
    <nc r="AK7">
      <f>+Q7-AJ7</f>
    </nc>
    <ndxf>
      <fill>
        <patternFill patternType="solid">
          <bgColor rgb="FF92D050"/>
        </patternFill>
      </fill>
    </ndxf>
  </rcc>
  <rfmt sheetId="1" sqref="AD8" start="0" length="0">
    <dxf>
      <fill>
        <patternFill patternType="solid">
          <bgColor rgb="FF92D050"/>
        </patternFill>
      </fill>
    </dxf>
  </rfmt>
  <rfmt sheetId="1" sqref="AE8" start="0" length="0">
    <dxf>
      <numFmt numFmtId="27" formatCode="dd/mm/yyyy\ h:mm"/>
      <fill>
        <patternFill patternType="solid">
          <bgColor rgb="FF92D050"/>
        </patternFill>
      </fill>
    </dxf>
  </rfmt>
  <rfmt sheetId="1" sqref="AF8" start="0" length="0">
    <dxf>
      <numFmt numFmtId="164" formatCode="_-* #,##0_-;\-* #,##0_-;_-* &quot;-&quot;??_-;_-@_-"/>
      <fill>
        <patternFill patternType="solid">
          <bgColor rgb="FF92D050"/>
        </patternFill>
      </fill>
    </dxf>
  </rfmt>
  <rfmt sheetId="1" sqref="AG8" start="0" length="0">
    <dxf>
      <numFmt numFmtId="27" formatCode="dd/mm/yyyy\ h:mm"/>
      <fill>
        <patternFill patternType="solid">
          <bgColor rgb="FF92D050"/>
        </patternFill>
      </fill>
    </dxf>
  </rfmt>
  <rfmt sheetId="1" sqref="AH8" start="0" length="0">
    <dxf>
      <numFmt numFmtId="164" formatCode="_-* #,##0_-;\-* #,##0_-;_-* &quot;-&quot;??_-;_-@_-"/>
      <fill>
        <patternFill patternType="solid">
          <bgColor rgb="FF92D050"/>
        </patternFill>
      </fill>
    </dxf>
  </rfmt>
  <rfmt sheetId="1" sqref="AI8" start="0" length="0">
    <dxf>
      <fill>
        <patternFill patternType="solid">
          <bgColor rgb="FF92D050"/>
        </patternFill>
      </fill>
    </dxf>
  </rfmt>
  <rfmt sheetId="1" sqref="AJ8" start="0" length="0">
    <dxf>
      <fill>
        <patternFill patternType="solid">
          <bgColor rgb="FF92D050"/>
        </patternFill>
      </fill>
    </dxf>
  </rfmt>
  <rfmt sheetId="1" sqref="AK8" start="0" length="0">
    <dxf>
      <fill>
        <patternFill patternType="solid">
          <bgColor rgb="FF92D050"/>
        </patternFill>
      </fill>
    </dxf>
  </rfmt>
  <rfmt sheetId="1" sqref="AD9" start="0" length="0">
    <dxf>
      <fill>
        <patternFill patternType="solid">
          <bgColor rgb="FF92D050"/>
        </patternFill>
      </fill>
    </dxf>
  </rfmt>
  <rfmt sheetId="1" sqref="AE9" start="0" length="0">
    <dxf>
      <numFmt numFmtId="27" formatCode="dd/mm/yyyy\ h:mm"/>
      <fill>
        <patternFill patternType="solid">
          <bgColor rgb="FF92D050"/>
        </patternFill>
      </fill>
    </dxf>
  </rfmt>
  <rfmt sheetId="1" sqref="AF9" start="0" length="0">
    <dxf>
      <numFmt numFmtId="164" formatCode="_-* #,##0_-;\-* #,##0_-;_-* &quot;-&quot;??_-;_-@_-"/>
      <fill>
        <patternFill patternType="solid">
          <bgColor rgb="FF92D050"/>
        </patternFill>
      </fill>
    </dxf>
  </rfmt>
  <rfmt sheetId="1" sqref="AG9" start="0" length="0">
    <dxf>
      <numFmt numFmtId="27" formatCode="dd/mm/yyyy\ h:mm"/>
      <fill>
        <patternFill patternType="solid">
          <bgColor rgb="FF92D050"/>
        </patternFill>
      </fill>
    </dxf>
  </rfmt>
  <rfmt sheetId="1" sqref="AH9" start="0" length="0">
    <dxf>
      <numFmt numFmtId="164" formatCode="_-* #,##0_-;\-* #,##0_-;_-* &quot;-&quot;??_-;_-@_-"/>
      <fill>
        <patternFill patternType="solid">
          <bgColor rgb="FF92D050"/>
        </patternFill>
      </fill>
    </dxf>
  </rfmt>
  <rfmt sheetId="1" sqref="AI9" start="0" length="0">
    <dxf>
      <fill>
        <patternFill patternType="solid">
          <bgColor rgb="FF92D050"/>
        </patternFill>
      </fill>
    </dxf>
  </rfmt>
  <rfmt sheetId="1" sqref="AJ9" start="0" length="0">
    <dxf>
      <fill>
        <patternFill patternType="solid">
          <bgColor rgb="FF92D050"/>
        </patternFill>
      </fill>
    </dxf>
  </rfmt>
  <rfmt sheetId="1" sqref="AK9" start="0" length="0">
    <dxf>
      <fill>
        <patternFill patternType="solid">
          <bgColor rgb="FF92D050"/>
        </patternFill>
      </fill>
    </dxf>
  </rfmt>
  <rfmt sheetId="1" sqref="AD10" start="0" length="0">
    <dxf>
      <fill>
        <patternFill patternType="solid">
          <bgColor rgb="FF92D050"/>
        </patternFill>
      </fill>
    </dxf>
  </rfmt>
  <rfmt sheetId="1" sqref="AE10" start="0" length="0">
    <dxf>
      <numFmt numFmtId="27" formatCode="dd/mm/yyyy\ h:mm"/>
      <fill>
        <patternFill patternType="solid">
          <bgColor rgb="FF92D050"/>
        </patternFill>
      </fill>
    </dxf>
  </rfmt>
  <rfmt sheetId="1" sqref="AF10" start="0" length="0">
    <dxf>
      <numFmt numFmtId="164" formatCode="_-* #,##0_-;\-* #,##0_-;_-* &quot;-&quot;??_-;_-@_-"/>
      <fill>
        <patternFill patternType="solid">
          <bgColor rgb="FF92D050"/>
        </patternFill>
      </fill>
    </dxf>
  </rfmt>
  <rfmt sheetId="1" sqref="AG10" start="0" length="0">
    <dxf>
      <numFmt numFmtId="27" formatCode="dd/mm/yyyy\ h:mm"/>
      <fill>
        <patternFill patternType="solid">
          <bgColor rgb="FF92D050"/>
        </patternFill>
      </fill>
    </dxf>
  </rfmt>
  <rfmt sheetId="1" sqref="AH10" start="0" length="0">
    <dxf>
      <numFmt numFmtId="164" formatCode="_-* #,##0_-;\-* #,##0_-;_-* &quot;-&quot;??_-;_-@_-"/>
      <fill>
        <patternFill patternType="solid">
          <bgColor rgb="FF92D050"/>
        </patternFill>
      </fill>
    </dxf>
  </rfmt>
  <rfmt sheetId="1" sqref="AI10" start="0" length="0">
    <dxf>
      <fill>
        <patternFill patternType="solid">
          <bgColor rgb="FF92D050"/>
        </patternFill>
      </fill>
    </dxf>
  </rfmt>
  <rfmt sheetId="1" sqref="AJ10" start="0" length="0">
    <dxf>
      <fill>
        <patternFill patternType="solid">
          <bgColor rgb="FF92D050"/>
        </patternFill>
      </fill>
    </dxf>
  </rfmt>
  <rfmt sheetId="1" sqref="AK10" start="0" length="0">
    <dxf>
      <fill>
        <patternFill patternType="solid">
          <bgColor rgb="FF92D050"/>
        </patternFill>
      </fill>
    </dxf>
  </rfmt>
  <rfmt sheetId="1" sqref="AD11" start="0" length="0">
    <dxf>
      <fill>
        <patternFill patternType="solid">
          <bgColor rgb="FF92D050"/>
        </patternFill>
      </fill>
    </dxf>
  </rfmt>
  <rfmt sheetId="1" sqref="AE11" start="0" length="0">
    <dxf>
      <numFmt numFmtId="27" formatCode="dd/mm/yyyy\ h:mm"/>
      <fill>
        <patternFill patternType="solid">
          <bgColor rgb="FF92D050"/>
        </patternFill>
      </fill>
    </dxf>
  </rfmt>
  <rfmt sheetId="1" sqref="AF11" start="0" length="0">
    <dxf>
      <numFmt numFmtId="164" formatCode="_-* #,##0_-;\-* #,##0_-;_-* &quot;-&quot;??_-;_-@_-"/>
      <fill>
        <patternFill patternType="solid">
          <bgColor rgb="FF92D050"/>
        </patternFill>
      </fill>
    </dxf>
  </rfmt>
  <rfmt sheetId="1" sqref="AG11" start="0" length="0">
    <dxf>
      <numFmt numFmtId="27" formatCode="dd/mm/yyyy\ h:mm"/>
      <fill>
        <patternFill patternType="solid">
          <bgColor rgb="FF92D050"/>
        </patternFill>
      </fill>
    </dxf>
  </rfmt>
  <rfmt sheetId="1" sqref="AH11" start="0" length="0">
    <dxf>
      <numFmt numFmtId="164" formatCode="_-* #,##0_-;\-* #,##0_-;_-* &quot;-&quot;??_-;_-@_-"/>
      <fill>
        <patternFill patternType="solid">
          <bgColor rgb="FF92D050"/>
        </patternFill>
      </fill>
    </dxf>
  </rfmt>
  <rfmt sheetId="1" sqref="AI11" start="0" length="0">
    <dxf>
      <fill>
        <patternFill patternType="solid">
          <bgColor rgb="FF92D050"/>
        </patternFill>
      </fill>
    </dxf>
  </rfmt>
  <rfmt sheetId="1" sqref="AJ11" start="0" length="0">
    <dxf>
      <fill>
        <patternFill patternType="solid">
          <bgColor rgb="FF92D050"/>
        </patternFill>
      </fill>
    </dxf>
  </rfmt>
  <rfmt sheetId="1" sqref="AK11" start="0" length="0">
    <dxf>
      <fill>
        <patternFill patternType="solid">
          <bgColor rgb="FF92D050"/>
        </patternFill>
      </fill>
    </dxf>
  </rfmt>
  <rfmt sheetId="1" sqref="AD12" start="0" length="0">
    <dxf>
      <fill>
        <patternFill patternType="solid">
          <bgColor rgb="FF92D050"/>
        </patternFill>
      </fill>
    </dxf>
  </rfmt>
  <rfmt sheetId="1" sqref="AE12" start="0" length="0">
    <dxf>
      <numFmt numFmtId="27" formatCode="dd/mm/yyyy\ h:mm"/>
      <fill>
        <patternFill patternType="solid">
          <bgColor rgb="FF92D050"/>
        </patternFill>
      </fill>
    </dxf>
  </rfmt>
  <rfmt sheetId="1" sqref="AF12" start="0" length="0">
    <dxf>
      <numFmt numFmtId="164" formatCode="_-* #,##0_-;\-* #,##0_-;_-* &quot;-&quot;??_-;_-@_-"/>
      <fill>
        <patternFill patternType="solid">
          <bgColor rgb="FF92D050"/>
        </patternFill>
      </fill>
    </dxf>
  </rfmt>
  <rfmt sheetId="1" sqref="AG12" start="0" length="0">
    <dxf>
      <numFmt numFmtId="27" formatCode="dd/mm/yyyy\ h:mm"/>
      <fill>
        <patternFill patternType="solid">
          <bgColor rgb="FF92D050"/>
        </patternFill>
      </fill>
    </dxf>
  </rfmt>
  <rfmt sheetId="1" sqref="AH12" start="0" length="0">
    <dxf>
      <numFmt numFmtId="164" formatCode="_-* #,##0_-;\-* #,##0_-;_-* &quot;-&quot;??_-;_-@_-"/>
      <fill>
        <patternFill patternType="solid">
          <bgColor rgb="FF92D050"/>
        </patternFill>
      </fill>
    </dxf>
  </rfmt>
  <rfmt sheetId="1" sqref="AI12" start="0" length="0">
    <dxf>
      <fill>
        <patternFill patternType="solid">
          <bgColor rgb="FF92D050"/>
        </patternFill>
      </fill>
    </dxf>
  </rfmt>
  <rfmt sheetId="1" sqref="AJ12" start="0" length="0">
    <dxf>
      <fill>
        <patternFill patternType="solid">
          <bgColor rgb="FF92D050"/>
        </patternFill>
      </fill>
    </dxf>
  </rfmt>
  <rfmt sheetId="1" sqref="AK12" start="0" length="0">
    <dxf>
      <fill>
        <patternFill patternType="solid">
          <bgColor rgb="FF92D050"/>
        </patternFill>
      </fill>
    </dxf>
  </rfmt>
  <rfmt sheetId="1" sqref="AD13" start="0" length="0">
    <dxf>
      <fill>
        <patternFill patternType="solid">
          <bgColor rgb="FF92D050"/>
        </patternFill>
      </fill>
    </dxf>
  </rfmt>
  <rfmt sheetId="1" sqref="AE13" start="0" length="0">
    <dxf>
      <numFmt numFmtId="27" formatCode="dd/mm/yyyy\ h:mm"/>
      <fill>
        <patternFill patternType="solid">
          <bgColor rgb="FF92D050"/>
        </patternFill>
      </fill>
    </dxf>
  </rfmt>
  <rfmt sheetId="1" sqref="AF13" start="0" length="0">
    <dxf>
      <numFmt numFmtId="164" formatCode="_-* #,##0_-;\-* #,##0_-;_-* &quot;-&quot;??_-;_-@_-"/>
      <fill>
        <patternFill patternType="solid">
          <bgColor rgb="FF92D050"/>
        </patternFill>
      </fill>
    </dxf>
  </rfmt>
  <rfmt sheetId="1" sqref="AG13" start="0" length="0">
    <dxf>
      <numFmt numFmtId="27" formatCode="dd/mm/yyyy\ h:mm"/>
      <fill>
        <patternFill patternType="solid">
          <bgColor rgb="FF92D050"/>
        </patternFill>
      </fill>
    </dxf>
  </rfmt>
  <rfmt sheetId="1" sqref="AH13" start="0" length="0">
    <dxf>
      <numFmt numFmtId="164" formatCode="_-* #,##0_-;\-* #,##0_-;_-* &quot;-&quot;??_-;_-@_-"/>
      <fill>
        <patternFill patternType="solid">
          <bgColor rgb="FF92D050"/>
        </patternFill>
      </fill>
    </dxf>
  </rfmt>
  <rfmt sheetId="1" sqref="AI13" start="0" length="0">
    <dxf>
      <fill>
        <patternFill patternType="solid">
          <bgColor rgb="FF92D050"/>
        </patternFill>
      </fill>
    </dxf>
  </rfmt>
  <rfmt sheetId="1" sqref="AJ13" start="0" length="0">
    <dxf>
      <fill>
        <patternFill patternType="solid">
          <bgColor rgb="FF92D050"/>
        </patternFill>
      </fill>
    </dxf>
  </rfmt>
  <rfmt sheetId="1" sqref="AK13" start="0" length="0">
    <dxf>
      <fill>
        <patternFill patternType="solid">
          <bgColor rgb="FF92D050"/>
        </patternFill>
      </fill>
    </dxf>
  </rfmt>
  <rfmt sheetId="1" sqref="AD14" start="0" length="0">
    <dxf>
      <fill>
        <patternFill patternType="solid">
          <bgColor rgb="FF92D050"/>
        </patternFill>
      </fill>
    </dxf>
  </rfmt>
  <rfmt sheetId="1" sqref="AE14" start="0" length="0">
    <dxf>
      <numFmt numFmtId="27" formatCode="dd/mm/yyyy\ h:mm"/>
      <fill>
        <patternFill patternType="solid">
          <bgColor rgb="FF92D050"/>
        </patternFill>
      </fill>
    </dxf>
  </rfmt>
  <rfmt sheetId="1" sqref="AF14" start="0" length="0">
    <dxf>
      <numFmt numFmtId="164" formatCode="_-* #,##0_-;\-* #,##0_-;_-* &quot;-&quot;??_-;_-@_-"/>
      <fill>
        <patternFill patternType="solid">
          <bgColor rgb="FF92D050"/>
        </patternFill>
      </fill>
    </dxf>
  </rfmt>
  <rfmt sheetId="1" sqref="AG14" start="0" length="0">
    <dxf>
      <numFmt numFmtId="27" formatCode="dd/mm/yyyy\ h:mm"/>
      <fill>
        <patternFill patternType="solid">
          <bgColor rgb="FF92D050"/>
        </patternFill>
      </fill>
    </dxf>
  </rfmt>
  <rfmt sheetId="1" sqref="AH14" start="0" length="0">
    <dxf>
      <numFmt numFmtId="164" formatCode="_-* #,##0_-;\-* #,##0_-;_-* &quot;-&quot;??_-;_-@_-"/>
      <fill>
        <patternFill patternType="solid">
          <bgColor rgb="FF92D050"/>
        </patternFill>
      </fill>
    </dxf>
  </rfmt>
  <rfmt sheetId="1" sqref="AI14" start="0" length="0">
    <dxf>
      <fill>
        <patternFill patternType="solid">
          <bgColor rgb="FF92D050"/>
        </patternFill>
      </fill>
    </dxf>
  </rfmt>
  <rfmt sheetId="1" sqref="AJ14" start="0" length="0">
    <dxf>
      <fill>
        <patternFill patternType="solid">
          <bgColor rgb="FF92D050"/>
        </patternFill>
      </fill>
    </dxf>
  </rfmt>
  <rfmt sheetId="1" sqref="AK14" start="0" length="0">
    <dxf>
      <fill>
        <patternFill patternType="solid">
          <bgColor rgb="FF92D050"/>
        </patternFill>
      </fill>
    </dxf>
  </rfmt>
  <rfmt sheetId="1" sqref="AD15" start="0" length="0">
    <dxf>
      <fill>
        <patternFill patternType="solid">
          <bgColor rgb="FF92D050"/>
        </patternFill>
      </fill>
    </dxf>
  </rfmt>
  <rfmt sheetId="1" sqref="AE15" start="0" length="0">
    <dxf>
      <numFmt numFmtId="27" formatCode="dd/mm/yyyy\ h:mm"/>
      <fill>
        <patternFill patternType="solid">
          <bgColor rgb="FF92D050"/>
        </patternFill>
      </fill>
    </dxf>
  </rfmt>
  <rfmt sheetId="1" sqref="AF15" start="0" length="0">
    <dxf>
      <numFmt numFmtId="164" formatCode="_-* #,##0_-;\-* #,##0_-;_-* &quot;-&quot;??_-;_-@_-"/>
      <fill>
        <patternFill patternType="solid">
          <bgColor rgb="FF92D050"/>
        </patternFill>
      </fill>
    </dxf>
  </rfmt>
  <rfmt sheetId="1" sqref="AG15" start="0" length="0">
    <dxf>
      <numFmt numFmtId="27" formatCode="dd/mm/yyyy\ h:mm"/>
      <fill>
        <patternFill patternType="solid">
          <bgColor rgb="FF92D050"/>
        </patternFill>
      </fill>
    </dxf>
  </rfmt>
  <rfmt sheetId="1" sqref="AH15" start="0" length="0">
    <dxf>
      <numFmt numFmtId="164" formatCode="_-* #,##0_-;\-* #,##0_-;_-* &quot;-&quot;??_-;_-@_-"/>
      <fill>
        <patternFill patternType="solid">
          <bgColor rgb="FF92D050"/>
        </patternFill>
      </fill>
    </dxf>
  </rfmt>
  <rfmt sheetId="1" sqref="AI15" start="0" length="0">
    <dxf>
      <fill>
        <patternFill patternType="solid">
          <bgColor rgb="FF92D050"/>
        </patternFill>
      </fill>
    </dxf>
  </rfmt>
  <rfmt sheetId="1" sqref="AJ15" start="0" length="0">
    <dxf>
      <fill>
        <patternFill patternType="solid">
          <bgColor rgb="FF92D050"/>
        </patternFill>
      </fill>
    </dxf>
  </rfmt>
  <rfmt sheetId="1" sqref="AK15" start="0" length="0">
    <dxf>
      <fill>
        <patternFill patternType="solid">
          <bgColor rgb="FF92D050"/>
        </patternFill>
      </fill>
    </dxf>
  </rfmt>
  <rfmt sheetId="1" sqref="AD16" start="0" length="0">
    <dxf>
      <fill>
        <patternFill patternType="solid">
          <bgColor rgb="FF92D050"/>
        </patternFill>
      </fill>
    </dxf>
  </rfmt>
  <rfmt sheetId="1" sqref="AE16" start="0" length="0">
    <dxf>
      <numFmt numFmtId="27" formatCode="dd/mm/yyyy\ h:mm"/>
      <fill>
        <patternFill patternType="solid">
          <bgColor rgb="FF92D050"/>
        </patternFill>
      </fill>
    </dxf>
  </rfmt>
  <rfmt sheetId="1" sqref="AF16" start="0" length="0">
    <dxf>
      <numFmt numFmtId="164" formatCode="_-* #,##0_-;\-* #,##0_-;_-* &quot;-&quot;??_-;_-@_-"/>
      <fill>
        <patternFill patternType="solid">
          <bgColor rgb="FF92D050"/>
        </patternFill>
      </fill>
    </dxf>
  </rfmt>
  <rfmt sheetId="1" sqref="AG16" start="0" length="0">
    <dxf>
      <numFmt numFmtId="27" formatCode="dd/mm/yyyy\ h:mm"/>
      <fill>
        <patternFill patternType="solid">
          <bgColor rgb="FF92D050"/>
        </patternFill>
      </fill>
    </dxf>
  </rfmt>
  <rfmt sheetId="1" sqref="AH16" start="0" length="0">
    <dxf>
      <numFmt numFmtId="164" formatCode="_-* #,##0_-;\-* #,##0_-;_-* &quot;-&quot;??_-;_-@_-"/>
      <fill>
        <patternFill patternType="solid">
          <bgColor rgb="FF92D050"/>
        </patternFill>
      </fill>
    </dxf>
  </rfmt>
  <rfmt sheetId="1" sqref="AI16" start="0" length="0">
    <dxf>
      <fill>
        <patternFill patternType="solid">
          <bgColor rgb="FF92D050"/>
        </patternFill>
      </fill>
    </dxf>
  </rfmt>
  <rfmt sheetId="1" sqref="AJ16" start="0" length="0">
    <dxf>
      <fill>
        <patternFill patternType="solid">
          <bgColor rgb="FF92D050"/>
        </patternFill>
      </fill>
    </dxf>
  </rfmt>
  <rfmt sheetId="1" sqref="AK16" start="0" length="0">
    <dxf>
      <fill>
        <patternFill patternType="solid">
          <bgColor rgb="FF92D050"/>
        </patternFill>
      </fill>
    </dxf>
  </rfmt>
  <rfmt sheetId="1" sqref="AD17" start="0" length="0">
    <dxf>
      <fill>
        <patternFill patternType="solid">
          <bgColor rgb="FF92D050"/>
        </patternFill>
      </fill>
    </dxf>
  </rfmt>
  <rfmt sheetId="1" sqref="AE17" start="0" length="0">
    <dxf>
      <numFmt numFmtId="27" formatCode="dd/mm/yyyy\ h:mm"/>
      <fill>
        <patternFill patternType="solid">
          <bgColor rgb="FF92D050"/>
        </patternFill>
      </fill>
    </dxf>
  </rfmt>
  <rfmt sheetId="1" sqref="AF17" start="0" length="0">
    <dxf>
      <numFmt numFmtId="164" formatCode="_-* #,##0_-;\-* #,##0_-;_-* &quot;-&quot;??_-;_-@_-"/>
      <fill>
        <patternFill patternType="solid">
          <bgColor rgb="FF92D050"/>
        </patternFill>
      </fill>
    </dxf>
  </rfmt>
  <rfmt sheetId="1" sqref="AG17" start="0" length="0">
    <dxf>
      <numFmt numFmtId="27" formatCode="dd/mm/yyyy\ h:mm"/>
      <fill>
        <patternFill patternType="solid">
          <bgColor rgb="FF92D050"/>
        </patternFill>
      </fill>
    </dxf>
  </rfmt>
  <rfmt sheetId="1" sqref="AH17" start="0" length="0">
    <dxf>
      <numFmt numFmtId="164" formatCode="_-* #,##0_-;\-* #,##0_-;_-* &quot;-&quot;??_-;_-@_-"/>
      <fill>
        <patternFill patternType="solid">
          <bgColor rgb="FF92D050"/>
        </patternFill>
      </fill>
    </dxf>
  </rfmt>
  <rfmt sheetId="1" sqref="AI17" start="0" length="0">
    <dxf>
      <fill>
        <patternFill patternType="solid">
          <bgColor rgb="FF92D050"/>
        </patternFill>
      </fill>
    </dxf>
  </rfmt>
  <rfmt sheetId="1" sqref="AJ17" start="0" length="0">
    <dxf>
      <fill>
        <patternFill patternType="solid">
          <bgColor rgb="FF92D050"/>
        </patternFill>
      </fill>
    </dxf>
  </rfmt>
  <rfmt sheetId="1" sqref="AK17" start="0" length="0">
    <dxf>
      <fill>
        <patternFill patternType="solid">
          <bgColor rgb="FF92D050"/>
        </patternFill>
      </fill>
    </dxf>
  </rfmt>
  <rfmt sheetId="1" sqref="AD18" start="0" length="0">
    <dxf>
      <fill>
        <patternFill patternType="solid">
          <bgColor rgb="FF92D050"/>
        </patternFill>
      </fill>
    </dxf>
  </rfmt>
  <rfmt sheetId="1" sqref="AE18" start="0" length="0">
    <dxf>
      <numFmt numFmtId="27" formatCode="dd/mm/yyyy\ h:mm"/>
      <fill>
        <patternFill patternType="solid">
          <bgColor rgb="FF92D050"/>
        </patternFill>
      </fill>
    </dxf>
  </rfmt>
  <rfmt sheetId="1" sqref="AF18" start="0" length="0">
    <dxf>
      <numFmt numFmtId="164" formatCode="_-* #,##0_-;\-* #,##0_-;_-* &quot;-&quot;??_-;_-@_-"/>
      <fill>
        <patternFill patternType="solid">
          <bgColor rgb="FF92D050"/>
        </patternFill>
      </fill>
    </dxf>
  </rfmt>
  <rfmt sheetId="1" sqref="AG18" start="0" length="0">
    <dxf>
      <numFmt numFmtId="27" formatCode="dd/mm/yyyy\ h:mm"/>
      <fill>
        <patternFill patternType="solid">
          <bgColor rgb="FF92D050"/>
        </patternFill>
      </fill>
    </dxf>
  </rfmt>
  <rfmt sheetId="1" sqref="AH18" start="0" length="0">
    <dxf>
      <numFmt numFmtId="164" formatCode="_-* #,##0_-;\-* #,##0_-;_-* &quot;-&quot;??_-;_-@_-"/>
      <fill>
        <patternFill patternType="solid">
          <bgColor rgb="FF92D050"/>
        </patternFill>
      </fill>
    </dxf>
  </rfmt>
  <rfmt sheetId="1" sqref="AI18" start="0" length="0">
    <dxf>
      <fill>
        <patternFill patternType="solid">
          <bgColor rgb="FF92D050"/>
        </patternFill>
      </fill>
    </dxf>
  </rfmt>
  <rfmt sheetId="1" sqref="AJ18" start="0" length="0">
    <dxf>
      <fill>
        <patternFill patternType="solid">
          <bgColor rgb="FF92D050"/>
        </patternFill>
      </fill>
    </dxf>
  </rfmt>
  <rfmt sheetId="1" sqref="AK18" start="0" length="0">
    <dxf>
      <fill>
        <patternFill patternType="solid">
          <bgColor rgb="FF92D050"/>
        </patternFill>
      </fill>
    </dxf>
  </rfmt>
  <rfmt sheetId="1" sqref="AD19" start="0" length="0">
    <dxf>
      <fill>
        <patternFill patternType="solid">
          <bgColor rgb="FF92D050"/>
        </patternFill>
      </fill>
    </dxf>
  </rfmt>
  <rfmt sheetId="1" sqref="AE19" start="0" length="0">
    <dxf>
      <numFmt numFmtId="27" formatCode="dd/mm/yyyy\ h:mm"/>
      <fill>
        <patternFill patternType="solid">
          <bgColor rgb="FF92D050"/>
        </patternFill>
      </fill>
    </dxf>
  </rfmt>
  <rfmt sheetId="1" sqref="AF19" start="0" length="0">
    <dxf>
      <numFmt numFmtId="164" formatCode="_-* #,##0_-;\-* #,##0_-;_-* &quot;-&quot;??_-;_-@_-"/>
      <fill>
        <patternFill patternType="solid">
          <bgColor rgb="FF92D050"/>
        </patternFill>
      </fill>
    </dxf>
  </rfmt>
  <rfmt sheetId="1" sqref="AG19" start="0" length="0">
    <dxf>
      <numFmt numFmtId="27" formatCode="dd/mm/yyyy\ h:mm"/>
      <fill>
        <patternFill patternType="solid">
          <bgColor rgb="FF92D050"/>
        </patternFill>
      </fill>
    </dxf>
  </rfmt>
  <rfmt sheetId="1" sqref="AH19" start="0" length="0">
    <dxf>
      <numFmt numFmtId="164" formatCode="_-* #,##0_-;\-* #,##0_-;_-* &quot;-&quot;??_-;_-@_-"/>
      <fill>
        <patternFill patternType="solid">
          <bgColor rgb="FF92D050"/>
        </patternFill>
      </fill>
    </dxf>
  </rfmt>
  <rfmt sheetId="1" sqref="AI19" start="0" length="0">
    <dxf>
      <fill>
        <patternFill patternType="solid">
          <bgColor rgb="FF92D050"/>
        </patternFill>
      </fill>
    </dxf>
  </rfmt>
  <rfmt sheetId="1" sqref="AJ19" start="0" length="0">
    <dxf>
      <fill>
        <patternFill patternType="solid">
          <bgColor rgb="FF92D050"/>
        </patternFill>
      </fill>
    </dxf>
  </rfmt>
  <rfmt sheetId="1" sqref="AK19" start="0" length="0">
    <dxf>
      <fill>
        <patternFill patternType="solid">
          <bgColor rgb="FF92D050"/>
        </patternFill>
      </fill>
    </dxf>
  </rfmt>
  <rfmt sheetId="1" sqref="AD20" start="0" length="0">
    <dxf>
      <fill>
        <patternFill patternType="solid">
          <bgColor rgb="FF92D050"/>
        </patternFill>
      </fill>
    </dxf>
  </rfmt>
  <rfmt sheetId="1" sqref="AE20" start="0" length="0">
    <dxf>
      <numFmt numFmtId="27" formatCode="dd/mm/yyyy\ h:mm"/>
      <fill>
        <patternFill patternType="solid">
          <bgColor rgb="FF92D050"/>
        </patternFill>
      </fill>
    </dxf>
  </rfmt>
  <rfmt sheetId="1" sqref="AF20" start="0" length="0">
    <dxf>
      <numFmt numFmtId="164" formatCode="_-* #,##0_-;\-* #,##0_-;_-* &quot;-&quot;??_-;_-@_-"/>
      <fill>
        <patternFill patternType="solid">
          <bgColor rgb="FF92D050"/>
        </patternFill>
      </fill>
    </dxf>
  </rfmt>
  <rfmt sheetId="1" sqref="AG20" start="0" length="0">
    <dxf>
      <numFmt numFmtId="27" formatCode="dd/mm/yyyy\ h:mm"/>
      <fill>
        <patternFill patternType="solid">
          <bgColor rgb="FF92D050"/>
        </patternFill>
      </fill>
    </dxf>
  </rfmt>
  <rfmt sheetId="1" sqref="AH20" start="0" length="0">
    <dxf>
      <numFmt numFmtId="164" formatCode="_-* #,##0_-;\-* #,##0_-;_-* &quot;-&quot;??_-;_-@_-"/>
      <fill>
        <patternFill patternType="solid">
          <bgColor rgb="FF92D050"/>
        </patternFill>
      </fill>
    </dxf>
  </rfmt>
  <rfmt sheetId="1" sqref="AI20" start="0" length="0">
    <dxf>
      <fill>
        <patternFill patternType="solid">
          <bgColor rgb="FF92D050"/>
        </patternFill>
      </fill>
    </dxf>
  </rfmt>
  <rfmt sheetId="1" sqref="AJ20" start="0" length="0">
    <dxf>
      <fill>
        <patternFill patternType="solid">
          <bgColor rgb="FF92D050"/>
        </patternFill>
      </fill>
    </dxf>
  </rfmt>
  <rfmt sheetId="1" sqref="AK20" start="0" length="0">
    <dxf>
      <fill>
        <patternFill patternType="solid">
          <bgColor rgb="FF92D050"/>
        </patternFill>
      </fill>
    </dxf>
  </rfmt>
  <rfmt sheetId="1" sqref="AD21" start="0" length="0">
    <dxf>
      <fill>
        <patternFill patternType="solid">
          <bgColor rgb="FF92D050"/>
        </patternFill>
      </fill>
    </dxf>
  </rfmt>
  <rfmt sheetId="1" sqref="AE21" start="0" length="0">
    <dxf>
      <numFmt numFmtId="27" formatCode="dd/mm/yyyy\ h:mm"/>
      <fill>
        <patternFill patternType="solid">
          <bgColor rgb="FF92D050"/>
        </patternFill>
      </fill>
    </dxf>
  </rfmt>
  <rfmt sheetId="1" sqref="AF21" start="0" length="0">
    <dxf>
      <numFmt numFmtId="164" formatCode="_-* #,##0_-;\-* #,##0_-;_-* &quot;-&quot;??_-;_-@_-"/>
      <fill>
        <patternFill patternType="solid">
          <bgColor rgb="FF92D050"/>
        </patternFill>
      </fill>
    </dxf>
  </rfmt>
  <rfmt sheetId="1" sqref="AG21" start="0" length="0">
    <dxf>
      <numFmt numFmtId="27" formatCode="dd/mm/yyyy\ h:mm"/>
      <fill>
        <patternFill patternType="solid">
          <bgColor rgb="FF92D050"/>
        </patternFill>
      </fill>
    </dxf>
  </rfmt>
  <rfmt sheetId="1" sqref="AH21" start="0" length="0">
    <dxf>
      <numFmt numFmtId="164" formatCode="_-* #,##0_-;\-* #,##0_-;_-* &quot;-&quot;??_-;_-@_-"/>
      <fill>
        <patternFill patternType="solid">
          <bgColor rgb="FF92D050"/>
        </patternFill>
      </fill>
    </dxf>
  </rfmt>
  <rfmt sheetId="1" sqref="AI21" start="0" length="0">
    <dxf>
      <fill>
        <patternFill patternType="solid">
          <bgColor rgb="FF92D050"/>
        </patternFill>
      </fill>
    </dxf>
  </rfmt>
  <rfmt sheetId="1" sqref="AJ21" start="0" length="0">
    <dxf>
      <fill>
        <patternFill patternType="solid">
          <bgColor rgb="FF92D050"/>
        </patternFill>
      </fill>
    </dxf>
  </rfmt>
  <rfmt sheetId="1" sqref="AK21" start="0" length="0">
    <dxf>
      <fill>
        <patternFill patternType="solid">
          <bgColor rgb="FF92D050"/>
        </patternFill>
      </fill>
    </dxf>
  </rfmt>
  <rfmt sheetId="1" sqref="AD22" start="0" length="0">
    <dxf>
      <fill>
        <patternFill patternType="solid">
          <bgColor rgb="FF92D050"/>
        </patternFill>
      </fill>
    </dxf>
  </rfmt>
  <rfmt sheetId="1" sqref="AE22" start="0" length="0">
    <dxf>
      <numFmt numFmtId="27" formatCode="dd/mm/yyyy\ h:mm"/>
      <fill>
        <patternFill patternType="solid">
          <bgColor rgb="FF92D050"/>
        </patternFill>
      </fill>
    </dxf>
  </rfmt>
  <rfmt sheetId="1" sqref="AF22" start="0" length="0">
    <dxf>
      <numFmt numFmtId="164" formatCode="_-* #,##0_-;\-* #,##0_-;_-* &quot;-&quot;??_-;_-@_-"/>
      <fill>
        <patternFill patternType="solid">
          <bgColor rgb="FF92D050"/>
        </patternFill>
      </fill>
    </dxf>
  </rfmt>
  <rfmt sheetId="1" sqref="AG22" start="0" length="0">
    <dxf>
      <numFmt numFmtId="27" formatCode="dd/mm/yyyy\ h:mm"/>
      <fill>
        <patternFill patternType="solid">
          <bgColor rgb="FF92D050"/>
        </patternFill>
      </fill>
    </dxf>
  </rfmt>
  <rfmt sheetId="1" sqref="AH22" start="0" length="0">
    <dxf>
      <numFmt numFmtId="164" formatCode="_-* #,##0_-;\-* #,##0_-;_-* &quot;-&quot;??_-;_-@_-"/>
      <fill>
        <patternFill patternType="solid">
          <bgColor rgb="FF92D050"/>
        </patternFill>
      </fill>
    </dxf>
  </rfmt>
  <rfmt sheetId="1" sqref="AI22" start="0" length="0">
    <dxf>
      <fill>
        <patternFill patternType="solid">
          <bgColor rgb="FF92D050"/>
        </patternFill>
      </fill>
    </dxf>
  </rfmt>
  <rfmt sheetId="1" sqref="AJ22" start="0" length="0">
    <dxf>
      <fill>
        <patternFill patternType="solid">
          <bgColor rgb="FF92D050"/>
        </patternFill>
      </fill>
    </dxf>
  </rfmt>
  <rfmt sheetId="1" sqref="AK22" start="0" length="0">
    <dxf>
      <fill>
        <patternFill patternType="solid">
          <bgColor rgb="FF92D050"/>
        </patternFill>
      </fill>
    </dxf>
  </rfmt>
  <rfmt sheetId="1" sqref="AD23" start="0" length="0">
    <dxf>
      <fill>
        <patternFill patternType="solid">
          <bgColor rgb="FF92D050"/>
        </patternFill>
      </fill>
    </dxf>
  </rfmt>
  <rfmt sheetId="1" sqref="AE23" start="0" length="0">
    <dxf>
      <numFmt numFmtId="27" formatCode="dd/mm/yyyy\ h:mm"/>
      <fill>
        <patternFill patternType="solid">
          <bgColor rgb="FF92D050"/>
        </patternFill>
      </fill>
    </dxf>
  </rfmt>
  <rfmt sheetId="1" sqref="AF23" start="0" length="0">
    <dxf>
      <numFmt numFmtId="164" formatCode="_-* #,##0_-;\-* #,##0_-;_-* &quot;-&quot;??_-;_-@_-"/>
      <fill>
        <patternFill patternType="solid">
          <bgColor rgb="FF92D050"/>
        </patternFill>
      </fill>
    </dxf>
  </rfmt>
  <rfmt sheetId="1" sqref="AG23" start="0" length="0">
    <dxf>
      <numFmt numFmtId="27" formatCode="dd/mm/yyyy\ h:mm"/>
      <fill>
        <patternFill patternType="solid">
          <bgColor rgb="FF92D050"/>
        </patternFill>
      </fill>
    </dxf>
  </rfmt>
  <rfmt sheetId="1" sqref="AH23" start="0" length="0">
    <dxf>
      <numFmt numFmtId="164" formatCode="_-* #,##0_-;\-* #,##0_-;_-* &quot;-&quot;??_-;_-@_-"/>
      <fill>
        <patternFill patternType="solid">
          <bgColor rgb="FF92D050"/>
        </patternFill>
      </fill>
    </dxf>
  </rfmt>
  <rfmt sheetId="1" sqref="AI23" start="0" length="0">
    <dxf>
      <fill>
        <patternFill patternType="solid">
          <bgColor rgb="FF92D050"/>
        </patternFill>
      </fill>
    </dxf>
  </rfmt>
  <rfmt sheetId="1" sqref="AJ23" start="0" length="0">
    <dxf>
      <fill>
        <patternFill patternType="solid">
          <bgColor rgb="FF92D050"/>
        </patternFill>
      </fill>
    </dxf>
  </rfmt>
  <rfmt sheetId="1" sqref="AK23" start="0" length="0">
    <dxf>
      <fill>
        <patternFill patternType="solid">
          <bgColor rgb="FF92D050"/>
        </patternFill>
      </fill>
    </dxf>
  </rfmt>
  <rfmt sheetId="1" sqref="AD24" start="0" length="0">
    <dxf>
      <fill>
        <patternFill patternType="solid">
          <bgColor rgb="FF92D050"/>
        </patternFill>
      </fill>
    </dxf>
  </rfmt>
  <rfmt sheetId="1" sqref="AE24" start="0" length="0">
    <dxf>
      <numFmt numFmtId="27" formatCode="dd/mm/yyyy\ h:mm"/>
      <fill>
        <patternFill patternType="solid">
          <bgColor rgb="FF92D050"/>
        </patternFill>
      </fill>
    </dxf>
  </rfmt>
  <rfmt sheetId="1" sqref="AF24" start="0" length="0">
    <dxf>
      <numFmt numFmtId="164" formatCode="_-* #,##0_-;\-* #,##0_-;_-* &quot;-&quot;??_-;_-@_-"/>
      <fill>
        <patternFill patternType="solid">
          <bgColor rgb="FF92D050"/>
        </patternFill>
      </fill>
    </dxf>
  </rfmt>
  <rfmt sheetId="1" sqref="AG24" start="0" length="0">
    <dxf>
      <numFmt numFmtId="27" formatCode="dd/mm/yyyy\ h:mm"/>
      <fill>
        <patternFill patternType="solid">
          <bgColor rgb="FF92D050"/>
        </patternFill>
      </fill>
    </dxf>
  </rfmt>
  <rfmt sheetId="1" sqref="AH24" start="0" length="0">
    <dxf>
      <numFmt numFmtId="164" formatCode="_-* #,##0_-;\-* #,##0_-;_-* &quot;-&quot;??_-;_-@_-"/>
      <fill>
        <patternFill patternType="solid">
          <bgColor rgb="FF92D050"/>
        </patternFill>
      </fill>
    </dxf>
  </rfmt>
  <rfmt sheetId="1" sqref="AI24" start="0" length="0">
    <dxf>
      <fill>
        <patternFill patternType="solid">
          <bgColor rgb="FF92D050"/>
        </patternFill>
      </fill>
    </dxf>
  </rfmt>
  <rfmt sheetId="1" sqref="AJ24" start="0" length="0">
    <dxf>
      <fill>
        <patternFill patternType="solid">
          <bgColor rgb="FF92D050"/>
        </patternFill>
      </fill>
    </dxf>
  </rfmt>
  <rfmt sheetId="1" sqref="AK24" start="0" length="0">
    <dxf>
      <fill>
        <patternFill patternType="solid">
          <bgColor rgb="FF92D050"/>
        </patternFill>
      </fill>
    </dxf>
  </rfmt>
  <rfmt sheetId="1" sqref="AD25" start="0" length="0">
    <dxf>
      <fill>
        <patternFill patternType="solid">
          <bgColor rgb="FF92D050"/>
        </patternFill>
      </fill>
    </dxf>
  </rfmt>
  <rfmt sheetId="1" sqref="AE25" start="0" length="0">
    <dxf>
      <numFmt numFmtId="27" formatCode="dd/mm/yyyy\ h:mm"/>
      <fill>
        <patternFill patternType="solid">
          <bgColor rgb="FF92D050"/>
        </patternFill>
      </fill>
    </dxf>
  </rfmt>
  <rfmt sheetId="1" sqref="AF25" start="0" length="0">
    <dxf>
      <numFmt numFmtId="164" formatCode="_-* #,##0_-;\-* #,##0_-;_-* &quot;-&quot;??_-;_-@_-"/>
      <fill>
        <patternFill patternType="solid">
          <bgColor rgb="FF92D050"/>
        </patternFill>
      </fill>
    </dxf>
  </rfmt>
  <rfmt sheetId="1" sqref="AG25" start="0" length="0">
    <dxf>
      <numFmt numFmtId="27" formatCode="dd/mm/yyyy\ h:mm"/>
      <fill>
        <patternFill patternType="solid">
          <bgColor rgb="FF92D050"/>
        </patternFill>
      </fill>
    </dxf>
  </rfmt>
  <rfmt sheetId="1" sqref="AH25" start="0" length="0">
    <dxf>
      <numFmt numFmtId="164" formatCode="_-* #,##0_-;\-* #,##0_-;_-* &quot;-&quot;??_-;_-@_-"/>
      <fill>
        <patternFill patternType="solid">
          <bgColor rgb="FF92D050"/>
        </patternFill>
      </fill>
    </dxf>
  </rfmt>
  <rfmt sheetId="1" sqref="AI25" start="0" length="0">
    <dxf>
      <fill>
        <patternFill patternType="solid">
          <bgColor rgb="FF92D050"/>
        </patternFill>
      </fill>
    </dxf>
  </rfmt>
  <rfmt sheetId="1" sqref="AJ25" start="0" length="0">
    <dxf>
      <fill>
        <patternFill patternType="solid">
          <bgColor rgb="FF92D050"/>
        </patternFill>
      </fill>
    </dxf>
  </rfmt>
  <rfmt sheetId="1" sqref="AK25" start="0" length="0">
    <dxf>
      <fill>
        <patternFill patternType="solid">
          <bgColor rgb="FF92D050"/>
        </patternFill>
      </fill>
    </dxf>
  </rfmt>
  <rfmt sheetId="1" sqref="AD26" start="0" length="0">
    <dxf>
      <fill>
        <patternFill patternType="solid">
          <bgColor rgb="FF92D050"/>
        </patternFill>
      </fill>
    </dxf>
  </rfmt>
  <rfmt sheetId="1" sqref="AE26" start="0" length="0">
    <dxf>
      <numFmt numFmtId="27" formatCode="dd/mm/yyyy\ h:mm"/>
      <fill>
        <patternFill patternType="solid">
          <bgColor rgb="FF92D050"/>
        </patternFill>
      </fill>
    </dxf>
  </rfmt>
  <rfmt sheetId="1" sqref="AF26" start="0" length="0">
    <dxf>
      <numFmt numFmtId="164" formatCode="_-* #,##0_-;\-* #,##0_-;_-* &quot;-&quot;??_-;_-@_-"/>
      <fill>
        <patternFill patternType="solid">
          <bgColor rgb="FF92D050"/>
        </patternFill>
      </fill>
    </dxf>
  </rfmt>
  <rfmt sheetId="1" sqref="AG26" start="0" length="0">
    <dxf>
      <numFmt numFmtId="27" formatCode="dd/mm/yyyy\ h:mm"/>
      <fill>
        <patternFill patternType="solid">
          <bgColor rgb="FF92D050"/>
        </patternFill>
      </fill>
    </dxf>
  </rfmt>
  <rfmt sheetId="1" sqref="AH26" start="0" length="0">
    <dxf>
      <numFmt numFmtId="164" formatCode="_-* #,##0_-;\-* #,##0_-;_-* &quot;-&quot;??_-;_-@_-"/>
      <fill>
        <patternFill patternType="solid">
          <bgColor rgb="FF92D050"/>
        </patternFill>
      </fill>
    </dxf>
  </rfmt>
  <rfmt sheetId="1" sqref="AI26" start="0" length="0">
    <dxf>
      <fill>
        <patternFill patternType="solid">
          <bgColor rgb="FF92D050"/>
        </patternFill>
      </fill>
    </dxf>
  </rfmt>
  <rfmt sheetId="1" sqref="AJ26" start="0" length="0">
    <dxf>
      <fill>
        <patternFill patternType="solid">
          <bgColor rgb="FF92D050"/>
        </patternFill>
      </fill>
    </dxf>
  </rfmt>
  <rfmt sheetId="1" sqref="AK26" start="0" length="0">
    <dxf>
      <fill>
        <patternFill patternType="solid">
          <bgColor rgb="FF92D050"/>
        </patternFill>
      </fill>
    </dxf>
  </rfmt>
  <rfmt sheetId="1" sqref="AD27" start="0" length="0">
    <dxf>
      <fill>
        <patternFill patternType="solid">
          <bgColor rgb="FF92D050"/>
        </patternFill>
      </fill>
    </dxf>
  </rfmt>
  <rfmt sheetId="1" sqref="AE27" start="0" length="0">
    <dxf>
      <numFmt numFmtId="27" formatCode="dd/mm/yyyy\ h:mm"/>
      <fill>
        <patternFill patternType="solid">
          <bgColor rgb="FF92D050"/>
        </patternFill>
      </fill>
    </dxf>
  </rfmt>
  <rfmt sheetId="1" sqref="AF27" start="0" length="0">
    <dxf>
      <numFmt numFmtId="164" formatCode="_-* #,##0_-;\-* #,##0_-;_-* &quot;-&quot;??_-;_-@_-"/>
      <fill>
        <patternFill patternType="solid">
          <bgColor rgb="FF92D050"/>
        </patternFill>
      </fill>
    </dxf>
  </rfmt>
  <rfmt sheetId="1" sqref="AG27" start="0" length="0">
    <dxf>
      <numFmt numFmtId="27" formatCode="dd/mm/yyyy\ h:mm"/>
      <fill>
        <patternFill patternType="solid">
          <bgColor rgb="FF92D050"/>
        </patternFill>
      </fill>
    </dxf>
  </rfmt>
  <rfmt sheetId="1" sqref="AH27" start="0" length="0">
    <dxf>
      <numFmt numFmtId="164" formatCode="_-* #,##0_-;\-* #,##0_-;_-* &quot;-&quot;??_-;_-@_-"/>
      <fill>
        <patternFill patternType="solid">
          <bgColor rgb="FF92D050"/>
        </patternFill>
      </fill>
    </dxf>
  </rfmt>
  <rfmt sheetId="1" sqref="AI27" start="0" length="0">
    <dxf>
      <fill>
        <patternFill patternType="solid">
          <bgColor rgb="FF92D050"/>
        </patternFill>
      </fill>
    </dxf>
  </rfmt>
  <rfmt sheetId="1" sqref="AJ27" start="0" length="0">
    <dxf>
      <fill>
        <patternFill patternType="solid">
          <bgColor rgb="FF92D050"/>
        </patternFill>
      </fill>
    </dxf>
  </rfmt>
  <rfmt sheetId="1" sqref="AK27" start="0" length="0">
    <dxf>
      <fill>
        <patternFill patternType="solid">
          <bgColor rgb="FF92D050"/>
        </patternFill>
      </fill>
    </dxf>
  </rfmt>
  <rfmt sheetId="1" sqref="AD2:AK27">
    <dxf>
      <fill>
        <patternFill patternType="none">
          <bgColor auto="1"/>
        </patternFill>
      </fill>
    </dxf>
  </rfmt>
  <rfmt sheetId="1" sqref="AD6:AK6">
    <dxf>
      <fill>
        <patternFill patternType="solid">
          <bgColor rgb="FF92D050"/>
        </patternFill>
      </fill>
    </dxf>
  </rfmt>
  <rcc rId="125" sId="1" numFmtId="34">
    <nc r="AD7">
      <v>108671</v>
    </nc>
  </rcc>
  <rcc rId="126" sId="1" numFmtId="27">
    <nc r="AE7">
      <v>46029.420138888891</v>
    </nc>
  </rcc>
  <rcc rId="127" sId="1" numFmtId="34">
    <nc r="AF7">
      <v>109436</v>
    </nc>
  </rcc>
  <rcc rId="128" sId="1" numFmtId="27">
    <nc r="AG7">
      <v>46031.378472222219</v>
    </nc>
  </rcc>
  <rfmt sheetId="1" sqref="A7:AK7">
    <dxf>
      <fill>
        <patternFill patternType="solid">
          <bgColor rgb="FF92D050"/>
        </patternFill>
      </fill>
    </dxf>
  </rfmt>
  <rfmt sheetId="1" sqref="A1:A28" start="0" length="0">
    <dxf>
      <border>
        <left style="thin">
          <color indexed="64"/>
        </left>
      </border>
    </dxf>
  </rfmt>
  <rfmt sheetId="1" sqref="AK1:AK28" start="0" length="0">
    <dxf>
      <border>
        <right style="thin">
          <color indexed="64"/>
        </right>
      </border>
    </dxf>
  </rfmt>
  <rfmt sheetId="1" sqref="A28:AK28" start="0" length="0">
    <dxf>
      <border>
        <bottom style="thin">
          <color indexed="64"/>
        </bottom>
      </border>
    </dxf>
  </rfmt>
  <rcv guid="{D015136D-255F-4042-9389-EB535F138010}" action="delete"/>
  <rdn rId="0" localSheetId="1" customView="1" name="Z_D015136D_255F_4042_9389_EB535F138010_.wvu.FilterData" hidden="1" oldHidden="1">
    <formula>DATA!$A$1:$AY$1</formula>
    <oldFormula>DATA!$A$1:$AY$1</oldFormula>
  </rdn>
  <rcv guid="{D015136D-255F-4042-9389-EB535F138010}" action="add"/>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 sId="1">
    <nc r="M2">
      <f>+N2-H2</f>
    </nc>
  </rcc>
  <rcc rId="131" sId="1">
    <nc r="M3">
      <f>+N3-H3</f>
    </nc>
  </rcc>
  <rcc rId="132" sId="1">
    <nc r="M4">
      <f>+N4-H4</f>
    </nc>
  </rcc>
  <rcc rId="133" sId="1">
    <nc r="M5">
      <f>+N5-H5</f>
    </nc>
  </rcc>
  <rcc rId="134" sId="1">
    <nc r="M8">
      <f>+N8-H8</f>
    </nc>
  </rcc>
  <rcc rId="135" sId="1">
    <nc r="M9">
      <f>+N9-H9</f>
    </nc>
  </rcc>
  <rcc rId="136" sId="1">
    <nc r="M10">
      <f>+N10-H10</f>
    </nc>
  </rcc>
  <rcc rId="137" sId="1">
    <nc r="M11">
      <f>+N11-H11</f>
    </nc>
  </rcc>
  <rcc rId="138" sId="1">
    <nc r="Q2">
      <f>+P2+O2</f>
    </nc>
  </rcc>
  <rcc rId="139" sId="1">
    <nc r="Q3">
      <f>+P3+O3</f>
    </nc>
  </rcc>
  <rcc rId="140" sId="1">
    <nc r="Q4">
      <f>+P4+O4</f>
    </nc>
  </rcc>
  <rcc rId="141" sId="1">
    <nc r="Q5">
      <f>+P5+O5</f>
    </nc>
  </rcc>
  <rcc rId="142" sId="1">
    <oc r="Q7">
      <f>+P7+O7</f>
    </oc>
    <nc r="Q7">
      <f>+P7+O7</f>
    </nc>
  </rcc>
  <rcc rId="143" sId="1">
    <nc r="Q8">
      <f>+P8+O8</f>
    </nc>
  </rcc>
  <rcc rId="144" sId="1">
    <nc r="Q9">
      <f>+P9+O9</f>
    </nc>
  </rcc>
  <rcc rId="145" sId="1">
    <nc r="Q10">
      <f>+P10+O10</f>
    </nc>
  </rcc>
  <rcc rId="146" sId="1">
    <nc r="Q11">
      <f>+P11+O11</f>
    </nc>
  </rcc>
  <rcc rId="147" sId="1">
    <nc r="R2">
      <f>(N2/Q2)</f>
    </nc>
  </rcc>
  <rcc rId="148" sId="1">
    <nc r="R3">
      <f>(N3/Q3)</f>
    </nc>
  </rcc>
  <rcc rId="149" sId="1">
    <nc r="R4">
      <f>(N4/Q4)</f>
    </nc>
  </rcc>
  <rcc rId="150" sId="1">
    <nc r="R5">
      <f>(N5/Q5)</f>
    </nc>
  </rcc>
  <rcc rId="151" sId="1">
    <oc r="R7">
      <f>(N7/Q7)</f>
    </oc>
    <nc r="R7">
      <f>(N7/Q7)</f>
    </nc>
  </rcc>
  <rcc rId="152" sId="1">
    <nc r="R8">
      <f>(N8/Q8)</f>
    </nc>
  </rcc>
  <rcc rId="153" sId="1">
    <nc r="R9">
      <f>(N9/Q9)</f>
    </nc>
  </rcc>
  <rcc rId="154" sId="1">
    <nc r="R10">
      <f>(N10/Q10)</f>
    </nc>
  </rcc>
  <rcc rId="155" sId="1">
    <nc r="R11">
      <f>(N11/Q11)</f>
    </nc>
  </rcc>
  <rcc rId="156" sId="1">
    <oc r="S2">
      <f>(('Costo por negocio'!$B$2-DATA!R2)*DATA!O2)+('Costo por negocio'!$C$2-DATA!R2)*DATA!P2</f>
    </oc>
    <nc r="S2">
      <f>(('Costo por negocio'!$B$2-DATA!R2)*DATA!O2)+('Costo por negocio'!$C$2-DATA!R2)*DATA!P2</f>
    </nc>
  </rcc>
  <rcc rId="157" sId="1">
    <oc r="S3">
      <f>(('Costo por negocio'!$B$2-DATA!R3)*DATA!O3)+('Costo por negocio'!$C$2-DATA!R3)*DATA!P3</f>
    </oc>
    <nc r="S3">
      <f>(('Costo por negocio'!$B$2-DATA!R3)*DATA!O3)+('Costo por negocio'!$C$2-DATA!R3)*DATA!P3</f>
    </nc>
  </rcc>
  <rcc rId="158" sId="1">
    <oc r="S4">
      <f>(('Costo por negocio'!$B$2-DATA!R4)*DATA!O4)+('Costo por negocio'!$C$2-DATA!R4)*DATA!P4</f>
    </oc>
    <nc r="S4">
      <f>(('Costo por negocio'!$B$2-DATA!R4)*DATA!O4)+('Costo por negocio'!$C$2-DATA!R4)*DATA!P4</f>
    </nc>
  </rcc>
  <rcc rId="159" sId="1">
    <oc r="S5">
      <f>(('Costo por negocio'!$B$2-DATA!R5)*DATA!O5)+('Costo por negocio'!$C$2-DATA!R5)*DATA!P5</f>
    </oc>
    <nc r="S5">
      <f>(('Costo por negocio'!$B$2-DATA!R5)*DATA!O5)+('Costo por negocio'!$C$2-DATA!R5)*DATA!P5</f>
    </nc>
  </rcc>
  <rcc rId="160" sId="1">
    <oc r="S7">
      <f>(('Costo por negocio'!$B$2-DATA!R7)*DATA!O7)+('Costo por negocio'!$C$2-DATA!R7)*DATA!P7</f>
    </oc>
    <nc r="S7">
      <f>(('Costo por negocio'!$B$2-DATA!R7)*DATA!O7)+('Costo por negocio'!$C$2-DATA!R7)*DATA!P7</f>
    </nc>
  </rcc>
  <rcc rId="161" sId="1">
    <oc r="S8">
      <f>(('Costo por negocio'!$B$2-DATA!R8)*DATA!O8)+('Costo por negocio'!$C$2-DATA!R8)*DATA!P8</f>
    </oc>
    <nc r="S8">
      <f>(('Costo por negocio'!$B$2-DATA!R8)*DATA!O8)+('Costo por negocio'!$C$2-DATA!R8)*DATA!P8</f>
    </nc>
  </rcc>
  <rcc rId="162" sId="1">
    <oc r="S9">
      <f>(('Costo por negocio'!$B$2-DATA!R9)*DATA!O9)+('Costo por negocio'!$C$2-DATA!R9)*DATA!P9</f>
    </oc>
    <nc r="S9">
      <f>(('Costo por negocio'!$B$2-DATA!R9)*DATA!O9)+('Costo por negocio'!$C$2-DATA!R9)*DATA!P9</f>
    </nc>
  </rcc>
  <rcc rId="163" sId="1">
    <oc r="S10">
      <f>(('Costo por negocio'!$B$2-DATA!R10)*DATA!O10)+('Costo por negocio'!$C$2-DATA!R10)*DATA!P10</f>
    </oc>
    <nc r="S10">
      <f>(('Costo por negocio'!$B$2-DATA!R10)*DATA!O10)+('Costo por negocio'!$C$2-DATA!R10)*DATA!P10</f>
    </nc>
  </rcc>
  <rcc rId="164" sId="1">
    <oc r="S11">
      <f>(('Costo por negocio'!$B$2-DATA!R11)*DATA!O11)+('Costo por negocio'!$C$2-DATA!R11)*DATA!P11</f>
    </oc>
    <nc r="S11">
      <f>(('Costo por negocio'!$B$2-DATA!R11)*DATA!O11)+('Costo por negocio'!$C$2-DATA!R11)*DATA!P11</f>
    </nc>
  </rcc>
  <rcc rId="165" sId="1">
    <nc r="AH2">
      <f>+AF2-AD2</f>
    </nc>
  </rcc>
  <rcc rId="166" sId="1">
    <nc r="AH3">
      <f>+AF3-AD3</f>
    </nc>
  </rcc>
  <rcc rId="167" sId="1">
    <nc r="AH4">
      <f>+AF4-AD4</f>
    </nc>
  </rcc>
  <rcc rId="168" sId="1">
    <nc r="AH5">
      <f>+AF5-AD5</f>
    </nc>
  </rcc>
  <rcc rId="169" sId="1">
    <oc r="AH7">
      <f>+AF7-AD7</f>
    </oc>
    <nc r="AH7">
      <f>+AF7-AD7</f>
    </nc>
  </rcc>
  <rcc rId="170" sId="1">
    <nc r="AH8">
      <f>+AF8-AD8</f>
    </nc>
  </rcc>
  <rcc rId="171" sId="1">
    <nc r="AH9">
      <f>+AF9-AD9</f>
    </nc>
  </rcc>
  <rcc rId="172" sId="1">
    <nc r="AH10">
      <f>+AF10-AD10</f>
    </nc>
  </rcc>
  <rcc rId="173" sId="1">
    <nc r="AH11">
      <f>+AF11-AD11</f>
    </nc>
  </rcc>
  <rcc rId="174" sId="1">
    <nc r="AH12">
      <f>+AF12-AD12</f>
    </nc>
  </rcc>
  <rcc rId="175" sId="1">
    <nc r="AH13">
      <f>+AF13-AD13</f>
    </nc>
  </rcc>
  <rcc rId="176" sId="1">
    <nc r="AH14">
      <f>+AF14-AD14</f>
    </nc>
  </rcc>
  <rcc rId="177" sId="1">
    <nc r="AH15">
      <f>+AF15-AD15</f>
    </nc>
  </rcc>
  <rcc rId="178" sId="1">
    <nc r="AH16">
      <f>+AF16-AD16</f>
    </nc>
  </rcc>
  <rcc rId="179" sId="1">
    <nc r="AH17">
      <f>+AF17-AD17</f>
    </nc>
  </rcc>
  <rcc rId="180" sId="1">
    <nc r="AH18">
      <f>+AF18-AD18</f>
    </nc>
  </rcc>
  <rcc rId="181" sId="1">
    <nc r="AH19">
      <f>+AF19-AD19</f>
    </nc>
  </rcc>
  <rcc rId="182" sId="1">
    <nc r="AH20">
      <f>+AF20-AD20</f>
    </nc>
  </rcc>
  <rcc rId="183" sId="1">
    <nc r="AH21">
      <f>+AF21-AD21</f>
    </nc>
  </rcc>
  <rcc rId="184" sId="1">
    <nc r="AH22">
      <f>+AF22-AD22</f>
    </nc>
  </rcc>
  <rcc rId="185" sId="1">
    <nc r="AH23">
      <f>+AF23-AD23</f>
    </nc>
  </rcc>
  <rcc rId="186" sId="1">
    <nc r="AH24">
      <f>+AF24-AD24</f>
    </nc>
  </rcc>
  <rcc rId="187" sId="1">
    <nc r="AH25">
      <f>+AF25-AD25</f>
    </nc>
  </rcc>
  <rcc rId="188" sId="1">
    <nc r="AH26">
      <f>+AF26-AD26</f>
    </nc>
  </rcc>
  <rcc rId="189" sId="1">
    <nc r="AH27">
      <f>+AF27-AD27</f>
    </nc>
  </rcc>
  <rcc rId="190" sId="1">
    <nc r="AH28">
      <f>+AF28-AD28</f>
    </nc>
  </rcc>
  <rcc rId="191" sId="1">
    <nc r="AK2">
      <f>+Q2-AJ2</f>
    </nc>
  </rcc>
  <rcc rId="192" sId="1">
    <nc r="AK3">
      <f>+Q3-AJ3</f>
    </nc>
  </rcc>
  <rcc rId="193" sId="1">
    <nc r="AK4">
      <f>+Q4-AJ4</f>
    </nc>
  </rcc>
  <rcc rId="194" sId="1">
    <nc r="AK5">
      <f>+Q5-AJ5</f>
    </nc>
  </rcc>
  <rcc rId="195" sId="1">
    <oc r="AK7">
      <f>+Q7-AJ7</f>
    </oc>
    <nc r="AK7">
      <f>+Q7-AJ7</f>
    </nc>
  </rcc>
  <rcc rId="196" sId="1">
    <nc r="AK8">
      <f>+Q8-AJ8</f>
    </nc>
  </rcc>
  <rcc rId="197" sId="1">
    <nc r="AK9">
      <f>+Q9-AJ9</f>
    </nc>
  </rcc>
  <rcc rId="198" sId="1">
    <nc r="AK10">
      <f>+Q10-AJ10</f>
    </nc>
  </rcc>
  <rcc rId="199" sId="1">
    <nc r="AK11">
      <f>+Q11-AJ11</f>
    </nc>
  </rcc>
  <rcc rId="200" sId="1">
    <nc r="AK12">
      <f>+Q12-AJ12</f>
    </nc>
  </rcc>
  <rcc rId="201" sId="1">
    <nc r="AK13">
      <f>+Q13-AJ13</f>
    </nc>
  </rcc>
  <rcc rId="202" sId="1">
    <nc r="AK14">
      <f>+Q14-AJ14</f>
    </nc>
  </rcc>
  <rcc rId="203" sId="1">
    <nc r="AK15">
      <f>+Q15-AJ15</f>
    </nc>
  </rcc>
  <rcc rId="204" sId="1">
    <nc r="AK16">
      <f>+Q16-AJ16</f>
    </nc>
  </rcc>
  <rcc rId="205" sId="1">
    <nc r="AK17">
      <f>+Q17-AJ17</f>
    </nc>
  </rcc>
  <rcc rId="206" sId="1">
    <nc r="AK18">
      <f>+Q18-AJ18</f>
    </nc>
  </rcc>
  <rcc rId="207" sId="1">
    <nc r="AK19">
      <f>+Q19-AJ19</f>
    </nc>
  </rcc>
  <rcc rId="208" sId="1">
    <nc r="AK20">
      <f>+Q20-AJ20</f>
    </nc>
  </rcc>
  <rcc rId="209" sId="1">
    <nc r="AK21">
      <f>+Q21-AJ21</f>
    </nc>
  </rcc>
  <rcc rId="210" sId="1">
    <nc r="AK22">
      <f>+Q22-AJ22</f>
    </nc>
  </rcc>
  <rcc rId="211" sId="1">
    <nc r="AK23">
      <f>+Q23-AJ23</f>
    </nc>
  </rcc>
  <rcc rId="212" sId="1">
    <nc r="AK24">
      <f>+Q24-AJ24</f>
    </nc>
  </rcc>
  <rcc rId="213" sId="1">
    <nc r="AK25">
      <f>+Q25-AJ25</f>
    </nc>
  </rcc>
  <rcc rId="214" sId="1">
    <nc r="AK26">
      <f>+Q26-AJ26</f>
    </nc>
  </rcc>
  <rcc rId="215" sId="1">
    <nc r="AK27">
      <f>+Q27-AJ27</f>
    </nc>
  </rcc>
  <rcc rId="216" sId="1">
    <nc r="AK28">
      <f>+Q28-AJ28</f>
    </nc>
  </rcc>
  <rcc rId="217" sId="1">
    <nc r="AJ2">
      <f>+AI2*5</f>
    </nc>
  </rcc>
  <rcc rId="218" sId="1">
    <nc r="AJ3">
      <f>+AI3*5</f>
    </nc>
  </rcc>
  <rcc rId="219" sId="1">
    <nc r="AJ4">
      <f>+AI4*5</f>
    </nc>
  </rcc>
  <rcc rId="220" sId="1">
    <nc r="AJ5">
      <f>+AI5*5</f>
    </nc>
  </rcc>
  <rcc rId="221" sId="1">
    <oc r="AJ7">
      <f>+AI7*5</f>
    </oc>
    <nc r="AJ7">
      <f>+AI7*5</f>
    </nc>
  </rcc>
  <rcc rId="222" sId="1">
    <nc r="AJ8">
      <f>+AI8*5</f>
    </nc>
  </rcc>
  <rcc rId="223" sId="1">
    <nc r="AJ9">
      <f>+AI9*5</f>
    </nc>
  </rcc>
  <rcc rId="224" sId="1">
    <nc r="AJ10">
      <f>+AI10*5</f>
    </nc>
  </rcc>
  <rcc rId="225" sId="1">
    <nc r="AJ11">
      <f>+AI11*5</f>
    </nc>
  </rcc>
  <rcc rId="226" sId="1">
    <nc r="AJ12">
      <f>+AI12*5</f>
    </nc>
  </rcc>
  <rcc rId="227" sId="1">
    <nc r="AJ13">
      <f>+AI13*5</f>
    </nc>
  </rcc>
  <rcc rId="228" sId="1">
    <nc r="AJ14">
      <f>+AI14*5</f>
    </nc>
  </rcc>
  <rcc rId="229" sId="1">
    <nc r="AJ15">
      <f>+AI15*5</f>
    </nc>
  </rcc>
  <rcc rId="230" sId="1">
    <nc r="AJ16">
      <f>+AI16*5</f>
    </nc>
  </rcc>
  <rcc rId="231" sId="1">
    <nc r="AJ17">
      <f>+AI17*5</f>
    </nc>
  </rcc>
  <rcc rId="232" sId="1">
    <nc r="AJ18">
      <f>+AI18*5</f>
    </nc>
  </rcc>
  <rcc rId="233" sId="1">
    <nc r="AJ19">
      <f>+AI19*5</f>
    </nc>
  </rcc>
  <rcc rId="234" sId="1">
    <nc r="AJ20">
      <f>+AI20*5</f>
    </nc>
  </rcc>
  <rcc rId="235" sId="1">
    <nc r="AJ21">
      <f>+AI21*5</f>
    </nc>
  </rcc>
  <rcc rId="236" sId="1">
    <nc r="AJ22">
      <f>+AI22*5</f>
    </nc>
  </rcc>
  <rcc rId="237" sId="1">
    <nc r="AJ23">
      <f>+AI23*5</f>
    </nc>
  </rcc>
  <rcc rId="238" sId="1">
    <nc r="AJ24">
      <f>+AI24*5</f>
    </nc>
  </rcc>
  <rcc rId="239" sId="1">
    <nc r="AJ25">
      <f>+AI25*5</f>
    </nc>
  </rcc>
  <rcc rId="240" sId="1">
    <nc r="AJ26">
      <f>+AI26*5</f>
    </nc>
  </rcc>
  <rcc rId="241" sId="1">
    <nc r="AJ27">
      <f>+AI27*5</f>
    </nc>
  </rcc>
  <rcc rId="242" sId="1">
    <nc r="AJ28">
      <f>+AI28*5</f>
    </nc>
  </rcc>
  <rcc rId="243" sId="1">
    <nc r="N2">
      <f>2458.9+2000+600</f>
    </nc>
  </rcc>
  <rcc rId="244" sId="1">
    <nc r="P2">
      <f>20+6</f>
    </nc>
  </rcc>
  <rcc rId="245" sId="1" numFmtId="19">
    <nc r="T2">
      <v>46031</v>
    </nc>
  </rcc>
  <rcc rId="246" sId="1">
    <nc r="U2" t="inlineStr">
      <is>
        <t>SI</t>
      </is>
    </nc>
  </rcc>
  <rcc rId="247" sId="1">
    <nc r="V2" t="inlineStr">
      <is>
        <t>SI</t>
      </is>
    </nc>
  </rcc>
  <rcc rId="248" sId="1">
    <nc r="W2" t="inlineStr">
      <is>
        <t>SI</t>
      </is>
    </nc>
  </rcc>
  <rcc rId="249" sId="1">
    <nc r="Y2" t="inlineStr">
      <is>
        <t>BEC 5478</t>
      </is>
    </nc>
  </rcc>
  <rcc rId="250" sId="1" numFmtId="34">
    <nc r="AD2">
      <v>72534</v>
    </nc>
  </rcc>
  <rcc rId="251" sId="1" numFmtId="27">
    <nc r="AE2">
      <v>46027.375</v>
    </nc>
  </rcc>
  <rcc rId="252" sId="1" numFmtId="34">
    <nc r="AF2">
      <v>73864</v>
    </nc>
  </rcc>
  <rcc rId="253" sId="1" numFmtId="27">
    <nc r="AG2">
      <v>46031.388888888891</v>
    </nc>
  </rcc>
  <rcc rId="254" sId="1">
    <nc r="AI2">
      <v>3</v>
    </nc>
  </rcc>
  <rfmt sheetId="1" sqref="A2:AK2">
    <dxf>
      <fill>
        <patternFill patternType="solid">
          <bgColor rgb="FF92D050"/>
        </patternFill>
      </fill>
    </dxf>
  </rfmt>
  <rfmt sheetId="1" sqref="AQ2" start="0" length="0">
    <dxf>
      <numFmt numFmtId="164" formatCode="_-* #,##0_-;\-* #,##0_-;_-* &quot;-&quot;??_-;_-@_-"/>
    </dxf>
  </rfmt>
  <rfmt sheetId="1" sqref="AR2" start="0" length="0">
    <dxf>
      <numFmt numFmtId="164" formatCode="_-* #,##0_-;\-* #,##0_-;_-* &quot;-&quot;??_-;_-@_-"/>
    </dxf>
  </rfmt>
  <rfmt sheetId="1" sqref="AS2" start="0" length="0">
    <dxf>
      <numFmt numFmtId="164" formatCode="_-* #,##0_-;\-* #,##0_-;_-* &quot;-&quot;??_-;_-@_-"/>
    </dxf>
  </rfmt>
  <rfmt sheetId="1" sqref="AT2" start="0" length="0">
    <dxf>
      <numFmt numFmtId="164" formatCode="_-* #,##0_-;\-* #,##0_-;_-* &quot;-&quot;??_-;_-@_-"/>
    </dxf>
  </rfmt>
  <rcc rId="255" sId="1">
    <nc r="AQ2">
      <f>+N2/78.54</f>
    </nc>
  </rcc>
  <rcc rId="256" sId="1">
    <nc r="AR2">
      <f>+AH2/11</f>
    </nc>
  </rcc>
  <rcc rId="257" sId="1">
    <nc r="AS2">
      <f>+AR2-AQ2</f>
    </nc>
  </rcc>
  <rcc rId="258" sId="1">
    <nc r="AT2">
      <f>+AH2/AQ2</f>
    </nc>
  </rcc>
  <rfmt sheetId="1" sqref="AQ3" start="0" length="0">
    <dxf>
      <numFmt numFmtId="164" formatCode="_-* #,##0_-;\-* #,##0_-;_-* &quot;-&quot;??_-;_-@_-"/>
    </dxf>
  </rfmt>
  <rfmt sheetId="1" sqref="AR3" start="0" length="0">
    <dxf>
      <numFmt numFmtId="164" formatCode="_-* #,##0_-;\-* #,##0_-;_-* &quot;-&quot;??_-;_-@_-"/>
    </dxf>
  </rfmt>
  <rfmt sheetId="1" sqref="AS3" start="0" length="0">
    <dxf>
      <numFmt numFmtId="164" formatCode="_-* #,##0_-;\-* #,##0_-;_-* &quot;-&quot;??_-;_-@_-"/>
    </dxf>
  </rfmt>
  <rfmt sheetId="1" sqref="AT3" start="0" length="0">
    <dxf>
      <numFmt numFmtId="164" formatCode="_-* #,##0_-;\-* #,##0_-;_-* &quot;-&quot;??_-;_-@_-"/>
    </dxf>
  </rfmt>
  <rfmt sheetId="1" sqref="AQ4" start="0" length="0">
    <dxf>
      <numFmt numFmtId="164" formatCode="_-* #,##0_-;\-* #,##0_-;_-* &quot;-&quot;??_-;_-@_-"/>
    </dxf>
  </rfmt>
  <rfmt sheetId="1" sqref="AR4" start="0" length="0">
    <dxf>
      <numFmt numFmtId="164" formatCode="_-* #,##0_-;\-* #,##0_-;_-* &quot;-&quot;??_-;_-@_-"/>
    </dxf>
  </rfmt>
  <rfmt sheetId="1" sqref="AS4" start="0" length="0">
    <dxf>
      <numFmt numFmtId="164" formatCode="_-* #,##0_-;\-* #,##0_-;_-* &quot;-&quot;??_-;_-@_-"/>
    </dxf>
  </rfmt>
  <rfmt sheetId="1" sqref="AT4" start="0" length="0">
    <dxf>
      <numFmt numFmtId="164" formatCode="_-* #,##0_-;\-* #,##0_-;_-* &quot;-&quot;??_-;_-@_-"/>
    </dxf>
  </rfmt>
  <rfmt sheetId="1" sqref="AQ5" start="0" length="0">
    <dxf>
      <numFmt numFmtId="164" formatCode="_-* #,##0_-;\-* #,##0_-;_-* &quot;-&quot;??_-;_-@_-"/>
    </dxf>
  </rfmt>
  <rfmt sheetId="1" sqref="AR5" start="0" length="0">
    <dxf>
      <numFmt numFmtId="164" formatCode="_-* #,##0_-;\-* #,##0_-;_-* &quot;-&quot;??_-;_-@_-"/>
    </dxf>
  </rfmt>
  <rfmt sheetId="1" sqref="AS5" start="0" length="0">
    <dxf>
      <numFmt numFmtId="164" formatCode="_-* #,##0_-;\-* #,##0_-;_-* &quot;-&quot;??_-;_-@_-"/>
    </dxf>
  </rfmt>
  <rfmt sheetId="1" sqref="AT5" start="0" length="0">
    <dxf>
      <numFmt numFmtId="164" formatCode="_-* #,##0_-;\-* #,##0_-;_-* &quot;-&quot;??_-;_-@_-"/>
    </dxf>
  </rfmt>
  <rcc rId="259" sId="1">
    <oc r="AM7">
      <f>+AH7/Q7</f>
    </oc>
    <nc r="AM7">
      <f>+AH7/Q7</f>
    </nc>
  </rcc>
  <rcc rId="260" sId="1">
    <oc r="AN7">
      <f>+Q7/AI7</f>
    </oc>
    <nc r="AN7">
      <f>+Q7/AI7</f>
    </nc>
  </rcc>
  <rcc rId="261" sId="1" odxf="1" dxf="1">
    <oc r="AQ7">
      <f>+N7/78.54</f>
    </oc>
    <nc r="AQ7">
      <f>+N7/78.54</f>
    </nc>
    <odxf>
      <numFmt numFmtId="0" formatCode="General"/>
    </odxf>
    <ndxf>
      <numFmt numFmtId="164" formatCode="_-* #,##0_-;\-* #,##0_-;_-* &quot;-&quot;??_-;_-@_-"/>
    </ndxf>
  </rcc>
  <rcc rId="262" sId="1" odxf="1" dxf="1">
    <oc r="AR7">
      <f>+AH7/11</f>
    </oc>
    <nc r="AR7">
      <f>+AH7/11</f>
    </nc>
    <odxf>
      <numFmt numFmtId="0" formatCode="General"/>
    </odxf>
    <ndxf>
      <numFmt numFmtId="164" formatCode="_-* #,##0_-;\-* #,##0_-;_-* &quot;-&quot;??_-;_-@_-"/>
    </ndxf>
  </rcc>
  <rcc rId="263" sId="1" odxf="1" dxf="1">
    <oc r="AS7">
      <f>+AR7-AQ7</f>
    </oc>
    <nc r="AS7">
      <f>+AR7-AQ7</f>
    </nc>
    <odxf>
      <numFmt numFmtId="0" formatCode="General"/>
    </odxf>
    <ndxf>
      <numFmt numFmtId="164" formatCode="_-* #,##0_-;\-* #,##0_-;_-* &quot;-&quot;??_-;_-@_-"/>
    </ndxf>
  </rcc>
  <rcc rId="264" sId="1" odxf="1" dxf="1">
    <oc r="AT7">
      <f>+AH7/AQ7</f>
    </oc>
    <nc r="AT7">
      <f>+AH7/AQ7</f>
    </nc>
    <odxf>
      <numFmt numFmtId="0" formatCode="General"/>
    </odxf>
    <ndxf>
      <numFmt numFmtId="164" formatCode="_-* #,##0_-;\-* #,##0_-;_-* &quot;-&quot;??_-;_-@_-"/>
    </ndxf>
  </rcc>
  <rfmt sheetId="1" sqref="AQ8" start="0" length="0">
    <dxf>
      <numFmt numFmtId="164" formatCode="_-* #,##0_-;\-* #,##0_-;_-* &quot;-&quot;??_-;_-@_-"/>
    </dxf>
  </rfmt>
  <rfmt sheetId="1" sqref="AR8" start="0" length="0">
    <dxf>
      <numFmt numFmtId="164" formatCode="_-* #,##0_-;\-* #,##0_-;_-* &quot;-&quot;??_-;_-@_-"/>
    </dxf>
  </rfmt>
  <rfmt sheetId="1" sqref="AS8" start="0" length="0">
    <dxf>
      <numFmt numFmtId="164" formatCode="_-* #,##0_-;\-* #,##0_-;_-* &quot;-&quot;??_-;_-@_-"/>
    </dxf>
  </rfmt>
  <rfmt sheetId="1" sqref="AT8" start="0" length="0">
    <dxf>
      <numFmt numFmtId="164" formatCode="_-* #,##0_-;\-* #,##0_-;_-* &quot;-&quot;??_-;_-@_-"/>
    </dxf>
  </rfmt>
  <rfmt sheetId="1" sqref="AQ9" start="0" length="0">
    <dxf>
      <numFmt numFmtId="164" formatCode="_-* #,##0_-;\-* #,##0_-;_-* &quot;-&quot;??_-;_-@_-"/>
    </dxf>
  </rfmt>
  <rfmt sheetId="1" sqref="AR9" start="0" length="0">
    <dxf>
      <numFmt numFmtId="164" formatCode="_-* #,##0_-;\-* #,##0_-;_-* &quot;-&quot;??_-;_-@_-"/>
    </dxf>
  </rfmt>
  <rfmt sheetId="1" sqref="AS9" start="0" length="0">
    <dxf>
      <numFmt numFmtId="164" formatCode="_-* #,##0_-;\-* #,##0_-;_-* &quot;-&quot;??_-;_-@_-"/>
    </dxf>
  </rfmt>
  <rfmt sheetId="1" sqref="AT9" start="0" length="0">
    <dxf>
      <numFmt numFmtId="164" formatCode="_-* #,##0_-;\-* #,##0_-;_-* &quot;-&quot;??_-;_-@_-"/>
    </dxf>
  </rfmt>
  <rfmt sheetId="1" sqref="AQ10" start="0" length="0">
    <dxf>
      <numFmt numFmtId="164" formatCode="_-* #,##0_-;\-* #,##0_-;_-* &quot;-&quot;??_-;_-@_-"/>
    </dxf>
  </rfmt>
  <rfmt sheetId="1" sqref="AR10" start="0" length="0">
    <dxf>
      <numFmt numFmtId="164" formatCode="_-* #,##0_-;\-* #,##0_-;_-* &quot;-&quot;??_-;_-@_-"/>
    </dxf>
  </rfmt>
  <rfmt sheetId="1" sqref="AS10" start="0" length="0">
    <dxf>
      <numFmt numFmtId="164" formatCode="_-* #,##0_-;\-* #,##0_-;_-* &quot;-&quot;??_-;_-@_-"/>
    </dxf>
  </rfmt>
  <rfmt sheetId="1" sqref="AT10" start="0" length="0">
    <dxf>
      <numFmt numFmtId="164" formatCode="_-* #,##0_-;\-* #,##0_-;_-* &quot;-&quot;??_-;_-@_-"/>
    </dxf>
  </rfmt>
  <rfmt sheetId="1" sqref="AQ11" start="0" length="0">
    <dxf>
      <numFmt numFmtId="164" formatCode="_-* #,##0_-;\-* #,##0_-;_-* &quot;-&quot;??_-;_-@_-"/>
    </dxf>
  </rfmt>
  <rfmt sheetId="1" sqref="AR11" start="0" length="0">
    <dxf>
      <numFmt numFmtId="164" formatCode="_-* #,##0_-;\-* #,##0_-;_-* &quot;-&quot;??_-;_-@_-"/>
    </dxf>
  </rfmt>
  <rfmt sheetId="1" sqref="AS11" start="0" length="0">
    <dxf>
      <numFmt numFmtId="164" formatCode="_-* #,##0_-;\-* #,##0_-;_-* &quot;-&quot;??_-;_-@_-"/>
    </dxf>
  </rfmt>
  <rfmt sheetId="1" sqref="AT11" start="0" length="0">
    <dxf>
      <numFmt numFmtId="164" formatCode="_-* #,##0_-;\-* #,##0_-;_-* &quot;-&quot;??_-;_-@_-"/>
    </dxf>
  </rfmt>
  <rfmt sheetId="1" sqref="AQ12" start="0" length="0">
    <dxf>
      <numFmt numFmtId="164" formatCode="_-* #,##0_-;\-* #,##0_-;_-* &quot;-&quot;??_-;_-@_-"/>
    </dxf>
  </rfmt>
  <rfmt sheetId="1" sqref="AR12" start="0" length="0">
    <dxf>
      <numFmt numFmtId="164" formatCode="_-* #,##0_-;\-* #,##0_-;_-* &quot;-&quot;??_-;_-@_-"/>
    </dxf>
  </rfmt>
  <rfmt sheetId="1" sqref="AS12" start="0" length="0">
    <dxf>
      <numFmt numFmtId="164" formatCode="_-* #,##0_-;\-* #,##0_-;_-* &quot;-&quot;??_-;_-@_-"/>
    </dxf>
  </rfmt>
  <rfmt sheetId="1" sqref="AT12" start="0" length="0">
    <dxf>
      <numFmt numFmtId="164" formatCode="_-* #,##0_-;\-* #,##0_-;_-* &quot;-&quot;??_-;_-@_-"/>
    </dxf>
  </rfmt>
  <rfmt sheetId="1" sqref="AQ13" start="0" length="0">
    <dxf>
      <numFmt numFmtId="164" formatCode="_-* #,##0_-;\-* #,##0_-;_-* &quot;-&quot;??_-;_-@_-"/>
    </dxf>
  </rfmt>
  <rfmt sheetId="1" sqref="AR13" start="0" length="0">
    <dxf>
      <numFmt numFmtId="164" formatCode="_-* #,##0_-;\-* #,##0_-;_-* &quot;-&quot;??_-;_-@_-"/>
    </dxf>
  </rfmt>
  <rfmt sheetId="1" sqref="AS13" start="0" length="0">
    <dxf>
      <numFmt numFmtId="164" formatCode="_-* #,##0_-;\-* #,##0_-;_-* &quot;-&quot;??_-;_-@_-"/>
    </dxf>
  </rfmt>
  <rfmt sheetId="1" sqref="AT13" start="0" length="0">
    <dxf>
      <numFmt numFmtId="164" formatCode="_-* #,##0_-;\-* #,##0_-;_-* &quot;-&quot;??_-;_-@_-"/>
    </dxf>
  </rfmt>
  <rfmt sheetId="1" sqref="AQ14" start="0" length="0">
    <dxf>
      <numFmt numFmtId="164" formatCode="_-* #,##0_-;\-* #,##0_-;_-* &quot;-&quot;??_-;_-@_-"/>
    </dxf>
  </rfmt>
  <rfmt sheetId="1" sqref="AR14" start="0" length="0">
    <dxf>
      <numFmt numFmtId="164" formatCode="_-* #,##0_-;\-* #,##0_-;_-* &quot;-&quot;??_-;_-@_-"/>
    </dxf>
  </rfmt>
  <rfmt sheetId="1" sqref="AS14" start="0" length="0">
    <dxf>
      <numFmt numFmtId="164" formatCode="_-* #,##0_-;\-* #,##0_-;_-* &quot;-&quot;??_-;_-@_-"/>
    </dxf>
  </rfmt>
  <rfmt sheetId="1" sqref="AT14" start="0" length="0">
    <dxf>
      <numFmt numFmtId="164" formatCode="_-* #,##0_-;\-* #,##0_-;_-* &quot;-&quot;??_-;_-@_-"/>
    </dxf>
  </rfmt>
  <rfmt sheetId="1" sqref="AQ15" start="0" length="0">
    <dxf>
      <numFmt numFmtId="164" formatCode="_-* #,##0_-;\-* #,##0_-;_-* &quot;-&quot;??_-;_-@_-"/>
    </dxf>
  </rfmt>
  <rfmt sheetId="1" sqref="AR15" start="0" length="0">
    <dxf>
      <numFmt numFmtId="164" formatCode="_-* #,##0_-;\-* #,##0_-;_-* &quot;-&quot;??_-;_-@_-"/>
    </dxf>
  </rfmt>
  <rfmt sheetId="1" sqref="AS15" start="0" length="0">
    <dxf>
      <numFmt numFmtId="164" formatCode="_-* #,##0_-;\-* #,##0_-;_-* &quot;-&quot;??_-;_-@_-"/>
    </dxf>
  </rfmt>
  <rfmt sheetId="1" sqref="AT15" start="0" length="0">
    <dxf>
      <numFmt numFmtId="164" formatCode="_-* #,##0_-;\-* #,##0_-;_-* &quot;-&quot;??_-;_-@_-"/>
    </dxf>
  </rfmt>
  <rfmt sheetId="1" sqref="AQ16" start="0" length="0">
    <dxf>
      <numFmt numFmtId="164" formatCode="_-* #,##0_-;\-* #,##0_-;_-* &quot;-&quot;??_-;_-@_-"/>
    </dxf>
  </rfmt>
  <rfmt sheetId="1" sqref="AR16" start="0" length="0">
    <dxf>
      <numFmt numFmtId="164" formatCode="_-* #,##0_-;\-* #,##0_-;_-* &quot;-&quot;??_-;_-@_-"/>
    </dxf>
  </rfmt>
  <rfmt sheetId="1" sqref="AS16" start="0" length="0">
    <dxf>
      <numFmt numFmtId="164" formatCode="_-* #,##0_-;\-* #,##0_-;_-* &quot;-&quot;??_-;_-@_-"/>
    </dxf>
  </rfmt>
  <rfmt sheetId="1" sqref="AT16" start="0" length="0">
    <dxf>
      <numFmt numFmtId="164" formatCode="_-* #,##0_-;\-* #,##0_-;_-* &quot;-&quot;??_-;_-@_-"/>
    </dxf>
  </rfmt>
  <rfmt sheetId="1" sqref="AQ17" start="0" length="0">
    <dxf>
      <numFmt numFmtId="164" formatCode="_-* #,##0_-;\-* #,##0_-;_-* &quot;-&quot;??_-;_-@_-"/>
    </dxf>
  </rfmt>
  <rfmt sheetId="1" sqref="AR17" start="0" length="0">
    <dxf>
      <numFmt numFmtId="164" formatCode="_-* #,##0_-;\-* #,##0_-;_-* &quot;-&quot;??_-;_-@_-"/>
    </dxf>
  </rfmt>
  <rfmt sheetId="1" sqref="AS17" start="0" length="0">
    <dxf>
      <numFmt numFmtId="164" formatCode="_-* #,##0_-;\-* #,##0_-;_-* &quot;-&quot;??_-;_-@_-"/>
    </dxf>
  </rfmt>
  <rfmt sheetId="1" sqref="AT17" start="0" length="0">
    <dxf>
      <numFmt numFmtId="164" formatCode="_-* #,##0_-;\-* #,##0_-;_-* &quot;-&quot;??_-;_-@_-"/>
    </dxf>
  </rfmt>
  <rfmt sheetId="1" sqref="AQ18" start="0" length="0">
    <dxf>
      <numFmt numFmtId="164" formatCode="_-* #,##0_-;\-* #,##0_-;_-* &quot;-&quot;??_-;_-@_-"/>
    </dxf>
  </rfmt>
  <rfmt sheetId="1" sqref="AR18" start="0" length="0">
    <dxf>
      <numFmt numFmtId="164" formatCode="_-* #,##0_-;\-* #,##0_-;_-* &quot;-&quot;??_-;_-@_-"/>
    </dxf>
  </rfmt>
  <rfmt sheetId="1" sqref="AS18" start="0" length="0">
    <dxf>
      <numFmt numFmtId="164" formatCode="_-* #,##0_-;\-* #,##0_-;_-* &quot;-&quot;??_-;_-@_-"/>
    </dxf>
  </rfmt>
  <rfmt sheetId="1" sqref="AT18" start="0" length="0">
    <dxf>
      <numFmt numFmtId="164" formatCode="_-* #,##0_-;\-* #,##0_-;_-* &quot;-&quot;??_-;_-@_-"/>
    </dxf>
  </rfmt>
  <rfmt sheetId="1" sqref="AQ19" start="0" length="0">
    <dxf>
      <numFmt numFmtId="164" formatCode="_-* #,##0_-;\-* #,##0_-;_-* &quot;-&quot;??_-;_-@_-"/>
    </dxf>
  </rfmt>
  <rfmt sheetId="1" sqref="AR19" start="0" length="0">
    <dxf>
      <numFmt numFmtId="164" formatCode="_-* #,##0_-;\-* #,##0_-;_-* &quot;-&quot;??_-;_-@_-"/>
    </dxf>
  </rfmt>
  <rfmt sheetId="1" sqref="AS19" start="0" length="0">
    <dxf>
      <numFmt numFmtId="164" formatCode="_-* #,##0_-;\-* #,##0_-;_-* &quot;-&quot;??_-;_-@_-"/>
    </dxf>
  </rfmt>
  <rfmt sheetId="1" sqref="AT19" start="0" length="0">
    <dxf>
      <numFmt numFmtId="164" formatCode="_-* #,##0_-;\-* #,##0_-;_-* &quot;-&quot;??_-;_-@_-"/>
    </dxf>
  </rfmt>
  <rfmt sheetId="1" sqref="AQ20" start="0" length="0">
    <dxf>
      <numFmt numFmtId="164" formatCode="_-* #,##0_-;\-* #,##0_-;_-* &quot;-&quot;??_-;_-@_-"/>
    </dxf>
  </rfmt>
  <rfmt sheetId="1" sqref="AR20" start="0" length="0">
    <dxf>
      <numFmt numFmtId="164" formatCode="_-* #,##0_-;\-* #,##0_-;_-* &quot;-&quot;??_-;_-@_-"/>
    </dxf>
  </rfmt>
  <rfmt sheetId="1" sqref="AS20" start="0" length="0">
    <dxf>
      <numFmt numFmtId="164" formatCode="_-* #,##0_-;\-* #,##0_-;_-* &quot;-&quot;??_-;_-@_-"/>
    </dxf>
  </rfmt>
  <rfmt sheetId="1" sqref="AT20" start="0" length="0">
    <dxf>
      <numFmt numFmtId="164" formatCode="_-* #,##0_-;\-* #,##0_-;_-* &quot;-&quot;??_-;_-@_-"/>
    </dxf>
  </rfmt>
  <rfmt sheetId="1" sqref="AQ21" start="0" length="0">
    <dxf>
      <numFmt numFmtId="164" formatCode="_-* #,##0_-;\-* #,##0_-;_-* &quot;-&quot;??_-;_-@_-"/>
    </dxf>
  </rfmt>
  <rfmt sheetId="1" sqref="AR21" start="0" length="0">
    <dxf>
      <numFmt numFmtId="164" formatCode="_-* #,##0_-;\-* #,##0_-;_-* &quot;-&quot;??_-;_-@_-"/>
    </dxf>
  </rfmt>
  <rfmt sheetId="1" sqref="AS21" start="0" length="0">
    <dxf>
      <numFmt numFmtId="164" formatCode="_-* #,##0_-;\-* #,##0_-;_-* &quot;-&quot;??_-;_-@_-"/>
    </dxf>
  </rfmt>
  <rfmt sheetId="1" sqref="AT21" start="0" length="0">
    <dxf>
      <numFmt numFmtId="164" formatCode="_-* #,##0_-;\-* #,##0_-;_-* &quot;-&quot;??_-;_-@_-"/>
    </dxf>
  </rfmt>
  <rfmt sheetId="1" sqref="AQ22" start="0" length="0">
    <dxf>
      <numFmt numFmtId="164" formatCode="_-* #,##0_-;\-* #,##0_-;_-* &quot;-&quot;??_-;_-@_-"/>
    </dxf>
  </rfmt>
  <rfmt sheetId="1" sqref="AR22" start="0" length="0">
    <dxf>
      <numFmt numFmtId="164" formatCode="_-* #,##0_-;\-* #,##0_-;_-* &quot;-&quot;??_-;_-@_-"/>
    </dxf>
  </rfmt>
  <rfmt sheetId="1" sqref="AS22" start="0" length="0">
    <dxf>
      <numFmt numFmtId="164" formatCode="_-* #,##0_-;\-* #,##0_-;_-* &quot;-&quot;??_-;_-@_-"/>
    </dxf>
  </rfmt>
  <rfmt sheetId="1" sqref="AT22" start="0" length="0">
    <dxf>
      <numFmt numFmtId="164" formatCode="_-* #,##0_-;\-* #,##0_-;_-* &quot;-&quot;??_-;_-@_-"/>
    </dxf>
  </rfmt>
  <rfmt sheetId="1" sqref="AQ23" start="0" length="0">
    <dxf>
      <numFmt numFmtId="164" formatCode="_-* #,##0_-;\-* #,##0_-;_-* &quot;-&quot;??_-;_-@_-"/>
    </dxf>
  </rfmt>
  <rfmt sheetId="1" sqref="AR23" start="0" length="0">
    <dxf>
      <numFmt numFmtId="164" formatCode="_-* #,##0_-;\-* #,##0_-;_-* &quot;-&quot;??_-;_-@_-"/>
    </dxf>
  </rfmt>
  <rfmt sheetId="1" sqref="AS23" start="0" length="0">
    <dxf>
      <numFmt numFmtId="164" formatCode="_-* #,##0_-;\-* #,##0_-;_-* &quot;-&quot;??_-;_-@_-"/>
    </dxf>
  </rfmt>
  <rfmt sheetId="1" sqref="AT23" start="0" length="0">
    <dxf>
      <numFmt numFmtId="164" formatCode="_-* #,##0_-;\-* #,##0_-;_-* &quot;-&quot;??_-;_-@_-"/>
    </dxf>
  </rfmt>
  <rfmt sheetId="1" sqref="AQ24" start="0" length="0">
    <dxf>
      <numFmt numFmtId="164" formatCode="_-* #,##0_-;\-* #,##0_-;_-* &quot;-&quot;??_-;_-@_-"/>
    </dxf>
  </rfmt>
  <rfmt sheetId="1" sqref="AR24" start="0" length="0">
    <dxf>
      <numFmt numFmtId="164" formatCode="_-* #,##0_-;\-* #,##0_-;_-* &quot;-&quot;??_-;_-@_-"/>
    </dxf>
  </rfmt>
  <rfmt sheetId="1" sqref="AS24" start="0" length="0">
    <dxf>
      <numFmt numFmtId="164" formatCode="_-* #,##0_-;\-* #,##0_-;_-* &quot;-&quot;??_-;_-@_-"/>
    </dxf>
  </rfmt>
  <rfmt sheetId="1" sqref="AT24" start="0" length="0">
    <dxf>
      <numFmt numFmtId="164" formatCode="_-* #,##0_-;\-* #,##0_-;_-* &quot;-&quot;??_-;_-@_-"/>
    </dxf>
  </rfmt>
  <rfmt sheetId="1" sqref="AQ25" start="0" length="0">
    <dxf>
      <numFmt numFmtId="164" formatCode="_-* #,##0_-;\-* #,##0_-;_-* &quot;-&quot;??_-;_-@_-"/>
    </dxf>
  </rfmt>
  <rfmt sheetId="1" sqref="AR25" start="0" length="0">
    <dxf>
      <numFmt numFmtId="164" formatCode="_-* #,##0_-;\-* #,##0_-;_-* &quot;-&quot;??_-;_-@_-"/>
    </dxf>
  </rfmt>
  <rfmt sheetId="1" sqref="AS25" start="0" length="0">
    <dxf>
      <numFmt numFmtId="164" formatCode="_-* #,##0_-;\-* #,##0_-;_-* &quot;-&quot;??_-;_-@_-"/>
    </dxf>
  </rfmt>
  <rfmt sheetId="1" sqref="AT25" start="0" length="0">
    <dxf>
      <numFmt numFmtId="164" formatCode="_-* #,##0_-;\-* #,##0_-;_-* &quot;-&quot;??_-;_-@_-"/>
    </dxf>
  </rfmt>
  <rfmt sheetId="1" sqref="AQ26" start="0" length="0">
    <dxf>
      <numFmt numFmtId="164" formatCode="_-* #,##0_-;\-* #,##0_-;_-* &quot;-&quot;??_-;_-@_-"/>
    </dxf>
  </rfmt>
  <rfmt sheetId="1" sqref="AR26" start="0" length="0">
    <dxf>
      <numFmt numFmtId="164" formatCode="_-* #,##0_-;\-* #,##0_-;_-* &quot;-&quot;??_-;_-@_-"/>
    </dxf>
  </rfmt>
  <rfmt sheetId="1" sqref="AS26" start="0" length="0">
    <dxf>
      <numFmt numFmtId="164" formatCode="_-* #,##0_-;\-* #,##0_-;_-* &quot;-&quot;??_-;_-@_-"/>
    </dxf>
  </rfmt>
  <rfmt sheetId="1" sqref="AT26" start="0" length="0">
    <dxf>
      <numFmt numFmtId="164" formatCode="_-* #,##0_-;\-* #,##0_-;_-* &quot;-&quot;??_-;_-@_-"/>
    </dxf>
  </rfmt>
  <rfmt sheetId="1" sqref="AQ27" start="0" length="0">
    <dxf>
      <numFmt numFmtId="164" formatCode="_-* #,##0_-;\-* #,##0_-;_-* &quot;-&quot;??_-;_-@_-"/>
    </dxf>
  </rfmt>
  <rfmt sheetId="1" sqref="AR27" start="0" length="0">
    <dxf>
      <numFmt numFmtId="164" formatCode="_-* #,##0_-;\-* #,##0_-;_-* &quot;-&quot;??_-;_-@_-"/>
    </dxf>
  </rfmt>
  <rfmt sheetId="1" sqref="AS27" start="0" length="0">
    <dxf>
      <numFmt numFmtId="164" formatCode="_-* #,##0_-;\-* #,##0_-;_-* &quot;-&quot;??_-;_-@_-"/>
    </dxf>
  </rfmt>
  <rfmt sheetId="1" sqref="AT27" start="0" length="0">
    <dxf>
      <numFmt numFmtId="164" formatCode="_-* #,##0_-;\-* #,##0_-;_-* &quot;-&quot;??_-;_-@_-"/>
    </dxf>
  </rfmt>
  <rfmt sheetId="1" sqref="AM28" start="0" length="0">
    <dxf>
      <font>
        <sz val="11"/>
        <color theme="1"/>
        <name val="Calibri"/>
        <scheme val="none"/>
      </font>
    </dxf>
  </rfmt>
  <rfmt sheetId="1" sqref="AN28" start="0" length="0">
    <dxf>
      <font>
        <sz val="11"/>
        <color theme="1"/>
        <name val="Calibri"/>
        <scheme val="none"/>
      </font>
    </dxf>
  </rfmt>
  <rfmt sheetId="1" sqref="AO28" start="0" length="0">
    <dxf>
      <font>
        <sz val="11"/>
        <color theme="1"/>
        <name val="Calibri"/>
        <scheme val="none"/>
      </font>
    </dxf>
  </rfmt>
  <rfmt sheetId="1" sqref="AP28" start="0" length="0">
    <dxf>
      <font>
        <sz val="11"/>
        <color theme="1"/>
        <name val="Calibri"/>
        <scheme val="none"/>
      </font>
    </dxf>
  </rfmt>
  <rfmt sheetId="1" sqref="AQ28" start="0" length="0">
    <dxf>
      <font>
        <sz val="11"/>
        <color theme="1"/>
        <name val="Calibri"/>
        <scheme val="none"/>
      </font>
      <numFmt numFmtId="164" formatCode="_-* #,##0_-;\-* #,##0_-;_-* &quot;-&quot;??_-;_-@_-"/>
    </dxf>
  </rfmt>
  <rfmt sheetId="1" sqref="AR28" start="0" length="0">
    <dxf>
      <font>
        <sz val="11"/>
        <color theme="1"/>
        <name val="Calibri"/>
        <scheme val="none"/>
      </font>
      <numFmt numFmtId="164" formatCode="_-* #,##0_-;\-* #,##0_-;_-* &quot;-&quot;??_-;_-@_-"/>
    </dxf>
  </rfmt>
  <rfmt sheetId="1" sqref="AS28" start="0" length="0">
    <dxf>
      <font>
        <sz val="11"/>
        <color theme="1"/>
        <name val="Calibri"/>
        <scheme val="none"/>
      </font>
      <numFmt numFmtId="164" formatCode="_-* #,##0_-;\-* #,##0_-;_-* &quot;-&quot;??_-;_-@_-"/>
    </dxf>
  </rfmt>
  <rfmt sheetId="1" sqref="AT28" start="0" length="0">
    <dxf>
      <font>
        <sz val="11"/>
        <color theme="1"/>
        <name val="Calibri"/>
        <scheme val="none"/>
      </font>
      <numFmt numFmtId="164" formatCode="_-* #,##0_-;\-* #,##0_-;_-* &quot;-&quot;??_-;_-@_-"/>
    </dxf>
  </rfmt>
  <rcc rId="265" sId="1">
    <nc r="AM2">
      <f>+AH2/Q2</f>
    </nc>
  </rcc>
  <rcc rId="266" sId="1">
    <nc r="AN2">
      <f>+Q2/AI2</f>
    </nc>
  </rcc>
  <rcc rId="267" sId="1">
    <oc r="AM6">
      <f>+AH6/Q6</f>
    </oc>
    <nc r="AM6">
      <f>+AH6/Q6</f>
    </nc>
  </rcc>
  <rcc rId="268" sId="1">
    <oc r="AN6">
      <f>+Q6/AI6</f>
    </oc>
    <nc r="AN6">
      <f>+Q6/AI6</f>
    </nc>
  </rcc>
  <rfmt sheetId="1" sqref="AM2:AN27">
    <dxf>
      <numFmt numFmtId="171" formatCode="0.0000000"/>
    </dxf>
  </rfmt>
  <rfmt sheetId="1" sqref="AM2:AN27">
    <dxf>
      <numFmt numFmtId="172" formatCode="0.000000"/>
    </dxf>
  </rfmt>
  <rfmt sheetId="1" sqref="AM2:AN27">
    <dxf>
      <numFmt numFmtId="173" formatCode="0.00000"/>
    </dxf>
  </rfmt>
  <rfmt sheetId="1" sqref="AM2:AN27">
    <dxf>
      <numFmt numFmtId="174" formatCode="0.0000"/>
    </dxf>
  </rfmt>
  <rfmt sheetId="1" sqref="AM2:AN27">
    <dxf>
      <numFmt numFmtId="175" formatCode="0.000"/>
    </dxf>
  </rfmt>
  <rfmt sheetId="1" sqref="AM2:AN27">
    <dxf>
      <numFmt numFmtId="2" formatCode="0.00"/>
    </dxf>
  </rfmt>
  <rfmt sheetId="1" sqref="AM2:AN27">
    <dxf>
      <numFmt numFmtId="176" formatCode="0.0"/>
    </dxf>
  </rfmt>
  <rfmt sheetId="1" sqref="AM2:AN27">
    <dxf>
      <numFmt numFmtId="1" formatCode="0"/>
    </dxf>
  </rfmt>
  <rcv guid="{D015136D-255F-4042-9389-EB535F138010}" action="delete"/>
  <rdn rId="0" localSheetId="1" customView="1" name="Z_D015136D_255F_4042_9389_EB535F138010_.wvu.FilterData" hidden="1" oldHidden="1">
    <formula>DATA!$A$1:$AY$27</formula>
    <oldFormula>DATA!$A$1:$AY$1</oldFormula>
  </rdn>
  <rcv guid="{D015136D-255F-4042-9389-EB535F138010}" action="add"/>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0" sId="1">
    <nc r="B12" t="inlineStr">
      <is>
        <t>Ignacio Ceroni</t>
      </is>
    </nc>
  </rcc>
  <rcc rId="271" sId="1">
    <nc r="C12">
      <v>3007</v>
    </nc>
  </rcc>
  <rcc rId="272" sId="1">
    <nc r="A12">
      <v>11</v>
    </nc>
  </rcc>
  <rcc rId="273" sId="1">
    <nc r="D12">
      <v>8</v>
    </nc>
  </rcc>
  <rcc rId="274" sId="1">
    <nc r="E12" t="inlineStr">
      <is>
        <t>01/01 al 14/01/2026</t>
      </is>
    </nc>
  </rcc>
  <rcc rId="275" sId="1" numFmtId="19">
    <nc r="F12">
      <v>46023</v>
    </nc>
  </rcc>
  <rcc rId="276" sId="1" numFmtId="19">
    <nc r="G12">
      <v>46036</v>
    </nc>
  </rcc>
  <rcc rId="277" sId="1">
    <nc r="J12" t="inlineStr">
      <is>
        <t>Montevideo</t>
      </is>
    </nc>
  </rcc>
  <rcc rId="278" sId="1">
    <nc r="K12" t="inlineStr">
      <is>
        <t>Propio</t>
      </is>
    </nc>
  </rcc>
  <rcc rId="279" sId="1">
    <nc r="M12">
      <f>+N12-H12</f>
    </nc>
  </rcc>
  <rcc rId="280" sId="1">
    <nc r="Q12">
      <f>+P12+O12</f>
    </nc>
  </rcc>
  <rcc rId="281" sId="1">
    <nc r="R12">
      <f>(N12/Q12)</f>
    </nc>
  </rcc>
  <rcc rId="282" sId="1">
    <oc r="S12">
      <f>(('Costo por negocio'!$B$2-DATA!R12)*DATA!O12)+('Costo por negocio'!$C$2-DATA!R12)*DATA!P12</f>
    </oc>
    <nc r="S12">
      <f>(('Costo por negocio'!$B$2-DATA!R12)*DATA!O12)+('Costo por negocio'!$C$2-DATA!R12)*DATA!P12</f>
    </nc>
  </rcc>
  <rcc rId="283" sId="1" numFmtId="34">
    <nc r="N12">
      <v>3100</v>
    </nc>
  </rcc>
  <rcc rId="284" sId="1" numFmtId="34">
    <nc r="O12">
      <v>16</v>
    </nc>
  </rcc>
  <rcc rId="285" sId="1" numFmtId="19">
    <nc r="T12">
      <v>46031</v>
    </nc>
  </rcc>
  <rcc rId="286" sId="1">
    <nc r="U12" t="inlineStr">
      <is>
        <t>SI</t>
      </is>
    </nc>
  </rcc>
  <rcc rId="287" sId="1">
    <nc r="V12" t="inlineStr">
      <is>
        <t>SI</t>
      </is>
    </nc>
  </rcc>
  <rcc rId="288" sId="1">
    <nc r="W12" t="inlineStr">
      <is>
        <t>SI</t>
      </is>
    </nc>
  </rcc>
  <rcc rId="289" sId="1">
    <nc r="Y12" t="inlineStr">
      <is>
        <t>SCG 4199</t>
      </is>
    </nc>
  </rcc>
  <rfmt sheetId="1" sqref="A12:AK12">
    <dxf>
      <fill>
        <patternFill patternType="solid">
          <bgColor rgb="FF92D050"/>
        </patternFill>
      </fill>
    </dxf>
  </rfmt>
  <rcv guid="{D015136D-255F-4042-9389-EB535F138010}" action="delete"/>
  <rdn rId="0" localSheetId="1" customView="1" name="Z_D015136D_255F_4042_9389_EB535F138010_.wvu.FilterData" hidden="1" oldHidden="1">
    <formula>DATA!$A$1:$AY$27</formula>
    <oldFormula>DATA!$A$1:$AY$27</oldFormula>
  </rdn>
  <rcv guid="{D015136D-255F-4042-9389-EB535F138010}" action="add"/>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1" sId="1">
    <nc r="B13" t="inlineStr">
      <is>
        <t>Luis Amicone</t>
      </is>
    </nc>
  </rcc>
  <rcc rId="292" sId="1">
    <nc r="C13">
      <v>3075</v>
    </nc>
  </rcc>
  <rcc rId="293" sId="1">
    <nc r="M13">
      <f>+N13-H13</f>
    </nc>
  </rcc>
  <rcc rId="294" sId="1">
    <nc r="A13">
      <v>12</v>
    </nc>
  </rcc>
  <rcc rId="295" sId="1" odxf="1" dxf="1">
    <nc r="K13" t="inlineStr">
      <is>
        <t>Propio</t>
      </is>
    </nc>
    <ndxf>
      <fill>
        <patternFill patternType="solid">
          <bgColor rgb="FF92D050"/>
        </patternFill>
      </fill>
    </ndxf>
  </rcc>
  <rcc rId="296" sId="1" odxf="1" dxf="1">
    <nc r="D13">
      <v>8</v>
    </nc>
    <ndxf>
      <fill>
        <patternFill patternType="solid">
          <bgColor rgb="FF92D050"/>
        </patternFill>
      </fill>
    </ndxf>
  </rcc>
  <rcc rId="297" sId="1" odxf="1" dxf="1">
    <nc r="E13" t="inlineStr">
      <is>
        <t>01/01 al 14/01/2026</t>
      </is>
    </nc>
    <ndxf>
      <fill>
        <patternFill patternType="solid">
          <bgColor rgb="FF92D050"/>
        </patternFill>
      </fill>
    </ndxf>
  </rcc>
  <rcc rId="298" sId="1" odxf="1" dxf="1" numFmtId="19">
    <nc r="F13">
      <v>46023</v>
    </nc>
    <ndxf>
      <fill>
        <patternFill patternType="solid">
          <bgColor rgb="FF92D050"/>
        </patternFill>
      </fill>
    </ndxf>
  </rcc>
  <rcc rId="299" sId="1" odxf="1" dxf="1" numFmtId="19">
    <nc r="G13">
      <v>46036</v>
    </nc>
    <ndxf>
      <fill>
        <patternFill patternType="solid">
          <bgColor rgb="FF92D050"/>
        </patternFill>
      </fill>
    </ndxf>
  </rcc>
  <rfmt sheetId="1" sqref="H13" start="0" length="0">
    <dxf>
      <fill>
        <patternFill patternType="solid">
          <bgColor rgb="FF92D050"/>
        </patternFill>
      </fill>
    </dxf>
  </rfmt>
  <rfmt sheetId="1" sqref="I13" start="0" length="0">
    <dxf>
      <fill>
        <patternFill patternType="solid">
          <bgColor rgb="FF92D050"/>
        </patternFill>
      </fill>
    </dxf>
  </rfmt>
  <rcc rId="300" sId="1" odxf="1" dxf="1">
    <nc r="J13" t="inlineStr">
      <is>
        <t>Montevideo</t>
      </is>
    </nc>
    <ndxf>
      <fill>
        <patternFill patternType="solid">
          <bgColor rgb="FF92D050"/>
        </patternFill>
      </fill>
    </ndxf>
  </rcc>
  <rcc rId="301" sId="1" numFmtId="34">
    <nc r="N13">
      <v>1500</v>
    </nc>
  </rcc>
  <rfmt sheetId="1" sqref="O2:P28">
    <dxf>
      <numFmt numFmtId="35" formatCode="_-* #,##0.00_-;\-* #,##0.00_-;_-* &quot;-&quot;??_-;_-@_-"/>
    </dxf>
  </rfmt>
  <rfmt sheetId="1" sqref="O2:P28">
    <dxf>
      <numFmt numFmtId="167" formatCode="_-* #,##0.0_-;\-* #,##0.0_-;_-* &quot;-&quot;??_-;_-@_-"/>
    </dxf>
  </rfmt>
  <rfmt sheetId="1" sqref="O2:P28">
    <dxf>
      <numFmt numFmtId="164" formatCode="_-* #,##0_-;\-* #,##0_-;_-* &quot;-&quot;??_-;_-@_-"/>
    </dxf>
  </rfmt>
  <rcc rId="302" sId="1" numFmtId="34">
    <nc r="O13">
      <v>3</v>
    </nc>
  </rcc>
  <rcc rId="303" sId="1">
    <nc r="Q13">
      <f>+P13+O13</f>
    </nc>
  </rcc>
  <rcc rId="304" sId="1">
    <nc r="Q14">
      <f>+P14+O14</f>
    </nc>
  </rcc>
  <rcc rId="305" sId="1">
    <nc r="Q15">
      <f>+P15+O15</f>
    </nc>
  </rcc>
  <rcc rId="306" sId="1">
    <nc r="Q16">
      <f>+P16+O16</f>
    </nc>
  </rcc>
  <rcc rId="307" sId="1">
    <nc r="Q17">
      <f>+P17+O17</f>
    </nc>
  </rcc>
  <rcc rId="308" sId="1">
    <nc r="Q18">
      <f>+P18+O18</f>
    </nc>
  </rcc>
  <rcc rId="309" sId="1">
    <nc r="Q19">
      <f>+P19+O19</f>
    </nc>
  </rcc>
  <rcc rId="310" sId="1">
    <nc r="Q20">
      <f>+P20+O20</f>
    </nc>
  </rcc>
  <rcc rId="311" sId="1">
    <nc r="Q21">
      <f>+P21+O21</f>
    </nc>
  </rcc>
  <rcc rId="312" sId="1">
    <nc r="Q22">
      <f>+P22+O22</f>
    </nc>
  </rcc>
  <rcc rId="313" sId="1">
    <nc r="Q23">
      <f>+P23+O23</f>
    </nc>
  </rcc>
  <rcc rId="314" sId="1">
    <nc r="Q24">
      <f>+P24+O24</f>
    </nc>
  </rcc>
  <rcc rId="315" sId="1">
    <nc r="Q25">
      <f>+P25+O25</f>
    </nc>
  </rcc>
  <rcc rId="316" sId="1">
    <nc r="Q26">
      <f>+P26+O26</f>
    </nc>
  </rcc>
  <rcc rId="317" sId="1">
    <nc r="Q27">
      <f>+P27+O27</f>
    </nc>
  </rcc>
  <rcc rId="318" sId="1">
    <nc r="Q28">
      <f>+P28+O28</f>
    </nc>
  </rcc>
  <rcc rId="319" sId="1">
    <nc r="R13">
      <f>(N13/Q13)</f>
    </nc>
  </rcc>
  <rcc rId="320" sId="1">
    <nc r="R14">
      <f>(N14/Q14)</f>
    </nc>
  </rcc>
  <rcc rId="321" sId="1">
    <nc r="R15">
      <f>(N15/Q15)</f>
    </nc>
  </rcc>
  <rcc rId="322" sId="1">
    <nc r="R16">
      <f>(N16/Q16)</f>
    </nc>
  </rcc>
  <rcc rId="323" sId="1">
    <nc r="R17">
      <f>(N17/Q17)</f>
    </nc>
  </rcc>
  <rcc rId="324" sId="1">
    <nc r="R18">
      <f>(N18/Q18)</f>
    </nc>
  </rcc>
  <rcc rId="325" sId="1">
    <nc r="R19">
      <f>(N19/Q19)</f>
    </nc>
  </rcc>
  <rcc rId="326" sId="1">
    <nc r="R20">
      <f>(N20/Q20)</f>
    </nc>
  </rcc>
  <rcc rId="327" sId="1">
    <nc r="R21">
      <f>(N21/Q21)</f>
    </nc>
  </rcc>
  <rcc rId="328" sId="1">
    <nc r="R22">
      <f>(N22/Q22)</f>
    </nc>
  </rcc>
  <rcc rId="329" sId="1">
    <nc r="R23">
      <f>(N23/Q23)</f>
    </nc>
  </rcc>
  <rcc rId="330" sId="1">
    <nc r="R24">
      <f>(N24/Q24)</f>
    </nc>
  </rcc>
  <rcc rId="331" sId="1">
    <nc r="R25">
      <f>(N25/Q25)</f>
    </nc>
  </rcc>
  <rcc rId="332" sId="1">
    <nc r="R26">
      <f>(N26/Q26)</f>
    </nc>
  </rcc>
  <rcc rId="333" sId="1">
    <nc r="R27">
      <f>(N27/Q27)</f>
    </nc>
  </rcc>
  <rcc rId="334" sId="1">
    <nc r="R28">
      <f>(N28/Q28)</f>
    </nc>
  </rcc>
  <rrc rId="335" sId="1" ref="A28:XFD28" action="deleteRow">
    <rfmt sheetId="1" xfDxf="1" sqref="A28:XFD28" start="0" length="0"/>
    <rfmt sheetId="1" sqref="A28" start="0" length="0">
      <dxf>
        <alignment horizontal="center" vertical="top" readingOrder="0"/>
        <border outline="0">
          <left style="thin">
            <color indexed="64"/>
          </left>
          <right style="thin">
            <color indexed="64"/>
          </right>
          <top style="thin">
            <color indexed="64"/>
          </top>
          <bottom style="thin">
            <color indexed="64"/>
          </bottom>
        </border>
      </dxf>
    </rfmt>
    <rfmt sheetId="1" sqref="B28" start="0" length="0">
      <dxf>
        <border outline="0">
          <left style="thin">
            <color indexed="64"/>
          </left>
          <right style="thin">
            <color indexed="64"/>
          </right>
          <top style="thin">
            <color indexed="64"/>
          </top>
          <bottom style="thin">
            <color indexed="64"/>
          </bottom>
        </border>
      </dxf>
    </rfmt>
    <rfmt sheetId="1" sqref="C28" start="0" length="0">
      <dxf>
        <border outline="0">
          <left style="thin">
            <color indexed="64"/>
          </left>
          <right style="thin">
            <color indexed="64"/>
          </right>
          <top style="thin">
            <color indexed="64"/>
          </top>
          <bottom style="thin">
            <color indexed="64"/>
          </bottom>
        </border>
      </dxf>
    </rfmt>
    <rfmt sheetId="1" sqref="D28" start="0" length="0">
      <dxf>
        <border outline="0">
          <left style="thin">
            <color indexed="64"/>
          </left>
          <right style="thin">
            <color indexed="64"/>
          </right>
          <top style="thin">
            <color indexed="64"/>
          </top>
          <bottom style="thin">
            <color indexed="64"/>
          </bottom>
        </border>
      </dxf>
    </rfmt>
    <rfmt sheetId="1" sqref="E28" start="0" length="0">
      <dxf>
        <border outline="0">
          <left style="thin">
            <color indexed="64"/>
          </left>
          <right style="thin">
            <color indexed="64"/>
          </right>
          <top style="thin">
            <color indexed="64"/>
          </top>
          <bottom style="thin">
            <color indexed="64"/>
          </bottom>
        </border>
      </dxf>
    </rfmt>
    <rfmt sheetId="1" sqref="F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8" start="0" length="0">
      <dxf>
        <numFmt numFmtId="164" formatCode="_-* #,##0_-;\-* #,##0_-;_-* &quot;-&quot;??_-;_-@_-"/>
        <border outline="0">
          <left style="thin">
            <color indexed="64"/>
          </left>
          <right style="thin">
            <color indexed="64"/>
          </right>
          <top style="thin">
            <color indexed="64"/>
          </top>
          <bottom style="thin">
            <color indexed="64"/>
          </bottom>
        </border>
      </dxf>
    </rfmt>
    <rfmt sheetId="1" sqref="I28" start="0" length="0">
      <dxf>
        <border outline="0">
          <left style="thin">
            <color indexed="64"/>
          </left>
          <right style="thin">
            <color indexed="64"/>
          </right>
          <top style="thin">
            <color indexed="64"/>
          </top>
          <bottom style="thin">
            <color indexed="64"/>
          </bottom>
        </border>
      </dxf>
    </rfmt>
    <rfmt sheetId="1" sqref="J28" start="0" length="0">
      <dxf>
        <border outline="0">
          <left style="thin">
            <color indexed="64"/>
          </left>
          <right style="thin">
            <color indexed="64"/>
          </right>
          <top style="thin">
            <color indexed="64"/>
          </top>
          <bottom style="thin">
            <color indexed="64"/>
          </bottom>
        </border>
      </dxf>
    </rfmt>
    <rfmt sheetId="1" sqref="K28" start="0" length="0">
      <dxf>
        <border outline="0">
          <left style="thin">
            <color indexed="64"/>
          </left>
          <right style="thin">
            <color indexed="64"/>
          </right>
          <top style="thin">
            <color indexed="64"/>
          </top>
          <bottom style="thin">
            <color indexed="64"/>
          </bottom>
        </border>
      </dxf>
    </rfmt>
    <rfmt sheetId="1" sqref="L28" start="0" length="0">
      <dxf>
        <border outline="0">
          <left style="thin">
            <color indexed="64"/>
          </left>
          <right style="thin">
            <color indexed="64"/>
          </right>
          <top style="thin">
            <color indexed="64"/>
          </top>
          <bottom style="thin">
            <color indexed="64"/>
          </bottom>
        </border>
      </dxf>
    </rfmt>
    <rfmt sheetId="1" sqref="M28" start="0" length="0">
      <dxf>
        <border outline="0">
          <left style="thin">
            <color indexed="64"/>
          </left>
          <right style="thin">
            <color indexed="64"/>
          </right>
          <top style="thin">
            <color indexed="64"/>
          </top>
          <bottom style="thin">
            <color indexed="64"/>
          </bottom>
        </border>
      </dxf>
    </rfmt>
    <rfmt sheetId="1" sqref="N28" start="0" length="0">
      <dxf>
        <border outline="0">
          <left style="thin">
            <color indexed="64"/>
          </left>
          <right style="thin">
            <color indexed="64"/>
          </right>
          <top style="thin">
            <color indexed="64"/>
          </top>
          <bottom style="thin">
            <color indexed="64"/>
          </bottom>
        </border>
      </dxf>
    </rfmt>
    <rfmt sheetId="1" sqref="O28" start="0" length="0">
      <dxf>
        <numFmt numFmtId="164" formatCode="_-* #,##0_-;\-* #,##0_-;_-* &quot;-&quot;??_-;_-@_-"/>
        <border outline="0">
          <left style="thin">
            <color indexed="64"/>
          </left>
          <right style="thin">
            <color indexed="64"/>
          </right>
          <top style="thin">
            <color indexed="64"/>
          </top>
          <bottom style="thin">
            <color indexed="64"/>
          </bottom>
        </border>
      </dxf>
    </rfmt>
    <rfmt sheetId="1" sqref="P28" start="0" length="0">
      <dxf>
        <numFmt numFmtId="164" formatCode="_-* #,##0_-;\-* #,##0_-;_-* &quot;-&quot;??_-;_-@_-"/>
        <border outline="0">
          <left style="thin">
            <color indexed="64"/>
          </left>
          <right style="thin">
            <color indexed="64"/>
          </right>
          <top style="thin">
            <color indexed="64"/>
          </top>
          <bottom style="thin">
            <color indexed="64"/>
          </bottom>
        </border>
      </dxf>
    </rfmt>
    <rcc rId="0" sId="1" dxf="1">
      <nc r="Q28">
        <f>+P28+O28</f>
      </nc>
      <ndxf>
        <border outline="0">
          <left style="thin">
            <color indexed="64"/>
          </left>
          <right style="thin">
            <color indexed="64"/>
          </right>
          <top style="thin">
            <color indexed="64"/>
          </top>
          <bottom style="thin">
            <color indexed="64"/>
          </bottom>
        </border>
      </ndxf>
    </rcc>
    <rcc rId="0" sId="1" dxf="1">
      <nc r="R28">
        <f>(N28/Q28)</f>
      </nc>
      <ndxf>
        <border outline="0">
          <left style="thin">
            <color indexed="64"/>
          </left>
          <right style="thin">
            <color indexed="64"/>
          </right>
          <top style="thin">
            <color indexed="64"/>
          </top>
          <bottom style="thin">
            <color indexed="64"/>
          </bottom>
        </border>
      </ndxf>
    </rcc>
    <rfmt sheetId="1" sqref="S28" start="0" length="0">
      <dxf>
        <border outline="0">
          <left style="thin">
            <color indexed="64"/>
          </left>
          <right style="thin">
            <color indexed="64"/>
          </right>
          <top style="thin">
            <color indexed="64"/>
          </top>
          <bottom style="thin">
            <color indexed="64"/>
          </bottom>
        </border>
      </dxf>
    </rfmt>
    <rfmt sheetId="1" sqref="T28" start="0" length="0">
      <dxf>
        <border outline="0">
          <left style="thin">
            <color indexed="64"/>
          </left>
          <right style="thin">
            <color indexed="64"/>
          </right>
          <top style="thin">
            <color indexed="64"/>
          </top>
          <bottom style="thin">
            <color indexed="64"/>
          </bottom>
        </border>
      </dxf>
    </rfmt>
    <rfmt sheetId="1" sqref="U28" start="0" length="0">
      <dxf>
        <border outline="0">
          <left style="thin">
            <color indexed="64"/>
          </left>
          <right style="thin">
            <color indexed="64"/>
          </right>
          <top style="thin">
            <color indexed="64"/>
          </top>
          <bottom style="thin">
            <color indexed="64"/>
          </bottom>
        </border>
      </dxf>
    </rfmt>
    <rfmt sheetId="1" sqref="V28" start="0" length="0">
      <dxf>
        <border outline="0">
          <left style="thin">
            <color indexed="64"/>
          </left>
          <right style="thin">
            <color indexed="64"/>
          </right>
          <top style="thin">
            <color indexed="64"/>
          </top>
          <bottom style="thin">
            <color indexed="64"/>
          </bottom>
        </border>
      </dxf>
    </rfmt>
    <rfmt sheetId="1" sqref="W28" start="0" length="0">
      <dxf>
        <border outline="0">
          <left style="thin">
            <color indexed="64"/>
          </left>
          <right style="thin">
            <color indexed="64"/>
          </right>
          <top style="thin">
            <color indexed="64"/>
          </top>
          <bottom style="thin">
            <color indexed="64"/>
          </bottom>
        </border>
      </dxf>
    </rfmt>
    <rfmt sheetId="1" sqref="X28" start="0" length="0">
      <dxf>
        <border outline="0">
          <left style="thin">
            <color indexed="64"/>
          </left>
          <right style="thin">
            <color indexed="64"/>
          </right>
          <top style="thin">
            <color indexed="64"/>
          </top>
          <bottom style="thin">
            <color indexed="64"/>
          </bottom>
        </border>
      </dxf>
    </rfmt>
    <rfmt sheetId="1" sqref="Y28" start="0" length="0">
      <dxf>
        <border outline="0">
          <left style="thin">
            <color indexed="64"/>
          </left>
          <right style="thin">
            <color indexed="64"/>
          </right>
          <top style="thin">
            <color indexed="64"/>
          </top>
          <bottom style="thin">
            <color indexed="64"/>
          </bottom>
        </border>
      </dxf>
    </rfmt>
    <rfmt sheetId="1" sqref="Z28" start="0" length="0">
      <dxf>
        <border outline="0">
          <left style="thin">
            <color indexed="64"/>
          </left>
          <right style="thin">
            <color indexed="64"/>
          </right>
          <top style="thin">
            <color indexed="64"/>
          </top>
          <bottom style="thin">
            <color indexed="64"/>
          </bottom>
        </border>
      </dxf>
    </rfmt>
    <rfmt sheetId="1" sqref="AA28" start="0" length="0">
      <dxf>
        <border outline="0">
          <left style="thin">
            <color indexed="64"/>
          </left>
          <right style="thin">
            <color indexed="64"/>
          </right>
          <top style="thin">
            <color indexed="64"/>
          </top>
          <bottom style="thin">
            <color indexed="64"/>
          </bottom>
        </border>
      </dxf>
    </rfmt>
    <rfmt sheetId="1" sqref="AB28" start="0" length="0">
      <dxf>
        <border outline="0">
          <left style="thin">
            <color indexed="64"/>
          </left>
          <right style="thin">
            <color indexed="64"/>
          </right>
          <top style="thin">
            <color indexed="64"/>
          </top>
          <bottom style="thin">
            <color indexed="64"/>
          </bottom>
        </border>
      </dxf>
    </rfmt>
    <rfmt sheetId="1" sqref="AC28" start="0" length="0">
      <dxf>
        <border outline="0">
          <left style="thin">
            <color indexed="64"/>
          </left>
          <right style="thin">
            <color indexed="64"/>
          </right>
          <top style="thin">
            <color indexed="64"/>
          </top>
          <bottom style="thin">
            <color indexed="64"/>
          </bottom>
        </border>
      </dxf>
    </rfmt>
    <rfmt sheetId="1" sqref="AD28" start="0" length="0">
      <dxf>
        <border outline="0">
          <left style="thin">
            <color indexed="64"/>
          </left>
          <right style="thin">
            <color indexed="64"/>
          </right>
          <top style="thin">
            <color indexed="64"/>
          </top>
          <bottom style="thin">
            <color indexed="64"/>
          </bottom>
        </border>
      </dxf>
    </rfmt>
    <rfmt sheetId="1" sqref="AE28" start="0" length="0">
      <dxf>
        <border outline="0">
          <left style="thin">
            <color indexed="64"/>
          </left>
          <right style="thin">
            <color indexed="64"/>
          </right>
          <top style="thin">
            <color indexed="64"/>
          </top>
          <bottom style="thin">
            <color indexed="64"/>
          </bottom>
        </border>
      </dxf>
    </rfmt>
    <rfmt sheetId="1" sqref="AF28" start="0" length="0">
      <dxf>
        <border outline="0">
          <left style="thin">
            <color indexed="64"/>
          </left>
          <right style="thin">
            <color indexed="64"/>
          </right>
          <top style="thin">
            <color indexed="64"/>
          </top>
          <bottom style="thin">
            <color indexed="64"/>
          </bottom>
        </border>
      </dxf>
    </rfmt>
    <rfmt sheetId="1" sqref="AG28" start="0" length="0">
      <dxf>
        <border outline="0">
          <left style="thin">
            <color indexed="64"/>
          </left>
          <right style="thin">
            <color indexed="64"/>
          </right>
          <top style="thin">
            <color indexed="64"/>
          </top>
          <bottom style="thin">
            <color indexed="64"/>
          </bottom>
        </border>
      </dxf>
    </rfmt>
    <rcc rId="0" sId="1" dxf="1">
      <nc r="AH28">
        <f>+AF28-AD28</f>
      </nc>
      <ndxf>
        <border outline="0">
          <left style="thin">
            <color indexed="64"/>
          </left>
          <right style="thin">
            <color indexed="64"/>
          </right>
          <top style="thin">
            <color indexed="64"/>
          </top>
          <bottom style="thin">
            <color indexed="64"/>
          </bottom>
        </border>
      </ndxf>
    </rcc>
    <rfmt sheetId="1" sqref="AI28" start="0" length="0">
      <dxf>
        <border outline="0">
          <left style="thin">
            <color indexed="64"/>
          </left>
          <right style="thin">
            <color indexed="64"/>
          </right>
          <top style="thin">
            <color indexed="64"/>
          </top>
          <bottom style="thin">
            <color indexed="64"/>
          </bottom>
        </border>
      </dxf>
    </rfmt>
    <rcc rId="0" sId="1" dxf="1">
      <nc r="AJ28">
        <f>+AI28*5</f>
      </nc>
      <ndxf>
        <border outline="0">
          <left style="thin">
            <color indexed="64"/>
          </left>
          <right style="thin">
            <color indexed="64"/>
          </right>
          <top style="thin">
            <color indexed="64"/>
          </top>
          <bottom style="thin">
            <color indexed="64"/>
          </bottom>
        </border>
      </ndxf>
    </rcc>
    <rcc rId="0" sId="1" dxf="1">
      <nc r="AK28">
        <f>+Q28-AJ28</f>
      </nc>
      <ndxf>
        <border outline="0">
          <left style="thin">
            <color indexed="64"/>
          </left>
          <right style="thin">
            <color indexed="64"/>
          </right>
          <top style="thin">
            <color indexed="64"/>
          </top>
          <bottom style="thin">
            <color indexed="64"/>
          </bottom>
        </border>
      </ndxf>
    </rcc>
    <rfmt sheetId="1" sqref="AL28" start="0" length="0">
      <dxf/>
    </rfmt>
    <rfmt sheetId="1" sqref="AM28" start="0" length="0">
      <dxf>
        <font>
          <sz val="11"/>
          <color theme="1"/>
          <name val="Calibri"/>
          <scheme val="none"/>
        </font>
      </dxf>
    </rfmt>
    <rfmt sheetId="1" sqref="AN28" start="0" length="0">
      <dxf>
        <font>
          <sz val="11"/>
          <color theme="1"/>
          <name val="Calibri"/>
          <scheme val="none"/>
        </font>
      </dxf>
    </rfmt>
    <rfmt sheetId="1" sqref="AO28" start="0" length="0">
      <dxf>
        <font>
          <sz val="11"/>
          <color theme="1"/>
          <name val="Calibri"/>
          <scheme val="none"/>
        </font>
      </dxf>
    </rfmt>
    <rfmt sheetId="1" sqref="AP28" start="0" length="0">
      <dxf>
        <font>
          <sz val="11"/>
          <color theme="1"/>
          <name val="Calibri"/>
          <scheme val="none"/>
        </font>
      </dxf>
    </rfmt>
    <rfmt sheetId="1" sqref="AQ28" start="0" length="0">
      <dxf>
        <font>
          <sz val="11"/>
          <color theme="1"/>
          <name val="Calibri"/>
          <scheme val="none"/>
        </font>
        <numFmt numFmtId="164" formatCode="_-* #,##0_-;\-* #,##0_-;_-* &quot;-&quot;??_-;_-@_-"/>
      </dxf>
    </rfmt>
    <rfmt sheetId="1" sqref="AR28" start="0" length="0">
      <dxf>
        <font>
          <sz val="11"/>
          <color theme="1"/>
          <name val="Calibri"/>
          <scheme val="none"/>
        </font>
        <numFmt numFmtId="164" formatCode="_-* #,##0_-;\-* #,##0_-;_-* &quot;-&quot;??_-;_-@_-"/>
      </dxf>
    </rfmt>
    <rfmt sheetId="1" sqref="AS28" start="0" length="0">
      <dxf>
        <font>
          <sz val="11"/>
          <color theme="1"/>
          <name val="Calibri"/>
          <scheme val="none"/>
        </font>
        <numFmt numFmtId="164" formatCode="_-* #,##0_-;\-* #,##0_-;_-* &quot;-&quot;??_-;_-@_-"/>
      </dxf>
    </rfmt>
    <rfmt sheetId="1" sqref="AT28" start="0" length="0">
      <dxf>
        <font>
          <sz val="11"/>
          <color theme="1"/>
          <name val="Calibri"/>
          <scheme val="none"/>
        </font>
        <numFmt numFmtId="164" formatCode="_-* #,##0_-;\-* #,##0_-;_-* &quot;-&quot;??_-;_-@_-"/>
      </dxf>
    </rfmt>
    <rfmt sheetId="1" sqref="AU28" start="0" length="0">
      <dxf/>
    </rfmt>
    <rfmt sheetId="1" sqref="AV28" start="0" length="0">
      <dxf/>
    </rfmt>
    <rfmt sheetId="1" sqref="AW28" start="0" length="0">
      <dxf/>
    </rfmt>
    <rfmt sheetId="1" sqref="AX28" start="0" length="0">
      <dxf/>
    </rfmt>
    <rfmt sheetId="1" sqref="AY28" start="0" length="0">
      <dxf/>
    </rfmt>
  </rrc>
  <rcc rId="336" sId="1" numFmtId="19">
    <nc r="T13">
      <v>46031</v>
    </nc>
  </rcc>
  <rcc rId="337" sId="1">
    <nc r="U13" t="inlineStr">
      <is>
        <t>SI</t>
      </is>
    </nc>
  </rcc>
  <rcc rId="338" sId="1">
    <nc r="V13" t="inlineStr">
      <is>
        <t>SI</t>
      </is>
    </nc>
  </rcc>
  <rcc rId="339" sId="1">
    <nc r="W13" t="inlineStr">
      <is>
        <t>SI</t>
      </is>
    </nc>
  </rcc>
  <rcc rId="340" sId="1">
    <nc r="Y13" t="inlineStr">
      <is>
        <t>SDD 5511</t>
      </is>
    </nc>
  </rcc>
  <rfmt sheetId="1" sqref="A13:AK13">
    <dxf>
      <fill>
        <patternFill>
          <bgColor rgb="FF92D050"/>
        </patternFill>
      </fill>
    </dxf>
  </rfmt>
  <rcc rId="341" sId="1">
    <oc r="AK13">
      <f>+Q13-AJ13</f>
    </oc>
    <nc r="AK13">
      <v>0</v>
    </nc>
  </rcc>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2" sId="1">
    <nc r="N4">
      <f>1500+1167</f>
    </nc>
  </rcc>
  <rcc rId="343" sId="1">
    <nc r="P4">
      <f>8+7</f>
    </nc>
  </rcc>
  <rcc rId="344" sId="1" numFmtId="19">
    <nc r="T4">
      <v>46034</v>
    </nc>
  </rcc>
  <rcc rId="345" sId="1">
    <nc r="U4" t="inlineStr">
      <is>
        <t>SI</t>
      </is>
    </nc>
  </rcc>
  <rcc rId="346" sId="1">
    <nc r="V4" t="inlineStr">
      <is>
        <t>SI</t>
      </is>
    </nc>
  </rcc>
  <rcc rId="347" sId="1">
    <nc r="W4" t="inlineStr">
      <is>
        <t>SI</t>
      </is>
    </nc>
  </rcc>
  <rcc rId="348" sId="1">
    <nc r="Y4" t="inlineStr">
      <is>
        <t>BEC 5664</t>
      </is>
    </nc>
  </rcc>
  <rcc rId="349" sId="1" numFmtId="34">
    <nc r="AD4">
      <v>68806</v>
    </nc>
  </rcc>
  <rcc rId="350" sId="1" numFmtId="27">
    <nc r="AE4">
      <v>46029.375</v>
    </nc>
  </rcc>
  <rcc rId="351" sId="1" numFmtId="34">
    <nc r="AF4">
      <v>69300</v>
    </nc>
  </rcc>
  <rcc rId="352" sId="1" numFmtId="27">
    <nc r="AG4">
      <v>46031.506249999999</v>
    </nc>
  </rcc>
  <rcc rId="353" sId="1">
    <nc r="AI4">
      <v>2</v>
    </nc>
  </rcc>
  <rcc rId="354" sId="1">
    <nc r="AM4">
      <f>+AH4/Q4</f>
    </nc>
  </rcc>
  <rcc rId="355" sId="1">
    <nc r="AN4">
      <f>+Q4/AI4</f>
    </nc>
  </rcc>
  <rcc rId="356" sId="1">
    <nc r="AQ4">
      <f>+N4/78.54</f>
    </nc>
  </rcc>
  <rcc rId="357" sId="1">
    <nc r="AR4">
      <f>+AH4/11</f>
    </nc>
  </rcc>
  <rcc rId="358" sId="1">
    <nc r="AS4">
      <f>+AR4-AQ4</f>
    </nc>
  </rcc>
  <rcc rId="359" sId="1">
    <nc r="AT4">
      <f>+AH4/AQ4</f>
    </nc>
  </rcc>
  <rfmt sheetId="1" sqref="A4:AK4">
    <dxf>
      <fill>
        <patternFill patternType="solid">
          <bgColor rgb="FF92D050"/>
        </patternFill>
      </fill>
    </dxf>
  </rfmt>
  <rcv guid="{D015136D-255F-4042-9389-EB535F138010}" action="delete"/>
  <rdn rId="0" localSheetId="1" customView="1" name="Z_D015136D_255F_4042_9389_EB535F138010_.wvu.FilterData" hidden="1" oldHidden="1">
    <formula>DATA!$A$1:$AY$27</formula>
    <oldFormula>DATA!$A$1:$AY$27</oldFormula>
  </rdn>
  <rcv guid="{D015136D-255F-4042-9389-EB535F138010}" action="add"/>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1" sId="1">
    <nc r="B14" t="inlineStr">
      <is>
        <t>Leonardo de Tomas</t>
      </is>
    </nc>
  </rcc>
  <rcc rId="362" sId="1">
    <nc r="C14">
      <v>3076</v>
    </nc>
  </rcc>
  <rcc rId="363" sId="1">
    <nc r="J14" t="inlineStr">
      <is>
        <t>Montevideo</t>
      </is>
    </nc>
  </rcc>
  <rcc rId="364" sId="1">
    <nc r="K14" t="inlineStr">
      <is>
        <t>Propio</t>
      </is>
    </nc>
  </rcc>
  <rcc rId="365" sId="1">
    <nc r="A14">
      <v>13</v>
    </nc>
  </rcc>
  <rcc rId="366" sId="1" numFmtId="19">
    <nc r="F14">
      <v>46023</v>
    </nc>
  </rcc>
  <rcc rId="367" sId="1" numFmtId="19">
    <nc r="G14">
      <v>46034</v>
    </nc>
  </rcc>
  <rcc rId="368" sId="1">
    <nc r="E14" t="inlineStr">
      <is>
        <t>01/01 al 12/01/2026</t>
      </is>
    </nc>
  </rcc>
  <rcc rId="369" sId="1">
    <nc r="D14">
      <v>6</v>
    </nc>
  </rcc>
  <rcc rId="370" sId="1">
    <nc r="M14">
      <f>+N14-H14</f>
    </nc>
  </rcc>
  <rcc rId="371" sId="1">
    <nc r="N14">
      <f>2831+2637.1+2900+3361</f>
    </nc>
  </rcc>
  <rcc rId="372" sId="1">
    <nc r="P14">
      <f>18+12</f>
    </nc>
  </rcc>
  <rcc rId="373" sId="1" numFmtId="19">
    <nc r="T14">
      <v>46034</v>
    </nc>
  </rcc>
  <rcc rId="374" sId="1">
    <nc r="U14" t="inlineStr">
      <is>
        <t>SI</t>
      </is>
    </nc>
  </rcc>
  <rcc rId="375" sId="1">
    <nc r="V14" t="inlineStr">
      <is>
        <t>SI</t>
      </is>
    </nc>
  </rcc>
  <rcc rId="376" sId="1">
    <nc r="W14" t="inlineStr">
      <is>
        <t>SI</t>
      </is>
    </nc>
  </rcc>
  <rcc rId="377" sId="1">
    <nc r="Y14" t="inlineStr">
      <is>
        <t>SCN 5181</t>
      </is>
    </nc>
  </rcc>
  <rcc rId="378" sId="1">
    <oc r="AK14">
      <f>+Q14-AJ14</f>
    </oc>
    <nc r="AK14">
      <v>0</v>
    </nc>
  </rcc>
  <rfmt sheetId="1" sqref="A14:AK14">
    <dxf>
      <fill>
        <patternFill patternType="solid">
          <bgColor rgb="FF92D050"/>
        </patternFill>
      </fill>
    </dxf>
  </rfmt>
  <rcc rId="379" sId="1">
    <oc r="AK12">
      <f>+Q12-AJ12</f>
    </oc>
    <nc r="AK12">
      <v>0</v>
    </nc>
  </rcc>
  <rcv guid="{D015136D-255F-4042-9389-EB535F138010}" action="delete"/>
  <rdn rId="0" localSheetId="1" customView="1" name="Z_D015136D_255F_4042_9389_EB535F138010_.wvu.FilterData" hidden="1" oldHidden="1">
    <formula>DATA!$A$1:$AY$27</formula>
    <oldFormula>DATA!$A$1:$AY$27</oldFormula>
  </rdn>
  <rcv guid="{D015136D-255F-4042-9389-EB535F138010}" action="add"/>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1" sId="1">
    <oc r="J14" t="inlineStr">
      <is>
        <t>Montevideo</t>
      </is>
    </oc>
    <nc r="J14" t="inlineStr">
      <is>
        <t>Montevideo, Colonia, Maldonado</t>
      </is>
    </nc>
  </rcc>
  <rcv guid="{D015136D-255F-4042-9389-EB535F138010}" action="delete"/>
  <rdn rId="0" localSheetId="1" customView="1" name="Z_D015136D_255F_4042_9389_EB535F138010_.wvu.FilterData" hidden="1" oldHidden="1">
    <formula>DATA!$A$1:$AY$27</formula>
    <oldFormula>DATA!$A$1:$AY$27</oldFormula>
  </rdn>
  <rcv guid="{D015136D-255F-4042-9389-EB535F138010}" action="add"/>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3" sId="1" numFmtId="34">
    <nc r="N3">
      <v>4069.7</v>
    </nc>
  </rcc>
  <rcc rId="384" sId="1" numFmtId="34">
    <nc r="O3">
      <v>7</v>
    </nc>
  </rcc>
  <rcc rId="385" sId="1" numFmtId="34">
    <nc r="P3">
      <v>9</v>
    </nc>
  </rcc>
  <rcc rId="386" sId="1" numFmtId="19">
    <nc r="T3">
      <v>46034</v>
    </nc>
  </rcc>
  <rcc rId="387" sId="1">
    <nc r="U3" t="inlineStr">
      <is>
        <t>SI</t>
      </is>
    </nc>
  </rcc>
  <rcc rId="388" sId="1">
    <nc r="V3" t="inlineStr">
      <is>
        <t>SI</t>
      </is>
    </nc>
  </rcc>
  <rcc rId="389" sId="1">
    <nc r="W3" t="inlineStr">
      <is>
        <t>SI</t>
      </is>
    </nc>
  </rcc>
  <rcc rId="390" sId="1">
    <nc r="Y3" t="inlineStr">
      <is>
        <t>BEB 1766</t>
      </is>
    </nc>
  </rcc>
  <rcc rId="391" sId="1" numFmtId="34">
    <nc r="AD3">
      <v>121499</v>
    </nc>
  </rcc>
  <rcc rId="392" sId="1" numFmtId="27">
    <nc r="AE3">
      <v>46029.397916666669</v>
    </nc>
  </rcc>
  <rcc rId="393" sId="1" numFmtId="34">
    <nc r="AF3">
      <v>122071</v>
    </nc>
  </rcc>
  <rcc rId="394" sId="1" numFmtId="27">
    <nc r="AG3">
      <v>46032.376388888886</v>
    </nc>
  </rcc>
  <rcc rId="395" sId="1">
    <nc r="AI3">
      <v>3</v>
    </nc>
  </rcc>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6" sId="1">
    <nc r="AM3">
      <f>+AH3/Q3</f>
    </nc>
  </rcc>
  <rcc rId="397" sId="1">
    <nc r="AN3">
      <f>+Q3/AI3</f>
    </nc>
  </rcc>
  <rcc rId="398" sId="1">
    <nc r="AQ3">
      <f>+N3/78.54</f>
    </nc>
  </rcc>
  <rcc rId="399" sId="1">
    <nc r="AR3">
      <f>+AH3/11</f>
    </nc>
  </rcc>
  <rcc rId="400" sId="1">
    <nc r="AS3">
      <f>+AR3-AQ3</f>
    </nc>
  </rcc>
  <rcc rId="401" sId="1">
    <nc r="AT3">
      <f>+AH3/AQ3</f>
    </nc>
  </rcc>
  <rfmt sheetId="1" sqref="A3:AK3">
    <dxf>
      <fill>
        <patternFill patternType="solid">
          <bgColor rgb="FF00B050"/>
        </patternFill>
      </fill>
    </dxf>
  </rfmt>
  <rfmt sheetId="1" sqref="A3:AK3">
    <dxf>
      <fill>
        <patternFill>
          <bgColor rgb="FF92D050"/>
        </patternFill>
      </fill>
    </dxf>
  </rfmt>
  <rcv guid="{D015136D-255F-4042-9389-EB535F138010}" action="delete"/>
  <rdn rId="0" localSheetId="1" customView="1" name="Z_D015136D_255F_4042_9389_EB535F138010_.wvu.FilterData" hidden="1" oldHidden="1">
    <formula>DATA!$A$1:$AY$27</formula>
    <oldFormula>DATA!$A$1:$AY$27</oldFormula>
  </rdn>
  <rcv guid="{D015136D-255F-4042-9389-EB535F138010}" action="add"/>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3" sId="1">
    <nc r="B15" t="inlineStr">
      <is>
        <t>Claudia Parrilla</t>
      </is>
    </nc>
  </rcc>
  <rcc rId="404" sId="1">
    <nc r="C15">
      <v>2005</v>
    </nc>
  </rcc>
  <rcc rId="405" sId="1">
    <nc r="D15">
      <v>3</v>
    </nc>
  </rcc>
  <rcc rId="406" sId="1">
    <nc r="I15">
      <v>15</v>
    </nc>
  </rcc>
  <rcc rId="407" sId="1">
    <nc r="K15" t="inlineStr">
      <is>
        <t>Alquiler</t>
      </is>
    </nc>
  </rcc>
  <rfmt sheetId="1" sqref="A15">
    <dxf>
      <fill>
        <patternFill patternType="solid">
          <bgColor rgb="FFFFFF00"/>
        </patternFill>
      </fill>
    </dxf>
  </rfmt>
  <rcc rId="408" sId="1">
    <nc r="E15" t="inlineStr">
      <is>
        <t>20/01 al 22/01/2026</t>
      </is>
    </nc>
  </rcc>
  <rcc rId="409" sId="1" numFmtId="19">
    <nc r="F15">
      <v>46042</v>
    </nc>
  </rcc>
  <rcc rId="410" sId="1" numFmtId="19">
    <nc r="G15">
      <v>46044</v>
    </nc>
  </rcc>
  <rcc rId="411" sId="1" numFmtId="34">
    <nc r="H15">
      <f>18*392</f>
    </nc>
  </rcc>
  <rcc rId="412" sId="1">
    <nc r="J15" t="inlineStr">
      <is>
        <t>Montevideo, Colonia</t>
      </is>
    </nc>
  </rcc>
  <rcv guid="{D015136D-255F-4042-9389-EB535F138010}" action="delete"/>
  <rdn rId="0" localSheetId="1" customView="1" name="Z_D015136D_255F_4042_9389_EB535F138010_.wvu.FilterData" hidden="1" oldHidden="1">
    <formula>DATA!$A$1:$AY$27</formula>
    <oldFormula>DATA!$A$1:$AY$27</oldFormula>
  </rdn>
  <rcv guid="{D015136D-255F-4042-9389-EB535F138010}" action="add"/>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414" sId="1" ref="A15:XFD21" action="insertRow"/>
  <rfmt sheetId="1" sqref="A15:XFD21">
    <dxf>
      <fill>
        <patternFill patternType="none">
          <bgColor auto="1"/>
        </patternFill>
      </fill>
    </dxf>
  </rfmt>
  <rcc rId="415" sId="1">
    <nc r="A15">
      <v>14</v>
    </nc>
  </rcc>
  <rcc rId="416" sId="1">
    <nc r="B15" t="inlineStr">
      <is>
        <t>Rolando Ball</t>
      </is>
    </nc>
  </rcc>
  <rcc rId="417" sId="1">
    <nc r="C15">
      <v>1332</v>
    </nc>
  </rcc>
  <rcc rId="418" sId="1">
    <nc r="J15" t="inlineStr">
      <is>
        <t>Rocha</t>
      </is>
    </nc>
  </rcc>
  <rcc rId="419" sId="1">
    <nc r="K15" t="inlineStr">
      <is>
        <t>Propio</t>
      </is>
    </nc>
  </rcc>
  <rcc rId="420" sId="1">
    <nc r="D15">
      <v>8</v>
    </nc>
  </rcc>
  <rcc rId="421" sId="1">
    <nc r="E15" t="inlineStr">
      <is>
        <t>01/01 al 14/01/2026</t>
      </is>
    </nc>
  </rcc>
  <rcc rId="422" sId="1" numFmtId="19">
    <nc r="F15">
      <v>46023</v>
    </nc>
  </rcc>
  <rcc rId="423" sId="1" numFmtId="19">
    <nc r="G15">
      <v>46036</v>
    </nc>
  </rcc>
  <rcc rId="424" sId="1">
    <nc r="M15">
      <f>+N15-H15</f>
    </nc>
  </rcc>
  <rcc rId="425" sId="1">
    <nc r="N15">
      <f>1000+1800+2400+1800</f>
    </nc>
  </rcc>
  <rcc rId="426" sId="1" numFmtId="34">
    <nc r="O15">
      <v>21</v>
    </nc>
  </rcc>
  <rcc rId="427" sId="1" numFmtId="34">
    <nc r="P15">
      <v>4</v>
    </nc>
  </rcc>
  <rcc rId="428" sId="1" odxf="1" dxf="1">
    <nc r="Q15">
      <f>+P15+O15</f>
    </nc>
    <odxf/>
    <ndxf/>
  </rcc>
  <rcc rId="429" sId="1" odxf="1" dxf="1">
    <nc r="R15">
      <f>(N15/Q15)</f>
    </nc>
    <odxf/>
    <ndxf/>
  </rcc>
  <rcc rId="430" sId="1" odxf="1" dxf="1">
    <nc r="S15">
      <f>(('Costo por negocio'!$B$2-DATA!R15)*DATA!O15)+('Costo por negocio'!$C$2-DATA!R15)*DATA!P15</f>
    </nc>
    <odxf/>
    <ndxf/>
  </rcc>
  <rcc rId="431" sId="1" numFmtId="19">
    <nc r="T15">
      <v>46037</v>
    </nc>
  </rcc>
  <rfmt sheetId="1" sqref="U15" start="0" length="0">
    <dxf>
      <fill>
        <patternFill patternType="solid">
          <bgColor rgb="FF92D050"/>
        </patternFill>
      </fill>
    </dxf>
  </rfmt>
  <rfmt sheetId="1" sqref="V15" start="0" length="0">
    <dxf>
      <fill>
        <patternFill patternType="solid">
          <bgColor rgb="FF92D050"/>
        </patternFill>
      </fill>
    </dxf>
  </rfmt>
  <rfmt sheetId="1" sqref="W15" start="0" length="0">
    <dxf>
      <fill>
        <patternFill patternType="solid">
          <bgColor rgb="FF92D050"/>
        </patternFill>
      </fill>
    </dxf>
  </rfmt>
  <rcc rId="432" sId="1">
    <nc r="U15" t="inlineStr">
      <is>
        <t>SI</t>
      </is>
    </nc>
  </rcc>
  <rcc rId="433" sId="1">
    <nc r="V15" t="inlineStr">
      <is>
        <t>SI</t>
      </is>
    </nc>
  </rcc>
  <rcc rId="434" sId="1">
    <nc r="W15" t="inlineStr">
      <is>
        <t>SI</t>
      </is>
    </nc>
  </rcc>
  <rcc rId="435" sId="1">
    <nc r="Y15" t="inlineStr">
      <is>
        <t>CBD 1303</t>
      </is>
    </nc>
  </rcc>
  <rfmt sheetId="1" sqref="A15:AK15">
    <dxf>
      <fill>
        <patternFill>
          <bgColor rgb="FF92D050"/>
        </patternFill>
      </fill>
    </dxf>
  </rfmt>
  <rcv guid="{D015136D-255F-4042-9389-EB535F138010}" action="delete"/>
  <rdn rId="0" localSheetId="1" customView="1" name="Z_D015136D_255F_4042_9389_EB535F138010_.wvu.FilterData" hidden="1" oldHidden="1">
    <formula>DATA!$A$1:$AY$34</formula>
    <oldFormula>DATA!$A$1:$AY$34</oldFormula>
  </rdn>
  <rcv guid="{D015136D-255F-4042-9389-EB535F138010}" action="add"/>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6" start="0" length="0">
    <dxf>
      <fill>
        <patternFill patternType="solid">
          <bgColor rgb="FF92D050"/>
        </patternFill>
      </fill>
    </dxf>
  </rfmt>
  <rcc rId="437" sId="1" odxf="1" dxf="1">
    <nc r="B16" t="inlineStr">
      <is>
        <t>Agustin Buñevaz</t>
      </is>
    </nc>
    <ndxf>
      <fill>
        <patternFill patternType="solid">
          <bgColor rgb="FF92D050"/>
        </patternFill>
      </fill>
    </ndxf>
  </rcc>
  <rcc rId="438" sId="1" odxf="1" dxf="1">
    <nc r="C16">
      <v>3152</v>
    </nc>
    <ndxf>
      <fill>
        <patternFill patternType="solid">
          <bgColor rgb="FF92D050"/>
        </patternFill>
      </fill>
    </ndxf>
  </rcc>
  <rfmt sheetId="1" sqref="D16" start="0" length="0">
    <dxf>
      <fill>
        <patternFill patternType="solid">
          <bgColor rgb="FF92D050"/>
        </patternFill>
      </fill>
    </dxf>
  </rfmt>
  <rfmt sheetId="1" sqref="E16" start="0" length="0">
    <dxf>
      <fill>
        <patternFill patternType="solid">
          <bgColor rgb="FF92D050"/>
        </patternFill>
      </fill>
    </dxf>
  </rfmt>
  <rfmt sheetId="1" sqref="F16" start="0" length="0">
    <dxf>
      <fill>
        <patternFill patternType="solid">
          <bgColor rgb="FF92D050"/>
        </patternFill>
      </fill>
    </dxf>
  </rfmt>
  <rfmt sheetId="1" sqref="G16" start="0" length="0">
    <dxf>
      <fill>
        <patternFill patternType="solid">
          <bgColor rgb="FF92D050"/>
        </patternFill>
      </fill>
    </dxf>
  </rfmt>
  <rfmt sheetId="1" sqref="H16" start="0" length="0">
    <dxf>
      <fill>
        <patternFill patternType="solid">
          <bgColor rgb="FF92D050"/>
        </patternFill>
      </fill>
    </dxf>
  </rfmt>
  <rfmt sheetId="1" sqref="I16" start="0" length="0">
    <dxf>
      <fill>
        <patternFill patternType="solid">
          <bgColor rgb="FF92D050"/>
        </patternFill>
      </fill>
    </dxf>
  </rfmt>
  <rcc rId="439" sId="1" odxf="1" dxf="1">
    <nc r="J16" t="inlineStr">
      <is>
        <t>Montevideo, Canelones</t>
      </is>
    </nc>
    <ndxf>
      <fill>
        <patternFill patternType="solid">
          <bgColor rgb="FF92D050"/>
        </patternFill>
      </fill>
    </ndxf>
  </rcc>
  <rcc rId="440" sId="1" odxf="1" dxf="1">
    <nc r="K16" t="inlineStr">
      <is>
        <t>Propio</t>
      </is>
    </nc>
    <ndxf>
      <fill>
        <patternFill patternType="solid">
          <bgColor rgb="FF92D050"/>
        </patternFill>
      </fill>
    </ndxf>
  </rcc>
  <rfmt sheetId="1" sqref="L16" start="0" length="0">
    <dxf>
      <fill>
        <patternFill patternType="solid">
          <bgColor rgb="FF92D050"/>
        </patternFill>
      </fill>
    </dxf>
  </rfmt>
  <rfmt sheetId="1" sqref="M16" start="0" length="0">
    <dxf>
      <fill>
        <patternFill patternType="solid">
          <bgColor rgb="FF92D050"/>
        </patternFill>
      </fill>
    </dxf>
  </rfmt>
  <rfmt sheetId="1" sqref="N16" start="0" length="0">
    <dxf>
      <fill>
        <patternFill patternType="solid">
          <bgColor rgb="FF92D050"/>
        </patternFill>
      </fill>
    </dxf>
  </rfmt>
  <rfmt sheetId="1" sqref="O16" start="0" length="0">
    <dxf>
      <fill>
        <patternFill patternType="solid">
          <bgColor rgb="FF92D050"/>
        </patternFill>
      </fill>
    </dxf>
  </rfmt>
  <rfmt sheetId="1" sqref="P16" start="0" length="0">
    <dxf>
      <fill>
        <patternFill patternType="solid">
          <bgColor rgb="FF92D050"/>
        </patternFill>
      </fill>
    </dxf>
  </rfmt>
  <rfmt sheetId="1" sqref="Q16" start="0" length="0">
    <dxf>
      <fill>
        <patternFill patternType="solid">
          <bgColor rgb="FF92D050"/>
        </patternFill>
      </fill>
    </dxf>
  </rfmt>
  <rfmt sheetId="1" sqref="R16" start="0" length="0">
    <dxf>
      <fill>
        <patternFill patternType="solid">
          <bgColor rgb="FF92D050"/>
        </patternFill>
      </fill>
    </dxf>
  </rfmt>
  <rfmt sheetId="1" sqref="S16" start="0" length="0">
    <dxf>
      <fill>
        <patternFill patternType="solid">
          <bgColor rgb="FF92D050"/>
        </patternFill>
      </fill>
    </dxf>
  </rfmt>
  <rfmt sheetId="1" sqref="T16" start="0" length="0">
    <dxf>
      <fill>
        <patternFill patternType="solid">
          <bgColor rgb="FF92D050"/>
        </patternFill>
      </fill>
    </dxf>
  </rfmt>
  <rfmt sheetId="1" sqref="U16" start="0" length="0">
    <dxf>
      <fill>
        <patternFill patternType="solid">
          <bgColor rgb="FF92D050"/>
        </patternFill>
      </fill>
    </dxf>
  </rfmt>
  <rfmt sheetId="1" sqref="V16" start="0" length="0">
    <dxf>
      <fill>
        <patternFill patternType="solid">
          <bgColor rgb="FF92D050"/>
        </patternFill>
      </fill>
    </dxf>
  </rfmt>
  <rfmt sheetId="1" sqref="W16" start="0" length="0">
    <dxf>
      <fill>
        <patternFill patternType="solid">
          <bgColor rgb="FF92D050"/>
        </patternFill>
      </fill>
    </dxf>
  </rfmt>
  <rfmt sheetId="1" sqref="X16" start="0" length="0">
    <dxf>
      <fill>
        <patternFill patternType="solid">
          <bgColor rgb="FF92D050"/>
        </patternFill>
      </fill>
    </dxf>
  </rfmt>
  <rfmt sheetId="1" sqref="Y16" start="0" length="0">
    <dxf>
      <fill>
        <patternFill patternType="solid">
          <bgColor rgb="FF92D050"/>
        </patternFill>
      </fill>
    </dxf>
  </rfmt>
  <rfmt sheetId="1" sqref="Z16" start="0" length="0">
    <dxf>
      <fill>
        <patternFill patternType="solid">
          <bgColor rgb="FF92D050"/>
        </patternFill>
      </fill>
    </dxf>
  </rfmt>
  <rfmt sheetId="1" sqref="AA16" start="0" length="0">
    <dxf>
      <fill>
        <patternFill patternType="solid">
          <bgColor rgb="FF92D050"/>
        </patternFill>
      </fill>
    </dxf>
  </rfmt>
  <rfmt sheetId="1" sqref="AB16" start="0" length="0">
    <dxf>
      <fill>
        <patternFill patternType="solid">
          <bgColor rgb="FF92D050"/>
        </patternFill>
      </fill>
    </dxf>
  </rfmt>
  <rfmt sheetId="1" sqref="AC16" start="0" length="0">
    <dxf>
      <fill>
        <patternFill patternType="solid">
          <bgColor rgb="FF92D050"/>
        </patternFill>
      </fill>
    </dxf>
  </rfmt>
  <rfmt sheetId="1" sqref="AD16" start="0" length="0">
    <dxf>
      <fill>
        <patternFill patternType="solid">
          <bgColor rgb="FF92D050"/>
        </patternFill>
      </fill>
    </dxf>
  </rfmt>
  <rfmt sheetId="1" sqref="AE16" start="0" length="0">
    <dxf>
      <fill>
        <patternFill patternType="solid">
          <bgColor rgb="FF92D050"/>
        </patternFill>
      </fill>
    </dxf>
  </rfmt>
  <rfmt sheetId="1" sqref="AF16" start="0" length="0">
    <dxf>
      <fill>
        <patternFill patternType="solid">
          <bgColor rgb="FF92D050"/>
        </patternFill>
      </fill>
    </dxf>
  </rfmt>
  <rfmt sheetId="1" sqref="AG16" start="0" length="0">
    <dxf>
      <fill>
        <patternFill patternType="solid">
          <bgColor rgb="FF92D050"/>
        </patternFill>
      </fill>
    </dxf>
  </rfmt>
  <rfmt sheetId="1" sqref="AH16" start="0" length="0">
    <dxf>
      <fill>
        <patternFill patternType="solid">
          <bgColor rgb="FF92D050"/>
        </patternFill>
      </fill>
    </dxf>
  </rfmt>
  <rfmt sheetId="1" sqref="AI16" start="0" length="0">
    <dxf>
      <fill>
        <patternFill patternType="solid">
          <bgColor rgb="FF92D050"/>
        </patternFill>
      </fill>
    </dxf>
  </rfmt>
  <rfmt sheetId="1" sqref="AJ16" start="0" length="0">
    <dxf>
      <fill>
        <patternFill patternType="solid">
          <bgColor rgb="FF92D050"/>
        </patternFill>
      </fill>
    </dxf>
  </rfmt>
  <rfmt sheetId="1" sqref="AK16" start="0" length="0">
    <dxf>
      <fill>
        <patternFill patternType="solid">
          <bgColor rgb="FF92D050"/>
        </patternFill>
      </fill>
    </dxf>
  </rfmt>
  <rcc rId="441" sId="1">
    <nc r="A16">
      <v>15</v>
    </nc>
  </rcc>
  <rcc rId="442" sId="1">
    <nc r="D16">
      <v>8</v>
    </nc>
  </rcc>
  <rcc rId="443" sId="1">
    <nc r="E16" t="inlineStr">
      <is>
        <t>01/01 al 14/01/2026</t>
      </is>
    </nc>
  </rcc>
  <rcc rId="444" sId="1" numFmtId="19">
    <nc r="F16">
      <v>46023</v>
    </nc>
  </rcc>
  <rcc rId="445" sId="1" numFmtId="19">
    <nc r="G16">
      <v>46036</v>
    </nc>
  </rcc>
  <rcc rId="446" sId="1">
    <nc r="M16">
      <f>+N16-H16</f>
    </nc>
  </rcc>
  <rcc rId="447" sId="1">
    <nc r="M17">
      <f>+N17-H17</f>
    </nc>
  </rcc>
  <rcc rId="448" sId="1">
    <nc r="M18">
      <f>+N18-H18</f>
    </nc>
  </rcc>
  <rcc rId="449" sId="1">
    <nc r="M19">
      <f>+N19-H19</f>
    </nc>
  </rcc>
  <rcc rId="450" sId="1">
    <nc r="M20">
      <f>+N20-H20</f>
    </nc>
  </rcc>
  <rcc rId="451" sId="1">
    <nc r="M21">
      <f>+N21-H21</f>
    </nc>
  </rcc>
  <rcc rId="452" sId="1">
    <nc r="M22">
      <f>+N22-H22</f>
    </nc>
  </rcc>
  <rcc rId="453" sId="1">
    <nc r="M23">
      <f>+N23-H23</f>
    </nc>
  </rcc>
  <rcc rId="454" sId="1">
    <nc r="M24">
      <f>+N24-H24</f>
    </nc>
  </rcc>
  <rcc rId="455" sId="1">
    <nc r="M25">
      <f>+N25-H25</f>
    </nc>
  </rcc>
  <rcc rId="456" sId="1">
    <nc r="M26">
      <f>+N26-H26</f>
    </nc>
  </rcc>
  <rcc rId="457" sId="1">
    <nc r="M27">
      <f>+N27-H27</f>
    </nc>
  </rcc>
  <rcc rId="458" sId="1">
    <nc r="M28">
      <f>+N28-H28</f>
    </nc>
  </rcc>
  <rcc rId="459" sId="1">
    <nc r="M29">
      <f>+N29-H29</f>
    </nc>
  </rcc>
  <rcc rId="460" sId="1">
    <nc r="M30">
      <f>+N30-H30</f>
    </nc>
  </rcc>
  <rcc rId="461" sId="1">
    <nc r="M31">
      <f>+N31-H31</f>
    </nc>
  </rcc>
  <rcc rId="462" sId="1">
    <nc r="M32">
      <f>+N32-H32</f>
    </nc>
  </rcc>
  <rcc rId="463" sId="1">
    <nc r="N16">
      <f>792+1056+1052+1052+2360</f>
    </nc>
  </rcc>
  <rcc rId="464" sId="1" numFmtId="34">
    <nc r="O16">
      <v>23</v>
    </nc>
  </rcc>
  <rcc rId="465" sId="1">
    <nc r="Q16">
      <f>+P16+O16</f>
    </nc>
  </rcc>
  <rcc rId="466" sId="1">
    <nc r="R16">
      <f>(N16/Q16)</f>
    </nc>
  </rcc>
  <rcc rId="467" sId="1">
    <nc r="S16">
      <f>(('Costo por negocio'!$B$2-DATA!R16)*DATA!O16)+('Costo por negocio'!$C$2-DATA!R16)*DATA!P16</f>
    </nc>
  </rcc>
  <rcc rId="468" sId="1" numFmtId="19">
    <nc r="T16">
      <v>46037</v>
    </nc>
  </rcc>
  <rcc rId="469" sId="1">
    <nc r="U16" t="inlineStr">
      <is>
        <t>SI</t>
      </is>
    </nc>
  </rcc>
  <rcc rId="470" sId="1">
    <nc r="V16" t="inlineStr">
      <is>
        <t>SI</t>
      </is>
    </nc>
  </rcc>
  <rcc rId="471" sId="1">
    <nc r="W16" t="inlineStr">
      <is>
        <t>SI</t>
      </is>
    </nc>
  </rcc>
  <rcc rId="472" sId="1">
    <nc r="Y16" t="inlineStr">
      <is>
        <t>ABK 2846</t>
      </is>
    </nc>
  </rcc>
  <rcv guid="{D015136D-255F-4042-9389-EB535F138010}" action="delete"/>
  <rdn rId="0" localSheetId="1" customView="1" name="Z_D015136D_255F_4042_9389_EB535F138010_.wvu.FilterData" hidden="1" oldHidden="1">
    <formula>DATA!$A$1:$AY$34</formula>
    <oldFormula>DATA!$A$1:$AY$34</oldFormula>
  </rdn>
  <rcv guid="{D015136D-255F-4042-9389-EB535F138010}" action="add"/>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4" sId="1" odxf="1" dxf="1">
    <nc r="A17">
      <v>16</v>
    </nc>
    <ndxf>
      <fill>
        <patternFill patternType="solid">
          <bgColor rgb="FF92D050"/>
        </patternFill>
      </fill>
    </ndxf>
  </rcc>
  <rcc rId="475" sId="1" odxf="1" dxf="1">
    <nc r="B17" t="inlineStr">
      <is>
        <t>Lucia Santamaría</t>
      </is>
    </nc>
    <ndxf>
      <fill>
        <patternFill patternType="solid">
          <bgColor rgb="FF92D050"/>
        </patternFill>
      </fill>
    </ndxf>
  </rcc>
  <rcc rId="476" sId="1" odxf="1" dxf="1">
    <nc r="C17">
      <v>3065</v>
    </nc>
    <ndxf>
      <fill>
        <patternFill patternType="solid">
          <bgColor rgb="FF92D050"/>
        </patternFill>
      </fill>
    </ndxf>
  </rcc>
  <rcc rId="477" sId="1" odxf="1" dxf="1">
    <nc r="D17">
      <v>8</v>
    </nc>
    <ndxf>
      <fill>
        <patternFill patternType="solid">
          <bgColor rgb="FF92D050"/>
        </patternFill>
      </fill>
    </ndxf>
  </rcc>
  <rcc rId="478" sId="1" odxf="1" dxf="1">
    <nc r="E17" t="inlineStr">
      <is>
        <t>01/01 al 14/01/2026</t>
      </is>
    </nc>
    <ndxf>
      <fill>
        <patternFill patternType="solid">
          <bgColor rgb="FF92D050"/>
        </patternFill>
      </fill>
    </ndxf>
  </rcc>
  <rcc rId="479" sId="1" odxf="1" dxf="1" numFmtId="19">
    <nc r="F17">
      <v>46023</v>
    </nc>
    <ndxf>
      <fill>
        <patternFill patternType="solid">
          <bgColor rgb="FF92D050"/>
        </patternFill>
      </fill>
    </ndxf>
  </rcc>
  <rcc rId="480" sId="1" odxf="1" dxf="1" numFmtId="19">
    <nc r="G17">
      <v>46036</v>
    </nc>
    <ndxf>
      <fill>
        <patternFill patternType="solid">
          <bgColor rgb="FF92D050"/>
        </patternFill>
      </fill>
    </ndxf>
  </rcc>
  <rfmt sheetId="1" sqref="H17" start="0" length="0">
    <dxf>
      <fill>
        <patternFill patternType="solid">
          <bgColor rgb="FF92D050"/>
        </patternFill>
      </fill>
    </dxf>
  </rfmt>
  <rfmt sheetId="1" sqref="I17" start="0" length="0">
    <dxf>
      <fill>
        <patternFill patternType="solid">
          <bgColor rgb="FF92D050"/>
        </patternFill>
      </fill>
    </dxf>
  </rfmt>
  <rcc rId="481" sId="1" odxf="1" dxf="1">
    <nc r="J17" t="inlineStr">
      <is>
        <t>Maldonado</t>
      </is>
    </nc>
    <ndxf>
      <fill>
        <patternFill patternType="solid">
          <bgColor rgb="FF92D050"/>
        </patternFill>
      </fill>
    </ndxf>
  </rcc>
  <rcc rId="482" sId="1" odxf="1" dxf="1">
    <nc r="K17" t="inlineStr">
      <is>
        <t>Propio</t>
      </is>
    </nc>
    <ndxf>
      <fill>
        <patternFill patternType="solid">
          <bgColor rgb="FF92D050"/>
        </patternFill>
      </fill>
    </ndxf>
  </rcc>
  <rfmt sheetId="1" sqref="L17" start="0" length="0">
    <dxf>
      <fill>
        <patternFill patternType="solid">
          <bgColor rgb="FF92D050"/>
        </patternFill>
      </fill>
    </dxf>
  </rfmt>
  <rcc rId="483" sId="1" odxf="1" dxf="1">
    <oc r="M17">
      <f>+N17-H17</f>
    </oc>
    <nc r="M17">
      <f>+N17-H17</f>
    </nc>
    <odxf>
      <fill>
        <patternFill patternType="none">
          <bgColor indexed="65"/>
        </patternFill>
      </fill>
    </odxf>
    <ndxf>
      <fill>
        <patternFill patternType="solid">
          <bgColor rgb="FF92D050"/>
        </patternFill>
      </fill>
    </ndxf>
  </rcc>
  <rcc rId="484" sId="1" odxf="1" dxf="1">
    <nc r="N17">
      <f>2553+1322.4+2800</f>
    </nc>
    <ndxf>
      <fill>
        <patternFill patternType="solid">
          <bgColor rgb="FF92D050"/>
        </patternFill>
      </fill>
    </ndxf>
  </rcc>
  <rcc rId="485" sId="1" odxf="1" dxf="1">
    <nc r="O17">
      <f>20+6</f>
    </nc>
    <ndxf>
      <fill>
        <patternFill patternType="solid">
          <bgColor rgb="FF92D050"/>
        </patternFill>
      </fill>
    </ndxf>
  </rcc>
  <rfmt sheetId="1" sqref="P17" start="0" length="0">
    <dxf>
      <fill>
        <patternFill patternType="solid">
          <bgColor rgb="FF92D050"/>
        </patternFill>
      </fill>
    </dxf>
  </rfmt>
  <rcc rId="486" sId="1" odxf="1" dxf="1">
    <nc r="Q17">
      <f>+P17+O17</f>
    </nc>
    <ndxf>
      <fill>
        <patternFill patternType="solid">
          <bgColor rgb="FF92D050"/>
        </patternFill>
      </fill>
    </ndxf>
  </rcc>
  <rcc rId="487" sId="1" odxf="1" dxf="1">
    <nc r="R17">
      <f>(N17/Q17)</f>
    </nc>
    <ndxf>
      <fill>
        <patternFill patternType="solid">
          <bgColor rgb="FF92D050"/>
        </patternFill>
      </fill>
    </ndxf>
  </rcc>
  <rcc rId="488" sId="1" odxf="1" dxf="1">
    <nc r="S17">
      <f>(('Costo por negocio'!$B$2-DATA!R17)*DATA!O17)+('Costo por negocio'!$C$2-DATA!R17)*DATA!P17</f>
    </nc>
    <ndxf>
      <fill>
        <patternFill patternType="solid">
          <bgColor rgb="FF92D050"/>
        </patternFill>
      </fill>
    </ndxf>
  </rcc>
  <rcc rId="489" sId="1" odxf="1" dxf="1" numFmtId="19">
    <nc r="T17">
      <v>46037</v>
    </nc>
    <ndxf>
      <fill>
        <patternFill patternType="solid">
          <bgColor rgb="FF92D050"/>
        </patternFill>
      </fill>
    </ndxf>
  </rcc>
  <rcc rId="490" sId="1" odxf="1" dxf="1">
    <nc r="U17" t="inlineStr">
      <is>
        <t>SI</t>
      </is>
    </nc>
    <ndxf>
      <fill>
        <patternFill patternType="solid">
          <bgColor rgb="FF92D050"/>
        </patternFill>
      </fill>
    </ndxf>
  </rcc>
  <rcc rId="491" sId="1" odxf="1" dxf="1">
    <nc r="V17" t="inlineStr">
      <is>
        <t>SI</t>
      </is>
    </nc>
    <ndxf>
      <fill>
        <patternFill patternType="solid">
          <bgColor rgb="FF92D050"/>
        </patternFill>
      </fill>
    </ndxf>
  </rcc>
  <rcc rId="492" sId="1" odxf="1" dxf="1">
    <nc r="W17" t="inlineStr">
      <is>
        <t>SI</t>
      </is>
    </nc>
    <ndxf>
      <fill>
        <patternFill patternType="solid">
          <bgColor rgb="FF92D050"/>
        </patternFill>
      </fill>
    </ndxf>
  </rcc>
  <rfmt sheetId="1" sqref="X17" start="0" length="0">
    <dxf>
      <fill>
        <patternFill patternType="solid">
          <bgColor rgb="FF92D050"/>
        </patternFill>
      </fill>
    </dxf>
  </rfmt>
  <rfmt sheetId="1" sqref="Y17" start="0" length="0">
    <dxf>
      <fill>
        <patternFill patternType="solid">
          <bgColor rgb="FF92D050"/>
        </patternFill>
      </fill>
    </dxf>
  </rfmt>
  <rfmt sheetId="1" sqref="Z17" start="0" length="0">
    <dxf>
      <fill>
        <patternFill patternType="solid">
          <bgColor rgb="FF92D050"/>
        </patternFill>
      </fill>
    </dxf>
  </rfmt>
  <rfmt sheetId="1" sqref="AA17" start="0" length="0">
    <dxf>
      <fill>
        <patternFill patternType="solid">
          <bgColor rgb="FF92D050"/>
        </patternFill>
      </fill>
    </dxf>
  </rfmt>
  <rfmt sheetId="1" sqref="AB17" start="0" length="0">
    <dxf>
      <fill>
        <patternFill patternType="solid">
          <bgColor rgb="FF92D050"/>
        </patternFill>
      </fill>
    </dxf>
  </rfmt>
  <rfmt sheetId="1" sqref="AC17" start="0" length="0">
    <dxf>
      <fill>
        <patternFill patternType="solid">
          <bgColor rgb="FF92D050"/>
        </patternFill>
      </fill>
    </dxf>
  </rfmt>
  <rfmt sheetId="1" sqref="AD17" start="0" length="0">
    <dxf>
      <fill>
        <patternFill patternType="solid">
          <bgColor rgb="FF92D050"/>
        </patternFill>
      </fill>
    </dxf>
  </rfmt>
  <rfmt sheetId="1" sqref="AE17" start="0" length="0">
    <dxf>
      <fill>
        <patternFill patternType="solid">
          <bgColor rgb="FF92D050"/>
        </patternFill>
      </fill>
    </dxf>
  </rfmt>
  <rfmt sheetId="1" sqref="AF17" start="0" length="0">
    <dxf>
      <fill>
        <patternFill patternType="solid">
          <bgColor rgb="FF92D050"/>
        </patternFill>
      </fill>
    </dxf>
  </rfmt>
  <rfmt sheetId="1" sqref="AG17" start="0" length="0">
    <dxf>
      <fill>
        <patternFill patternType="solid">
          <bgColor rgb="FF92D050"/>
        </patternFill>
      </fill>
    </dxf>
  </rfmt>
  <rfmt sheetId="1" sqref="AH17" start="0" length="0">
    <dxf>
      <fill>
        <patternFill patternType="solid">
          <bgColor rgb="FF92D050"/>
        </patternFill>
      </fill>
    </dxf>
  </rfmt>
  <rfmt sheetId="1" sqref="AI17" start="0" length="0">
    <dxf>
      <fill>
        <patternFill patternType="solid">
          <bgColor rgb="FF92D050"/>
        </patternFill>
      </fill>
    </dxf>
  </rfmt>
  <rfmt sheetId="1" sqref="AJ17" start="0" length="0">
    <dxf>
      <fill>
        <patternFill patternType="solid">
          <bgColor rgb="FF92D050"/>
        </patternFill>
      </fill>
    </dxf>
  </rfmt>
  <rfmt sheetId="1" sqref="AK17" start="0" length="0">
    <dxf>
      <fill>
        <patternFill patternType="solid">
          <bgColor rgb="FF92D050"/>
        </patternFill>
      </fill>
    </dxf>
  </rfmt>
  <rcc rId="493" sId="1">
    <nc r="Y17" t="inlineStr">
      <is>
        <t>SBI 6680</t>
      </is>
    </nc>
  </rcc>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4" sId="1">
    <nc r="A22">
      <v>17</v>
    </nc>
  </rcc>
  <rfmt sheetId="1" sqref="A22">
    <dxf>
      <fill>
        <patternFill patternType="none">
          <bgColor auto="1"/>
        </patternFill>
      </fill>
    </dxf>
  </rfmt>
  <rrc rId="495" sId="1" ref="A18:XFD18" action="deleteRow">
    <rfmt sheetId="1" xfDxf="1" sqref="A18:XFD18" start="0" length="0">
      <dxf>
        <font>
          <name val="Calibri"/>
          <scheme val="none"/>
        </font>
      </dxf>
    </rfmt>
    <rfmt sheetId="1" sqref="A18" start="0" length="0">
      <dxf>
        <alignment horizontal="center" vertical="top" readingOrder="0"/>
        <border outline="0">
          <left style="thin">
            <color indexed="64"/>
          </left>
          <right style="thin">
            <color indexed="64"/>
          </right>
          <top style="thin">
            <color indexed="64"/>
          </top>
          <bottom style="thin">
            <color indexed="64"/>
          </bottom>
        </border>
      </dxf>
    </rfmt>
    <rfmt sheetId="1" sqref="B18" start="0" length="0">
      <dxf>
        <border outline="0">
          <left style="thin">
            <color indexed="64"/>
          </left>
          <right style="thin">
            <color indexed="64"/>
          </right>
          <top style="thin">
            <color indexed="64"/>
          </top>
          <bottom style="thin">
            <color indexed="64"/>
          </bottom>
        </border>
      </dxf>
    </rfmt>
    <rfmt sheetId="1" sqref="C18" start="0" length="0">
      <dxf>
        <border outline="0">
          <left style="thin">
            <color indexed="64"/>
          </left>
          <right style="thin">
            <color indexed="64"/>
          </right>
          <top style="thin">
            <color indexed="64"/>
          </top>
          <bottom style="thin">
            <color indexed="64"/>
          </bottom>
        </border>
      </dxf>
    </rfmt>
    <rfmt sheetId="1" sqref="D18" start="0" length="0">
      <dxf>
        <border outline="0">
          <left style="thin">
            <color indexed="64"/>
          </left>
          <right style="thin">
            <color indexed="64"/>
          </right>
          <top style="thin">
            <color indexed="64"/>
          </top>
          <bottom style="thin">
            <color indexed="64"/>
          </bottom>
        </border>
      </dxf>
    </rfmt>
    <rfmt sheetId="1" sqref="E18" start="0" length="0">
      <dxf>
        <border outline="0">
          <left style="thin">
            <color indexed="64"/>
          </left>
          <right style="thin">
            <color indexed="64"/>
          </right>
          <top style="thin">
            <color indexed="64"/>
          </top>
          <bottom style="thin">
            <color indexed="64"/>
          </bottom>
        </border>
      </dxf>
    </rfmt>
    <rfmt sheetId="1" sqref="F18" start="0" length="0">
      <dxf>
        <numFmt numFmtId="19" formatCode="dd/mm/yyyy"/>
        <border outline="0">
          <left style="thin">
            <color indexed="64"/>
          </left>
          <right style="thin">
            <color indexed="64"/>
          </right>
          <top style="thin">
            <color indexed="64"/>
          </top>
          <bottom style="thin">
            <color indexed="64"/>
          </bottom>
        </border>
      </dxf>
    </rfmt>
    <rfmt sheetId="1" sqref="G18" start="0" length="0">
      <dxf>
        <numFmt numFmtId="19" formatCode="dd/mm/yyyy"/>
        <border outline="0">
          <left style="thin">
            <color indexed="64"/>
          </left>
          <right style="thin">
            <color indexed="64"/>
          </right>
          <top style="thin">
            <color indexed="64"/>
          </top>
          <bottom style="thin">
            <color indexed="64"/>
          </bottom>
        </border>
      </dxf>
    </rfmt>
    <rfmt sheetId="1" sqref="H18" start="0" length="0">
      <dxf>
        <numFmt numFmtId="164" formatCode="_-* #,##0_-;\-* #,##0_-;_-* &quot;-&quot;??_-;_-@_-"/>
        <border outline="0">
          <left style="thin">
            <color indexed="64"/>
          </left>
          <right style="thin">
            <color indexed="64"/>
          </right>
          <top style="thin">
            <color indexed="64"/>
          </top>
          <bottom style="thin">
            <color indexed="64"/>
          </bottom>
        </border>
      </dxf>
    </rfmt>
    <rfmt sheetId="1" sqref="I18" start="0" length="0">
      <dxf>
        <border outline="0">
          <left style="thin">
            <color indexed="64"/>
          </left>
          <right style="thin">
            <color indexed="64"/>
          </right>
          <top style="thin">
            <color indexed="64"/>
          </top>
          <bottom style="thin">
            <color indexed="64"/>
          </bottom>
        </border>
      </dxf>
    </rfmt>
    <rfmt sheetId="1" sqref="J18" start="0" length="0">
      <dxf>
        <border outline="0">
          <left style="thin">
            <color indexed="64"/>
          </left>
          <right style="thin">
            <color indexed="64"/>
          </right>
          <top style="thin">
            <color indexed="64"/>
          </top>
          <bottom style="thin">
            <color indexed="64"/>
          </bottom>
        </border>
      </dxf>
    </rfmt>
    <rfmt sheetId="1" sqref="K18" start="0" length="0">
      <dxf>
        <border outline="0">
          <left style="thin">
            <color indexed="64"/>
          </left>
          <right style="thin">
            <color indexed="64"/>
          </right>
          <top style="thin">
            <color indexed="64"/>
          </top>
          <bottom style="thin">
            <color indexed="64"/>
          </bottom>
        </border>
      </dxf>
    </rfmt>
    <rfmt sheetId="1" sqref="L18" start="0" length="0">
      <dxf>
        <numFmt numFmtId="35" formatCode="_-* #,##0.00_-;\-* #,##0.00_-;_-* &quot;-&quot;??_-;_-@_-"/>
        <border outline="0">
          <left style="thin">
            <color indexed="64"/>
          </left>
          <right style="thin">
            <color indexed="64"/>
          </right>
          <top style="thin">
            <color indexed="64"/>
          </top>
          <bottom style="thin">
            <color indexed="64"/>
          </bottom>
        </border>
      </dxf>
    </rfmt>
    <rcc rId="0" sId="1" dxf="1">
      <nc r="M18">
        <f>+N18-H18</f>
      </nc>
      <ndxf>
        <numFmt numFmtId="35" formatCode="_-* #,##0.00_-;\-* #,##0.00_-;_-* &quot;-&quot;??_-;_-@_-"/>
        <border outline="0">
          <left style="thin">
            <color indexed="64"/>
          </left>
          <right style="thin">
            <color indexed="64"/>
          </right>
          <top style="thin">
            <color indexed="64"/>
          </top>
          <bottom style="thin">
            <color indexed="64"/>
          </bottom>
        </border>
      </ndxf>
    </rcc>
    <rfmt sheetId="1" sqref="N18" start="0" length="0">
      <dxf>
        <numFmt numFmtId="35" formatCode="_-* #,##0.00_-;\-* #,##0.00_-;_-* &quot;-&quot;??_-;_-@_-"/>
        <border outline="0">
          <left style="thin">
            <color indexed="64"/>
          </left>
          <right style="thin">
            <color indexed="64"/>
          </right>
          <top style="thin">
            <color indexed="64"/>
          </top>
          <bottom style="thin">
            <color indexed="64"/>
          </bottom>
        </border>
      </dxf>
    </rfmt>
    <rfmt sheetId="1" sqref="O18" start="0" length="0">
      <dxf>
        <numFmt numFmtId="164" formatCode="_-* #,##0_-;\-* #,##0_-;_-* &quot;-&quot;??_-;_-@_-"/>
        <border outline="0">
          <left style="thin">
            <color indexed="64"/>
          </left>
          <right style="thin">
            <color indexed="64"/>
          </right>
          <top style="thin">
            <color indexed="64"/>
          </top>
          <bottom style="thin">
            <color indexed="64"/>
          </bottom>
        </border>
      </dxf>
    </rfmt>
    <rfmt sheetId="1" sqref="P18" start="0" length="0">
      <dxf>
        <numFmt numFmtId="164" formatCode="_-* #,##0_-;\-* #,##0_-;_-* &quot;-&quot;??_-;_-@_-"/>
        <border outline="0">
          <left style="thin">
            <color indexed="64"/>
          </left>
          <right style="thin">
            <color indexed="64"/>
          </right>
          <top style="thin">
            <color indexed="64"/>
          </top>
          <bottom style="thin">
            <color indexed="64"/>
          </bottom>
        </border>
      </dxf>
    </rfmt>
    <rfmt sheetId="1" sqref="Q18" start="0" length="0">
      <dxf>
        <numFmt numFmtId="164" formatCode="_-* #,##0_-;\-* #,##0_-;_-* &quot;-&quot;??_-;_-@_-"/>
        <border outline="0">
          <left style="thin">
            <color indexed="64"/>
          </left>
          <right style="thin">
            <color indexed="64"/>
          </right>
          <top style="thin">
            <color indexed="64"/>
          </top>
          <bottom style="thin">
            <color indexed="64"/>
          </bottom>
        </border>
      </dxf>
    </rfmt>
    <rfmt sheetId="1" sqref="R18" start="0" length="0">
      <dxf>
        <numFmt numFmtId="35" formatCode="_-* #,##0.00_-;\-* #,##0.00_-;_-* &quot;-&quot;??_-;_-@_-"/>
        <border outline="0">
          <left style="thin">
            <color indexed="64"/>
          </left>
          <right style="thin">
            <color indexed="64"/>
          </right>
          <top style="thin">
            <color indexed="64"/>
          </top>
          <bottom style="thin">
            <color indexed="64"/>
          </bottom>
        </border>
      </dxf>
    </rfmt>
    <rfmt sheetId="1" sqref="S18" start="0" length="0">
      <dxf>
        <numFmt numFmtId="35" formatCode="_-* #,##0.00_-;\-* #,##0.00_-;_-* &quot;-&quot;??_-;_-@_-"/>
        <border outline="0">
          <left style="thin">
            <color indexed="64"/>
          </left>
          <right style="thin">
            <color indexed="64"/>
          </right>
          <top style="thin">
            <color indexed="64"/>
          </top>
          <bottom style="thin">
            <color indexed="64"/>
          </bottom>
        </border>
      </dxf>
    </rfmt>
    <rfmt sheetId="1" sqref="T18" start="0" length="0">
      <dxf>
        <numFmt numFmtId="19" formatCode="dd/mm/yyyy"/>
        <border outline="0">
          <left style="thin">
            <color indexed="64"/>
          </left>
          <right style="thin">
            <color indexed="64"/>
          </right>
          <top style="thin">
            <color indexed="64"/>
          </top>
          <bottom style="thin">
            <color indexed="64"/>
          </bottom>
        </border>
      </dxf>
    </rfmt>
    <rfmt sheetId="1" sqref="U18" start="0" length="0">
      <dxf>
        <border outline="0">
          <left style="thin">
            <color indexed="64"/>
          </left>
          <right style="thin">
            <color indexed="64"/>
          </right>
          <top style="thin">
            <color indexed="64"/>
          </top>
          <bottom style="thin">
            <color indexed="64"/>
          </bottom>
        </border>
      </dxf>
    </rfmt>
    <rfmt sheetId="1" sqref="V18" start="0" length="0">
      <dxf>
        <border outline="0">
          <left style="thin">
            <color indexed="64"/>
          </left>
          <right style="thin">
            <color indexed="64"/>
          </right>
          <top style="thin">
            <color indexed="64"/>
          </top>
          <bottom style="thin">
            <color indexed="64"/>
          </bottom>
        </border>
      </dxf>
    </rfmt>
    <rfmt sheetId="1" sqref="W18" start="0" length="0">
      <dxf>
        <border outline="0">
          <left style="thin">
            <color indexed="64"/>
          </left>
          <right style="thin">
            <color indexed="64"/>
          </right>
          <top style="thin">
            <color indexed="64"/>
          </top>
          <bottom style="thin">
            <color indexed="64"/>
          </bottom>
        </border>
      </dxf>
    </rfmt>
    <rfmt sheetId="1" sqref="X18" start="0" length="0">
      <dxf>
        <border outline="0">
          <left style="thin">
            <color indexed="64"/>
          </left>
          <right style="thin">
            <color indexed="64"/>
          </right>
          <top style="thin">
            <color indexed="64"/>
          </top>
          <bottom style="thin">
            <color indexed="64"/>
          </bottom>
        </border>
      </dxf>
    </rfmt>
    <rfmt sheetId="1" sqref="Y18" start="0" length="0">
      <dxf>
        <border outline="0">
          <left style="thin">
            <color indexed="64"/>
          </left>
          <right style="thin">
            <color indexed="64"/>
          </right>
          <top style="thin">
            <color indexed="64"/>
          </top>
          <bottom style="thin">
            <color indexed="64"/>
          </bottom>
        </border>
      </dxf>
    </rfmt>
    <rfmt sheetId="1" sqref="Z18" start="0" length="0">
      <dxf>
        <border outline="0">
          <left style="thin">
            <color indexed="64"/>
          </left>
          <right style="thin">
            <color indexed="64"/>
          </right>
          <top style="thin">
            <color indexed="64"/>
          </top>
          <bottom style="thin">
            <color indexed="64"/>
          </bottom>
        </border>
      </dxf>
    </rfmt>
    <rfmt sheetId="1" sqref="AA18" start="0" length="0">
      <dxf>
        <border outline="0">
          <left style="thin">
            <color indexed="64"/>
          </left>
          <right style="thin">
            <color indexed="64"/>
          </right>
          <top style="thin">
            <color indexed="64"/>
          </top>
          <bottom style="thin">
            <color indexed="64"/>
          </bottom>
        </border>
      </dxf>
    </rfmt>
    <rfmt sheetId="1" sqref="AB18" start="0" length="0">
      <dxf>
        <border outline="0">
          <left style="thin">
            <color indexed="64"/>
          </left>
          <right style="thin">
            <color indexed="64"/>
          </right>
          <top style="thin">
            <color indexed="64"/>
          </top>
          <bottom style="thin">
            <color indexed="64"/>
          </bottom>
        </border>
      </dxf>
    </rfmt>
    <rfmt sheetId="1" sqref="AC18" start="0" length="0">
      <dxf>
        <border outline="0">
          <left style="thin">
            <color indexed="64"/>
          </left>
          <right style="thin">
            <color indexed="64"/>
          </right>
          <top style="thin">
            <color indexed="64"/>
          </top>
          <bottom style="thin">
            <color indexed="64"/>
          </bottom>
        </border>
      </dxf>
    </rfmt>
    <rfmt sheetId="1" sqref="AD18" start="0" length="0">
      <dxf>
        <numFmt numFmtId="164" formatCode="_-* #,##0_-;\-* #,##0_-;_-* &quot;-&quot;??_-;_-@_-"/>
        <border outline="0">
          <left style="thin">
            <color indexed="64"/>
          </left>
          <right style="thin">
            <color indexed="64"/>
          </right>
          <top style="thin">
            <color indexed="64"/>
          </top>
          <bottom style="thin">
            <color indexed="64"/>
          </bottom>
        </border>
      </dxf>
    </rfmt>
    <rfmt sheetId="1" sqref="AE18" start="0" length="0">
      <dxf>
        <numFmt numFmtId="27" formatCode="dd/mm/yyyy\ h:mm"/>
        <border outline="0">
          <left style="thin">
            <color indexed="64"/>
          </left>
          <right style="thin">
            <color indexed="64"/>
          </right>
          <top style="thin">
            <color indexed="64"/>
          </top>
          <bottom style="thin">
            <color indexed="64"/>
          </bottom>
        </border>
      </dxf>
    </rfmt>
    <rfmt sheetId="1" sqref="AF18" start="0" length="0">
      <dxf>
        <numFmt numFmtId="164" formatCode="_-* #,##0_-;\-* #,##0_-;_-* &quot;-&quot;??_-;_-@_-"/>
        <border outline="0">
          <left style="thin">
            <color indexed="64"/>
          </left>
          <right style="thin">
            <color indexed="64"/>
          </right>
          <top style="thin">
            <color indexed="64"/>
          </top>
          <bottom style="thin">
            <color indexed="64"/>
          </bottom>
        </border>
      </dxf>
    </rfmt>
    <rfmt sheetId="1" sqref="AG18" start="0" length="0">
      <dxf>
        <numFmt numFmtId="27" formatCode="dd/mm/yyyy\ h:mm"/>
        <border outline="0">
          <left style="thin">
            <color indexed="64"/>
          </left>
          <right style="thin">
            <color indexed="64"/>
          </right>
          <top style="thin">
            <color indexed="64"/>
          </top>
          <bottom style="thin">
            <color indexed="64"/>
          </bottom>
        </border>
      </dxf>
    </rfmt>
    <rfmt sheetId="1" sqref="AH18" start="0" length="0">
      <dxf>
        <numFmt numFmtId="164" formatCode="_-* #,##0_-;\-* #,##0_-;_-* &quot;-&quot;??_-;_-@_-"/>
        <border outline="0">
          <left style="thin">
            <color indexed="64"/>
          </left>
          <right style="thin">
            <color indexed="64"/>
          </right>
          <top style="thin">
            <color indexed="64"/>
          </top>
          <bottom style="thin">
            <color indexed="64"/>
          </bottom>
        </border>
      </dxf>
    </rfmt>
    <rfmt sheetId="1" sqref="AI18" start="0" length="0">
      <dxf>
        <border outline="0">
          <left style="thin">
            <color indexed="64"/>
          </left>
          <right style="thin">
            <color indexed="64"/>
          </right>
          <top style="thin">
            <color indexed="64"/>
          </top>
          <bottom style="thin">
            <color indexed="64"/>
          </bottom>
        </border>
      </dxf>
    </rfmt>
    <rfmt sheetId="1" sqref="AJ18" start="0" length="0">
      <dxf>
        <border outline="0">
          <left style="thin">
            <color indexed="64"/>
          </left>
          <right style="thin">
            <color indexed="64"/>
          </right>
          <top style="thin">
            <color indexed="64"/>
          </top>
          <bottom style="thin">
            <color indexed="64"/>
          </bottom>
        </border>
      </dxf>
    </rfmt>
    <rfmt sheetId="1" sqref="AK18" start="0" length="0">
      <dxf>
        <border outline="0">
          <left style="thin">
            <color indexed="64"/>
          </left>
          <right style="thin">
            <color indexed="64"/>
          </right>
          <top style="thin">
            <color indexed="64"/>
          </top>
          <bottom style="thin">
            <color indexed="64"/>
          </bottom>
        </border>
      </dxf>
    </rfmt>
    <rfmt sheetId="1" sqref="AL18" start="0" length="0">
      <dxf/>
    </rfmt>
    <rfmt sheetId="1" sqref="AM18" start="0" length="0">
      <dxf>
        <numFmt numFmtId="1" formatCode="0"/>
      </dxf>
    </rfmt>
    <rfmt sheetId="1" sqref="AN18" start="0" length="0">
      <dxf>
        <numFmt numFmtId="1" formatCode="0"/>
      </dxf>
    </rfmt>
    <rfmt sheetId="1" sqref="AO18" start="0" length="0">
      <dxf/>
    </rfmt>
    <rfmt sheetId="1" sqref="AP18" start="0" length="0">
      <dxf/>
    </rfmt>
    <rfmt sheetId="1" sqref="AQ18" start="0" length="0">
      <dxf>
        <numFmt numFmtId="164" formatCode="_-* #,##0_-;\-* #,##0_-;_-* &quot;-&quot;??_-;_-@_-"/>
      </dxf>
    </rfmt>
    <rfmt sheetId="1" sqref="AR18" start="0" length="0">
      <dxf>
        <numFmt numFmtId="164" formatCode="_-* #,##0_-;\-* #,##0_-;_-* &quot;-&quot;??_-;_-@_-"/>
      </dxf>
    </rfmt>
    <rfmt sheetId="1" sqref="AS18" start="0" length="0">
      <dxf>
        <numFmt numFmtId="164" formatCode="_-* #,##0_-;\-* #,##0_-;_-* &quot;-&quot;??_-;_-@_-"/>
      </dxf>
    </rfmt>
    <rfmt sheetId="1" sqref="AT18" start="0" length="0">
      <dxf>
        <numFmt numFmtId="164" formatCode="_-* #,##0_-;\-* #,##0_-;_-* &quot;-&quot;??_-;_-@_-"/>
      </dxf>
    </rfmt>
    <rfmt sheetId="1" sqref="AU18" start="0" length="0">
      <dxf/>
    </rfmt>
    <rfmt sheetId="1" sqref="AV18" start="0" length="0">
      <dxf/>
    </rfmt>
    <rfmt sheetId="1" sqref="AW18" start="0" length="0">
      <dxf/>
    </rfmt>
    <rfmt sheetId="1" sqref="AX18" start="0" length="0">
      <dxf/>
    </rfmt>
    <rfmt sheetId="1" sqref="AY18" start="0" length="0">
      <dxf/>
    </rfmt>
  </rrc>
  <rrc rId="496" sId="1" ref="A18:XFD18" action="deleteRow">
    <rfmt sheetId="1" xfDxf="1" sqref="A18:XFD18" start="0" length="0">
      <dxf>
        <font>
          <name val="Calibri"/>
          <scheme val="none"/>
        </font>
      </dxf>
    </rfmt>
    <rfmt sheetId="1" sqref="A18" start="0" length="0">
      <dxf>
        <alignment horizontal="center" vertical="top" readingOrder="0"/>
        <border outline="0">
          <left style="thin">
            <color indexed="64"/>
          </left>
          <right style="thin">
            <color indexed="64"/>
          </right>
          <top style="thin">
            <color indexed="64"/>
          </top>
          <bottom style="thin">
            <color indexed="64"/>
          </bottom>
        </border>
      </dxf>
    </rfmt>
    <rfmt sheetId="1" sqref="B18" start="0" length="0">
      <dxf>
        <border outline="0">
          <left style="thin">
            <color indexed="64"/>
          </left>
          <right style="thin">
            <color indexed="64"/>
          </right>
          <top style="thin">
            <color indexed="64"/>
          </top>
          <bottom style="thin">
            <color indexed="64"/>
          </bottom>
        </border>
      </dxf>
    </rfmt>
    <rfmt sheetId="1" sqref="C18" start="0" length="0">
      <dxf>
        <border outline="0">
          <left style="thin">
            <color indexed="64"/>
          </left>
          <right style="thin">
            <color indexed="64"/>
          </right>
          <top style="thin">
            <color indexed="64"/>
          </top>
          <bottom style="thin">
            <color indexed="64"/>
          </bottom>
        </border>
      </dxf>
    </rfmt>
    <rfmt sheetId="1" sqref="D18" start="0" length="0">
      <dxf>
        <border outline="0">
          <left style="thin">
            <color indexed="64"/>
          </left>
          <right style="thin">
            <color indexed="64"/>
          </right>
          <top style="thin">
            <color indexed="64"/>
          </top>
          <bottom style="thin">
            <color indexed="64"/>
          </bottom>
        </border>
      </dxf>
    </rfmt>
    <rfmt sheetId="1" sqref="E18" start="0" length="0">
      <dxf>
        <border outline="0">
          <left style="thin">
            <color indexed="64"/>
          </left>
          <right style="thin">
            <color indexed="64"/>
          </right>
          <top style="thin">
            <color indexed="64"/>
          </top>
          <bottom style="thin">
            <color indexed="64"/>
          </bottom>
        </border>
      </dxf>
    </rfmt>
    <rfmt sheetId="1" sqref="F18" start="0" length="0">
      <dxf>
        <numFmt numFmtId="19" formatCode="dd/mm/yyyy"/>
        <border outline="0">
          <left style="thin">
            <color indexed="64"/>
          </left>
          <right style="thin">
            <color indexed="64"/>
          </right>
          <top style="thin">
            <color indexed="64"/>
          </top>
          <bottom style="thin">
            <color indexed="64"/>
          </bottom>
        </border>
      </dxf>
    </rfmt>
    <rfmt sheetId="1" sqref="G18" start="0" length="0">
      <dxf>
        <numFmt numFmtId="19" formatCode="dd/mm/yyyy"/>
        <border outline="0">
          <left style="thin">
            <color indexed="64"/>
          </left>
          <right style="thin">
            <color indexed="64"/>
          </right>
          <top style="thin">
            <color indexed="64"/>
          </top>
          <bottom style="thin">
            <color indexed="64"/>
          </bottom>
        </border>
      </dxf>
    </rfmt>
    <rfmt sheetId="1" sqref="H18" start="0" length="0">
      <dxf>
        <numFmt numFmtId="164" formatCode="_-* #,##0_-;\-* #,##0_-;_-* &quot;-&quot;??_-;_-@_-"/>
        <border outline="0">
          <left style="thin">
            <color indexed="64"/>
          </left>
          <right style="thin">
            <color indexed="64"/>
          </right>
          <top style="thin">
            <color indexed="64"/>
          </top>
          <bottom style="thin">
            <color indexed="64"/>
          </bottom>
        </border>
      </dxf>
    </rfmt>
    <rfmt sheetId="1" sqref="I18" start="0" length="0">
      <dxf>
        <border outline="0">
          <left style="thin">
            <color indexed="64"/>
          </left>
          <right style="thin">
            <color indexed="64"/>
          </right>
          <top style="thin">
            <color indexed="64"/>
          </top>
          <bottom style="thin">
            <color indexed="64"/>
          </bottom>
        </border>
      </dxf>
    </rfmt>
    <rfmt sheetId="1" sqref="J18" start="0" length="0">
      <dxf>
        <border outline="0">
          <left style="thin">
            <color indexed="64"/>
          </left>
          <right style="thin">
            <color indexed="64"/>
          </right>
          <top style="thin">
            <color indexed="64"/>
          </top>
          <bottom style="thin">
            <color indexed="64"/>
          </bottom>
        </border>
      </dxf>
    </rfmt>
    <rfmt sheetId="1" sqref="K18" start="0" length="0">
      <dxf>
        <border outline="0">
          <left style="thin">
            <color indexed="64"/>
          </left>
          <right style="thin">
            <color indexed="64"/>
          </right>
          <top style="thin">
            <color indexed="64"/>
          </top>
          <bottom style="thin">
            <color indexed="64"/>
          </bottom>
        </border>
      </dxf>
    </rfmt>
    <rfmt sheetId="1" sqref="L18" start="0" length="0">
      <dxf>
        <numFmt numFmtId="35" formatCode="_-* #,##0.00_-;\-* #,##0.00_-;_-* &quot;-&quot;??_-;_-@_-"/>
        <border outline="0">
          <left style="thin">
            <color indexed="64"/>
          </left>
          <right style="thin">
            <color indexed="64"/>
          </right>
          <top style="thin">
            <color indexed="64"/>
          </top>
          <bottom style="thin">
            <color indexed="64"/>
          </bottom>
        </border>
      </dxf>
    </rfmt>
    <rcc rId="0" sId="1" dxf="1">
      <nc r="M18">
        <f>+N18-H18</f>
      </nc>
      <ndxf>
        <numFmt numFmtId="35" formatCode="_-* #,##0.00_-;\-* #,##0.00_-;_-* &quot;-&quot;??_-;_-@_-"/>
        <border outline="0">
          <left style="thin">
            <color indexed="64"/>
          </left>
          <right style="thin">
            <color indexed="64"/>
          </right>
          <top style="thin">
            <color indexed="64"/>
          </top>
          <bottom style="thin">
            <color indexed="64"/>
          </bottom>
        </border>
      </ndxf>
    </rcc>
    <rfmt sheetId="1" sqref="N18" start="0" length="0">
      <dxf>
        <numFmt numFmtId="35" formatCode="_-* #,##0.00_-;\-* #,##0.00_-;_-* &quot;-&quot;??_-;_-@_-"/>
        <border outline="0">
          <left style="thin">
            <color indexed="64"/>
          </left>
          <right style="thin">
            <color indexed="64"/>
          </right>
          <top style="thin">
            <color indexed="64"/>
          </top>
          <bottom style="thin">
            <color indexed="64"/>
          </bottom>
        </border>
      </dxf>
    </rfmt>
    <rfmt sheetId="1" sqref="O18" start="0" length="0">
      <dxf>
        <numFmt numFmtId="164" formatCode="_-* #,##0_-;\-* #,##0_-;_-* &quot;-&quot;??_-;_-@_-"/>
        <border outline="0">
          <left style="thin">
            <color indexed="64"/>
          </left>
          <right style="thin">
            <color indexed="64"/>
          </right>
          <top style="thin">
            <color indexed="64"/>
          </top>
          <bottom style="thin">
            <color indexed="64"/>
          </bottom>
        </border>
      </dxf>
    </rfmt>
    <rfmt sheetId="1" sqref="P18" start="0" length="0">
      <dxf>
        <numFmt numFmtId="164" formatCode="_-* #,##0_-;\-* #,##0_-;_-* &quot;-&quot;??_-;_-@_-"/>
        <border outline="0">
          <left style="thin">
            <color indexed="64"/>
          </left>
          <right style="thin">
            <color indexed="64"/>
          </right>
          <top style="thin">
            <color indexed="64"/>
          </top>
          <bottom style="thin">
            <color indexed="64"/>
          </bottom>
        </border>
      </dxf>
    </rfmt>
    <rfmt sheetId="1" sqref="Q18" start="0" length="0">
      <dxf>
        <numFmt numFmtId="164" formatCode="_-* #,##0_-;\-* #,##0_-;_-* &quot;-&quot;??_-;_-@_-"/>
        <border outline="0">
          <left style="thin">
            <color indexed="64"/>
          </left>
          <right style="thin">
            <color indexed="64"/>
          </right>
          <top style="thin">
            <color indexed="64"/>
          </top>
          <bottom style="thin">
            <color indexed="64"/>
          </bottom>
        </border>
      </dxf>
    </rfmt>
    <rfmt sheetId="1" sqref="R18" start="0" length="0">
      <dxf>
        <numFmt numFmtId="35" formatCode="_-* #,##0.00_-;\-* #,##0.00_-;_-* &quot;-&quot;??_-;_-@_-"/>
        <border outline="0">
          <left style="thin">
            <color indexed="64"/>
          </left>
          <right style="thin">
            <color indexed="64"/>
          </right>
          <top style="thin">
            <color indexed="64"/>
          </top>
          <bottom style="thin">
            <color indexed="64"/>
          </bottom>
        </border>
      </dxf>
    </rfmt>
    <rfmt sheetId="1" sqref="S18" start="0" length="0">
      <dxf>
        <numFmt numFmtId="35" formatCode="_-* #,##0.00_-;\-* #,##0.00_-;_-* &quot;-&quot;??_-;_-@_-"/>
        <border outline="0">
          <left style="thin">
            <color indexed="64"/>
          </left>
          <right style="thin">
            <color indexed="64"/>
          </right>
          <top style="thin">
            <color indexed="64"/>
          </top>
          <bottom style="thin">
            <color indexed="64"/>
          </bottom>
        </border>
      </dxf>
    </rfmt>
    <rfmt sheetId="1" sqref="T18" start="0" length="0">
      <dxf>
        <numFmt numFmtId="19" formatCode="dd/mm/yyyy"/>
        <border outline="0">
          <left style="thin">
            <color indexed="64"/>
          </left>
          <right style="thin">
            <color indexed="64"/>
          </right>
          <top style="thin">
            <color indexed="64"/>
          </top>
          <bottom style="thin">
            <color indexed="64"/>
          </bottom>
        </border>
      </dxf>
    </rfmt>
    <rfmt sheetId="1" sqref="U18" start="0" length="0">
      <dxf>
        <border outline="0">
          <left style="thin">
            <color indexed="64"/>
          </left>
          <right style="thin">
            <color indexed="64"/>
          </right>
          <top style="thin">
            <color indexed="64"/>
          </top>
          <bottom style="thin">
            <color indexed="64"/>
          </bottom>
        </border>
      </dxf>
    </rfmt>
    <rfmt sheetId="1" sqref="V18" start="0" length="0">
      <dxf>
        <border outline="0">
          <left style="thin">
            <color indexed="64"/>
          </left>
          <right style="thin">
            <color indexed="64"/>
          </right>
          <top style="thin">
            <color indexed="64"/>
          </top>
          <bottom style="thin">
            <color indexed="64"/>
          </bottom>
        </border>
      </dxf>
    </rfmt>
    <rfmt sheetId="1" sqref="W18" start="0" length="0">
      <dxf>
        <border outline="0">
          <left style="thin">
            <color indexed="64"/>
          </left>
          <right style="thin">
            <color indexed="64"/>
          </right>
          <top style="thin">
            <color indexed="64"/>
          </top>
          <bottom style="thin">
            <color indexed="64"/>
          </bottom>
        </border>
      </dxf>
    </rfmt>
    <rfmt sheetId="1" sqref="X18" start="0" length="0">
      <dxf>
        <border outline="0">
          <left style="thin">
            <color indexed="64"/>
          </left>
          <right style="thin">
            <color indexed="64"/>
          </right>
          <top style="thin">
            <color indexed="64"/>
          </top>
          <bottom style="thin">
            <color indexed="64"/>
          </bottom>
        </border>
      </dxf>
    </rfmt>
    <rfmt sheetId="1" sqref="Y18" start="0" length="0">
      <dxf>
        <border outline="0">
          <left style="thin">
            <color indexed="64"/>
          </left>
          <right style="thin">
            <color indexed="64"/>
          </right>
          <top style="thin">
            <color indexed="64"/>
          </top>
          <bottom style="thin">
            <color indexed="64"/>
          </bottom>
        </border>
      </dxf>
    </rfmt>
    <rfmt sheetId="1" sqref="Z18" start="0" length="0">
      <dxf>
        <border outline="0">
          <left style="thin">
            <color indexed="64"/>
          </left>
          <right style="thin">
            <color indexed="64"/>
          </right>
          <top style="thin">
            <color indexed="64"/>
          </top>
          <bottom style="thin">
            <color indexed="64"/>
          </bottom>
        </border>
      </dxf>
    </rfmt>
    <rfmt sheetId="1" sqref="AA18" start="0" length="0">
      <dxf>
        <border outline="0">
          <left style="thin">
            <color indexed="64"/>
          </left>
          <right style="thin">
            <color indexed="64"/>
          </right>
          <top style="thin">
            <color indexed="64"/>
          </top>
          <bottom style="thin">
            <color indexed="64"/>
          </bottom>
        </border>
      </dxf>
    </rfmt>
    <rfmt sheetId="1" sqref="AB18" start="0" length="0">
      <dxf>
        <border outline="0">
          <left style="thin">
            <color indexed="64"/>
          </left>
          <right style="thin">
            <color indexed="64"/>
          </right>
          <top style="thin">
            <color indexed="64"/>
          </top>
          <bottom style="thin">
            <color indexed="64"/>
          </bottom>
        </border>
      </dxf>
    </rfmt>
    <rfmt sheetId="1" sqref="AC18" start="0" length="0">
      <dxf>
        <border outline="0">
          <left style="thin">
            <color indexed="64"/>
          </left>
          <right style="thin">
            <color indexed="64"/>
          </right>
          <top style="thin">
            <color indexed="64"/>
          </top>
          <bottom style="thin">
            <color indexed="64"/>
          </bottom>
        </border>
      </dxf>
    </rfmt>
    <rfmt sheetId="1" sqref="AD18" start="0" length="0">
      <dxf>
        <numFmt numFmtId="164" formatCode="_-* #,##0_-;\-* #,##0_-;_-* &quot;-&quot;??_-;_-@_-"/>
        <border outline="0">
          <left style="thin">
            <color indexed="64"/>
          </left>
          <right style="thin">
            <color indexed="64"/>
          </right>
          <top style="thin">
            <color indexed="64"/>
          </top>
          <bottom style="thin">
            <color indexed="64"/>
          </bottom>
        </border>
      </dxf>
    </rfmt>
    <rfmt sheetId="1" sqref="AE18" start="0" length="0">
      <dxf>
        <numFmt numFmtId="27" formatCode="dd/mm/yyyy\ h:mm"/>
        <border outline="0">
          <left style="thin">
            <color indexed="64"/>
          </left>
          <right style="thin">
            <color indexed="64"/>
          </right>
          <top style="thin">
            <color indexed="64"/>
          </top>
          <bottom style="thin">
            <color indexed="64"/>
          </bottom>
        </border>
      </dxf>
    </rfmt>
    <rfmt sheetId="1" sqref="AF18" start="0" length="0">
      <dxf>
        <numFmt numFmtId="164" formatCode="_-* #,##0_-;\-* #,##0_-;_-* &quot;-&quot;??_-;_-@_-"/>
        <border outline="0">
          <left style="thin">
            <color indexed="64"/>
          </left>
          <right style="thin">
            <color indexed="64"/>
          </right>
          <top style="thin">
            <color indexed="64"/>
          </top>
          <bottom style="thin">
            <color indexed="64"/>
          </bottom>
        </border>
      </dxf>
    </rfmt>
    <rfmt sheetId="1" sqref="AG18" start="0" length="0">
      <dxf>
        <numFmt numFmtId="27" formatCode="dd/mm/yyyy\ h:mm"/>
        <border outline="0">
          <left style="thin">
            <color indexed="64"/>
          </left>
          <right style="thin">
            <color indexed="64"/>
          </right>
          <top style="thin">
            <color indexed="64"/>
          </top>
          <bottom style="thin">
            <color indexed="64"/>
          </bottom>
        </border>
      </dxf>
    </rfmt>
    <rfmt sheetId="1" sqref="AH18" start="0" length="0">
      <dxf>
        <numFmt numFmtId="164" formatCode="_-* #,##0_-;\-* #,##0_-;_-* &quot;-&quot;??_-;_-@_-"/>
        <border outline="0">
          <left style="thin">
            <color indexed="64"/>
          </left>
          <right style="thin">
            <color indexed="64"/>
          </right>
          <top style="thin">
            <color indexed="64"/>
          </top>
          <bottom style="thin">
            <color indexed="64"/>
          </bottom>
        </border>
      </dxf>
    </rfmt>
    <rfmt sheetId="1" sqref="AI18" start="0" length="0">
      <dxf>
        <border outline="0">
          <left style="thin">
            <color indexed="64"/>
          </left>
          <right style="thin">
            <color indexed="64"/>
          </right>
          <top style="thin">
            <color indexed="64"/>
          </top>
          <bottom style="thin">
            <color indexed="64"/>
          </bottom>
        </border>
      </dxf>
    </rfmt>
    <rfmt sheetId="1" sqref="AJ18" start="0" length="0">
      <dxf>
        <border outline="0">
          <left style="thin">
            <color indexed="64"/>
          </left>
          <right style="thin">
            <color indexed="64"/>
          </right>
          <top style="thin">
            <color indexed="64"/>
          </top>
          <bottom style="thin">
            <color indexed="64"/>
          </bottom>
        </border>
      </dxf>
    </rfmt>
    <rfmt sheetId="1" sqref="AK18" start="0" length="0">
      <dxf>
        <border outline="0">
          <left style="thin">
            <color indexed="64"/>
          </left>
          <right style="thin">
            <color indexed="64"/>
          </right>
          <top style="thin">
            <color indexed="64"/>
          </top>
          <bottom style="thin">
            <color indexed="64"/>
          </bottom>
        </border>
      </dxf>
    </rfmt>
    <rfmt sheetId="1" sqref="AL18" start="0" length="0">
      <dxf/>
    </rfmt>
    <rfmt sheetId="1" sqref="AM18" start="0" length="0">
      <dxf>
        <numFmt numFmtId="1" formatCode="0"/>
      </dxf>
    </rfmt>
    <rfmt sheetId="1" sqref="AN18" start="0" length="0">
      <dxf>
        <numFmt numFmtId="1" formatCode="0"/>
      </dxf>
    </rfmt>
    <rfmt sheetId="1" sqref="AO18" start="0" length="0">
      <dxf/>
    </rfmt>
    <rfmt sheetId="1" sqref="AP18" start="0" length="0">
      <dxf/>
    </rfmt>
    <rfmt sheetId="1" sqref="AQ18" start="0" length="0">
      <dxf>
        <numFmt numFmtId="164" formatCode="_-* #,##0_-;\-* #,##0_-;_-* &quot;-&quot;??_-;_-@_-"/>
      </dxf>
    </rfmt>
    <rfmt sheetId="1" sqref="AR18" start="0" length="0">
      <dxf>
        <numFmt numFmtId="164" formatCode="_-* #,##0_-;\-* #,##0_-;_-* &quot;-&quot;??_-;_-@_-"/>
      </dxf>
    </rfmt>
    <rfmt sheetId="1" sqref="AS18" start="0" length="0">
      <dxf>
        <numFmt numFmtId="164" formatCode="_-* #,##0_-;\-* #,##0_-;_-* &quot;-&quot;??_-;_-@_-"/>
      </dxf>
    </rfmt>
    <rfmt sheetId="1" sqref="AT18" start="0" length="0">
      <dxf>
        <numFmt numFmtId="164" formatCode="_-* #,##0_-;\-* #,##0_-;_-* &quot;-&quot;??_-;_-@_-"/>
      </dxf>
    </rfmt>
    <rfmt sheetId="1" sqref="AU18" start="0" length="0">
      <dxf/>
    </rfmt>
    <rfmt sheetId="1" sqref="AV18" start="0" length="0">
      <dxf/>
    </rfmt>
    <rfmt sheetId="1" sqref="AW18" start="0" length="0">
      <dxf/>
    </rfmt>
    <rfmt sheetId="1" sqref="AX18" start="0" length="0">
      <dxf/>
    </rfmt>
    <rfmt sheetId="1" sqref="AY18" start="0" length="0">
      <dxf/>
    </rfmt>
  </rrc>
  <rrc rId="497" sId="1" ref="A18:XFD18" action="deleteRow">
    <rfmt sheetId="1" xfDxf="1" sqref="A18:XFD18" start="0" length="0">
      <dxf>
        <font>
          <name val="Calibri"/>
          <scheme val="none"/>
        </font>
      </dxf>
    </rfmt>
    <rfmt sheetId="1" sqref="A18" start="0" length="0">
      <dxf>
        <alignment horizontal="center" vertical="top" readingOrder="0"/>
        <border outline="0">
          <left style="thin">
            <color indexed="64"/>
          </left>
          <right style="thin">
            <color indexed="64"/>
          </right>
          <top style="thin">
            <color indexed="64"/>
          </top>
          <bottom style="thin">
            <color indexed="64"/>
          </bottom>
        </border>
      </dxf>
    </rfmt>
    <rfmt sheetId="1" sqref="B18" start="0" length="0">
      <dxf>
        <border outline="0">
          <left style="thin">
            <color indexed="64"/>
          </left>
          <right style="thin">
            <color indexed="64"/>
          </right>
          <top style="thin">
            <color indexed="64"/>
          </top>
          <bottom style="thin">
            <color indexed="64"/>
          </bottom>
        </border>
      </dxf>
    </rfmt>
    <rfmt sheetId="1" sqref="C18" start="0" length="0">
      <dxf>
        <border outline="0">
          <left style="thin">
            <color indexed="64"/>
          </left>
          <right style="thin">
            <color indexed="64"/>
          </right>
          <top style="thin">
            <color indexed="64"/>
          </top>
          <bottom style="thin">
            <color indexed="64"/>
          </bottom>
        </border>
      </dxf>
    </rfmt>
    <rfmt sheetId="1" sqref="D18" start="0" length="0">
      <dxf>
        <border outline="0">
          <left style="thin">
            <color indexed="64"/>
          </left>
          <right style="thin">
            <color indexed="64"/>
          </right>
          <top style="thin">
            <color indexed="64"/>
          </top>
          <bottom style="thin">
            <color indexed="64"/>
          </bottom>
        </border>
      </dxf>
    </rfmt>
    <rfmt sheetId="1" sqref="E18" start="0" length="0">
      <dxf>
        <border outline="0">
          <left style="thin">
            <color indexed="64"/>
          </left>
          <right style="thin">
            <color indexed="64"/>
          </right>
          <top style="thin">
            <color indexed="64"/>
          </top>
          <bottom style="thin">
            <color indexed="64"/>
          </bottom>
        </border>
      </dxf>
    </rfmt>
    <rfmt sheetId="1" sqref="F18" start="0" length="0">
      <dxf>
        <numFmt numFmtId="19" formatCode="dd/mm/yyyy"/>
        <border outline="0">
          <left style="thin">
            <color indexed="64"/>
          </left>
          <right style="thin">
            <color indexed="64"/>
          </right>
          <top style="thin">
            <color indexed="64"/>
          </top>
          <bottom style="thin">
            <color indexed="64"/>
          </bottom>
        </border>
      </dxf>
    </rfmt>
    <rfmt sheetId="1" sqref="G18" start="0" length="0">
      <dxf>
        <numFmt numFmtId="19" formatCode="dd/mm/yyyy"/>
        <border outline="0">
          <left style="thin">
            <color indexed="64"/>
          </left>
          <right style="thin">
            <color indexed="64"/>
          </right>
          <top style="thin">
            <color indexed="64"/>
          </top>
          <bottom style="thin">
            <color indexed="64"/>
          </bottom>
        </border>
      </dxf>
    </rfmt>
    <rfmt sheetId="1" sqref="H18" start="0" length="0">
      <dxf>
        <numFmt numFmtId="164" formatCode="_-* #,##0_-;\-* #,##0_-;_-* &quot;-&quot;??_-;_-@_-"/>
        <border outline="0">
          <left style="thin">
            <color indexed="64"/>
          </left>
          <right style="thin">
            <color indexed="64"/>
          </right>
          <top style="thin">
            <color indexed="64"/>
          </top>
          <bottom style="thin">
            <color indexed="64"/>
          </bottom>
        </border>
      </dxf>
    </rfmt>
    <rfmt sheetId="1" sqref="I18" start="0" length="0">
      <dxf>
        <border outline="0">
          <left style="thin">
            <color indexed="64"/>
          </left>
          <right style="thin">
            <color indexed="64"/>
          </right>
          <top style="thin">
            <color indexed="64"/>
          </top>
          <bottom style="thin">
            <color indexed="64"/>
          </bottom>
        </border>
      </dxf>
    </rfmt>
    <rfmt sheetId="1" sqref="J18" start="0" length="0">
      <dxf>
        <border outline="0">
          <left style="thin">
            <color indexed="64"/>
          </left>
          <right style="thin">
            <color indexed="64"/>
          </right>
          <top style="thin">
            <color indexed="64"/>
          </top>
          <bottom style="thin">
            <color indexed="64"/>
          </bottom>
        </border>
      </dxf>
    </rfmt>
    <rfmt sheetId="1" sqref="K18" start="0" length="0">
      <dxf>
        <border outline="0">
          <left style="thin">
            <color indexed="64"/>
          </left>
          <right style="thin">
            <color indexed="64"/>
          </right>
          <top style="thin">
            <color indexed="64"/>
          </top>
          <bottom style="thin">
            <color indexed="64"/>
          </bottom>
        </border>
      </dxf>
    </rfmt>
    <rfmt sheetId="1" sqref="L18" start="0" length="0">
      <dxf>
        <numFmt numFmtId="35" formatCode="_-* #,##0.00_-;\-* #,##0.00_-;_-* &quot;-&quot;??_-;_-@_-"/>
        <border outline="0">
          <left style="thin">
            <color indexed="64"/>
          </left>
          <right style="thin">
            <color indexed="64"/>
          </right>
          <top style="thin">
            <color indexed="64"/>
          </top>
          <bottom style="thin">
            <color indexed="64"/>
          </bottom>
        </border>
      </dxf>
    </rfmt>
    <rcc rId="0" sId="1" dxf="1">
      <nc r="M18">
        <f>+N18-H18</f>
      </nc>
      <ndxf>
        <numFmt numFmtId="35" formatCode="_-* #,##0.00_-;\-* #,##0.00_-;_-* &quot;-&quot;??_-;_-@_-"/>
        <border outline="0">
          <left style="thin">
            <color indexed="64"/>
          </left>
          <right style="thin">
            <color indexed="64"/>
          </right>
          <top style="thin">
            <color indexed="64"/>
          </top>
          <bottom style="thin">
            <color indexed="64"/>
          </bottom>
        </border>
      </ndxf>
    </rcc>
    <rfmt sheetId="1" sqref="N18" start="0" length="0">
      <dxf>
        <numFmt numFmtId="35" formatCode="_-* #,##0.00_-;\-* #,##0.00_-;_-* &quot;-&quot;??_-;_-@_-"/>
        <border outline="0">
          <left style="thin">
            <color indexed="64"/>
          </left>
          <right style="thin">
            <color indexed="64"/>
          </right>
          <top style="thin">
            <color indexed="64"/>
          </top>
          <bottom style="thin">
            <color indexed="64"/>
          </bottom>
        </border>
      </dxf>
    </rfmt>
    <rfmt sheetId="1" sqref="O18" start="0" length="0">
      <dxf>
        <numFmt numFmtId="164" formatCode="_-* #,##0_-;\-* #,##0_-;_-* &quot;-&quot;??_-;_-@_-"/>
        <border outline="0">
          <left style="thin">
            <color indexed="64"/>
          </left>
          <right style="thin">
            <color indexed="64"/>
          </right>
          <top style="thin">
            <color indexed="64"/>
          </top>
          <bottom style="thin">
            <color indexed="64"/>
          </bottom>
        </border>
      </dxf>
    </rfmt>
    <rfmt sheetId="1" sqref="P18" start="0" length="0">
      <dxf>
        <numFmt numFmtId="164" formatCode="_-* #,##0_-;\-* #,##0_-;_-* &quot;-&quot;??_-;_-@_-"/>
        <border outline="0">
          <left style="thin">
            <color indexed="64"/>
          </left>
          <right style="thin">
            <color indexed="64"/>
          </right>
          <top style="thin">
            <color indexed="64"/>
          </top>
          <bottom style="thin">
            <color indexed="64"/>
          </bottom>
        </border>
      </dxf>
    </rfmt>
    <rfmt sheetId="1" sqref="Q18" start="0" length="0">
      <dxf>
        <numFmt numFmtId="164" formatCode="_-* #,##0_-;\-* #,##0_-;_-* &quot;-&quot;??_-;_-@_-"/>
        <border outline="0">
          <left style="thin">
            <color indexed="64"/>
          </left>
          <right style="thin">
            <color indexed="64"/>
          </right>
          <top style="thin">
            <color indexed="64"/>
          </top>
          <bottom style="thin">
            <color indexed="64"/>
          </bottom>
        </border>
      </dxf>
    </rfmt>
    <rfmt sheetId="1" sqref="R18" start="0" length="0">
      <dxf>
        <numFmt numFmtId="35" formatCode="_-* #,##0.00_-;\-* #,##0.00_-;_-* &quot;-&quot;??_-;_-@_-"/>
        <border outline="0">
          <left style="thin">
            <color indexed="64"/>
          </left>
          <right style="thin">
            <color indexed="64"/>
          </right>
          <top style="thin">
            <color indexed="64"/>
          </top>
          <bottom style="thin">
            <color indexed="64"/>
          </bottom>
        </border>
      </dxf>
    </rfmt>
    <rfmt sheetId="1" sqref="S18" start="0" length="0">
      <dxf>
        <numFmt numFmtId="35" formatCode="_-* #,##0.00_-;\-* #,##0.00_-;_-* &quot;-&quot;??_-;_-@_-"/>
        <border outline="0">
          <left style="thin">
            <color indexed="64"/>
          </left>
          <right style="thin">
            <color indexed="64"/>
          </right>
          <top style="thin">
            <color indexed="64"/>
          </top>
          <bottom style="thin">
            <color indexed="64"/>
          </bottom>
        </border>
      </dxf>
    </rfmt>
    <rfmt sheetId="1" sqref="T18" start="0" length="0">
      <dxf>
        <numFmt numFmtId="19" formatCode="dd/mm/yyyy"/>
        <border outline="0">
          <left style="thin">
            <color indexed="64"/>
          </left>
          <right style="thin">
            <color indexed="64"/>
          </right>
          <top style="thin">
            <color indexed="64"/>
          </top>
          <bottom style="thin">
            <color indexed="64"/>
          </bottom>
        </border>
      </dxf>
    </rfmt>
    <rfmt sheetId="1" sqref="U18" start="0" length="0">
      <dxf>
        <border outline="0">
          <left style="thin">
            <color indexed="64"/>
          </left>
          <right style="thin">
            <color indexed="64"/>
          </right>
          <top style="thin">
            <color indexed="64"/>
          </top>
          <bottom style="thin">
            <color indexed="64"/>
          </bottom>
        </border>
      </dxf>
    </rfmt>
    <rfmt sheetId="1" sqref="V18" start="0" length="0">
      <dxf>
        <border outline="0">
          <left style="thin">
            <color indexed="64"/>
          </left>
          <right style="thin">
            <color indexed="64"/>
          </right>
          <top style="thin">
            <color indexed="64"/>
          </top>
          <bottom style="thin">
            <color indexed="64"/>
          </bottom>
        </border>
      </dxf>
    </rfmt>
    <rfmt sheetId="1" sqref="W18" start="0" length="0">
      <dxf>
        <border outline="0">
          <left style="thin">
            <color indexed="64"/>
          </left>
          <right style="thin">
            <color indexed="64"/>
          </right>
          <top style="thin">
            <color indexed="64"/>
          </top>
          <bottom style="thin">
            <color indexed="64"/>
          </bottom>
        </border>
      </dxf>
    </rfmt>
    <rfmt sheetId="1" sqref="X18" start="0" length="0">
      <dxf>
        <border outline="0">
          <left style="thin">
            <color indexed="64"/>
          </left>
          <right style="thin">
            <color indexed="64"/>
          </right>
          <top style="thin">
            <color indexed="64"/>
          </top>
          <bottom style="thin">
            <color indexed="64"/>
          </bottom>
        </border>
      </dxf>
    </rfmt>
    <rfmt sheetId="1" sqref="Y18" start="0" length="0">
      <dxf>
        <border outline="0">
          <left style="thin">
            <color indexed="64"/>
          </left>
          <right style="thin">
            <color indexed="64"/>
          </right>
          <top style="thin">
            <color indexed="64"/>
          </top>
          <bottom style="thin">
            <color indexed="64"/>
          </bottom>
        </border>
      </dxf>
    </rfmt>
    <rfmt sheetId="1" sqref="Z18" start="0" length="0">
      <dxf>
        <border outline="0">
          <left style="thin">
            <color indexed="64"/>
          </left>
          <right style="thin">
            <color indexed="64"/>
          </right>
          <top style="thin">
            <color indexed="64"/>
          </top>
          <bottom style="thin">
            <color indexed="64"/>
          </bottom>
        </border>
      </dxf>
    </rfmt>
    <rfmt sheetId="1" sqref="AA18" start="0" length="0">
      <dxf>
        <border outline="0">
          <left style="thin">
            <color indexed="64"/>
          </left>
          <right style="thin">
            <color indexed="64"/>
          </right>
          <top style="thin">
            <color indexed="64"/>
          </top>
          <bottom style="thin">
            <color indexed="64"/>
          </bottom>
        </border>
      </dxf>
    </rfmt>
    <rfmt sheetId="1" sqref="AB18" start="0" length="0">
      <dxf>
        <border outline="0">
          <left style="thin">
            <color indexed="64"/>
          </left>
          <right style="thin">
            <color indexed="64"/>
          </right>
          <top style="thin">
            <color indexed="64"/>
          </top>
          <bottom style="thin">
            <color indexed="64"/>
          </bottom>
        </border>
      </dxf>
    </rfmt>
    <rfmt sheetId="1" sqref="AC18" start="0" length="0">
      <dxf>
        <border outline="0">
          <left style="thin">
            <color indexed="64"/>
          </left>
          <right style="thin">
            <color indexed="64"/>
          </right>
          <top style="thin">
            <color indexed="64"/>
          </top>
          <bottom style="thin">
            <color indexed="64"/>
          </bottom>
        </border>
      </dxf>
    </rfmt>
    <rfmt sheetId="1" sqref="AD18" start="0" length="0">
      <dxf>
        <numFmt numFmtId="164" formatCode="_-* #,##0_-;\-* #,##0_-;_-* &quot;-&quot;??_-;_-@_-"/>
        <border outline="0">
          <left style="thin">
            <color indexed="64"/>
          </left>
          <right style="thin">
            <color indexed="64"/>
          </right>
          <top style="thin">
            <color indexed="64"/>
          </top>
          <bottom style="thin">
            <color indexed="64"/>
          </bottom>
        </border>
      </dxf>
    </rfmt>
    <rfmt sheetId="1" sqref="AE18" start="0" length="0">
      <dxf>
        <numFmt numFmtId="27" formatCode="dd/mm/yyyy\ h:mm"/>
        <border outline="0">
          <left style="thin">
            <color indexed="64"/>
          </left>
          <right style="thin">
            <color indexed="64"/>
          </right>
          <top style="thin">
            <color indexed="64"/>
          </top>
          <bottom style="thin">
            <color indexed="64"/>
          </bottom>
        </border>
      </dxf>
    </rfmt>
    <rfmt sheetId="1" sqref="AF18" start="0" length="0">
      <dxf>
        <numFmt numFmtId="164" formatCode="_-* #,##0_-;\-* #,##0_-;_-* &quot;-&quot;??_-;_-@_-"/>
        <border outline="0">
          <left style="thin">
            <color indexed="64"/>
          </left>
          <right style="thin">
            <color indexed="64"/>
          </right>
          <top style="thin">
            <color indexed="64"/>
          </top>
          <bottom style="thin">
            <color indexed="64"/>
          </bottom>
        </border>
      </dxf>
    </rfmt>
    <rfmt sheetId="1" sqref="AG18" start="0" length="0">
      <dxf>
        <numFmt numFmtId="27" formatCode="dd/mm/yyyy\ h:mm"/>
        <border outline="0">
          <left style="thin">
            <color indexed="64"/>
          </left>
          <right style="thin">
            <color indexed="64"/>
          </right>
          <top style="thin">
            <color indexed="64"/>
          </top>
          <bottom style="thin">
            <color indexed="64"/>
          </bottom>
        </border>
      </dxf>
    </rfmt>
    <rfmt sheetId="1" sqref="AH18" start="0" length="0">
      <dxf>
        <numFmt numFmtId="164" formatCode="_-* #,##0_-;\-* #,##0_-;_-* &quot;-&quot;??_-;_-@_-"/>
        <border outline="0">
          <left style="thin">
            <color indexed="64"/>
          </left>
          <right style="thin">
            <color indexed="64"/>
          </right>
          <top style="thin">
            <color indexed="64"/>
          </top>
          <bottom style="thin">
            <color indexed="64"/>
          </bottom>
        </border>
      </dxf>
    </rfmt>
    <rfmt sheetId="1" sqref="AI18" start="0" length="0">
      <dxf>
        <border outline="0">
          <left style="thin">
            <color indexed="64"/>
          </left>
          <right style="thin">
            <color indexed="64"/>
          </right>
          <top style="thin">
            <color indexed="64"/>
          </top>
          <bottom style="thin">
            <color indexed="64"/>
          </bottom>
        </border>
      </dxf>
    </rfmt>
    <rfmt sheetId="1" sqref="AJ18" start="0" length="0">
      <dxf>
        <border outline="0">
          <left style="thin">
            <color indexed="64"/>
          </left>
          <right style="thin">
            <color indexed="64"/>
          </right>
          <top style="thin">
            <color indexed="64"/>
          </top>
          <bottom style="thin">
            <color indexed="64"/>
          </bottom>
        </border>
      </dxf>
    </rfmt>
    <rfmt sheetId="1" sqref="AK18" start="0" length="0">
      <dxf>
        <border outline="0">
          <left style="thin">
            <color indexed="64"/>
          </left>
          <right style="thin">
            <color indexed="64"/>
          </right>
          <top style="thin">
            <color indexed="64"/>
          </top>
          <bottom style="thin">
            <color indexed="64"/>
          </bottom>
        </border>
      </dxf>
    </rfmt>
    <rfmt sheetId="1" sqref="AL18" start="0" length="0">
      <dxf/>
    </rfmt>
    <rfmt sheetId="1" sqref="AM18" start="0" length="0">
      <dxf>
        <numFmt numFmtId="1" formatCode="0"/>
      </dxf>
    </rfmt>
    <rfmt sheetId="1" sqref="AN18" start="0" length="0">
      <dxf>
        <numFmt numFmtId="1" formatCode="0"/>
      </dxf>
    </rfmt>
    <rfmt sheetId="1" sqref="AO18" start="0" length="0">
      <dxf/>
    </rfmt>
    <rfmt sheetId="1" sqref="AP18" start="0" length="0">
      <dxf/>
    </rfmt>
    <rfmt sheetId="1" sqref="AQ18" start="0" length="0">
      <dxf>
        <numFmt numFmtId="164" formatCode="_-* #,##0_-;\-* #,##0_-;_-* &quot;-&quot;??_-;_-@_-"/>
      </dxf>
    </rfmt>
    <rfmt sheetId="1" sqref="AR18" start="0" length="0">
      <dxf>
        <numFmt numFmtId="164" formatCode="_-* #,##0_-;\-* #,##0_-;_-* &quot;-&quot;??_-;_-@_-"/>
      </dxf>
    </rfmt>
    <rfmt sheetId="1" sqref="AS18" start="0" length="0">
      <dxf>
        <numFmt numFmtId="164" formatCode="_-* #,##0_-;\-* #,##0_-;_-* &quot;-&quot;??_-;_-@_-"/>
      </dxf>
    </rfmt>
    <rfmt sheetId="1" sqref="AT18" start="0" length="0">
      <dxf>
        <numFmt numFmtId="164" formatCode="_-* #,##0_-;\-* #,##0_-;_-* &quot;-&quot;??_-;_-@_-"/>
      </dxf>
    </rfmt>
    <rfmt sheetId="1" sqref="AU18" start="0" length="0">
      <dxf/>
    </rfmt>
    <rfmt sheetId="1" sqref="AV18" start="0" length="0">
      <dxf/>
    </rfmt>
    <rfmt sheetId="1" sqref="AW18" start="0" length="0">
      <dxf/>
    </rfmt>
    <rfmt sheetId="1" sqref="AX18" start="0" length="0">
      <dxf/>
    </rfmt>
    <rfmt sheetId="1" sqref="AY18" start="0" length="0">
      <dxf/>
    </rfmt>
  </rrc>
  <rrc rId="498" sId="1" ref="A18:XFD18" action="deleteRow">
    <rfmt sheetId="1" xfDxf="1" sqref="A18:XFD18" start="0" length="0">
      <dxf>
        <font>
          <name val="Calibri"/>
          <scheme val="none"/>
        </font>
      </dxf>
    </rfmt>
    <rfmt sheetId="1" sqref="A18" start="0" length="0">
      <dxf>
        <alignment horizontal="center" vertical="top" readingOrder="0"/>
        <border outline="0">
          <left style="thin">
            <color indexed="64"/>
          </left>
          <right style="thin">
            <color indexed="64"/>
          </right>
          <top style="thin">
            <color indexed="64"/>
          </top>
          <bottom style="thin">
            <color indexed="64"/>
          </bottom>
        </border>
      </dxf>
    </rfmt>
    <rfmt sheetId="1" sqref="B18" start="0" length="0">
      <dxf>
        <border outline="0">
          <left style="thin">
            <color indexed="64"/>
          </left>
          <right style="thin">
            <color indexed="64"/>
          </right>
          <top style="thin">
            <color indexed="64"/>
          </top>
          <bottom style="thin">
            <color indexed="64"/>
          </bottom>
        </border>
      </dxf>
    </rfmt>
    <rfmt sheetId="1" sqref="C18" start="0" length="0">
      <dxf>
        <border outline="0">
          <left style="thin">
            <color indexed="64"/>
          </left>
          <right style="thin">
            <color indexed="64"/>
          </right>
          <top style="thin">
            <color indexed="64"/>
          </top>
          <bottom style="thin">
            <color indexed="64"/>
          </bottom>
        </border>
      </dxf>
    </rfmt>
    <rfmt sheetId="1" sqref="D18" start="0" length="0">
      <dxf>
        <border outline="0">
          <left style="thin">
            <color indexed="64"/>
          </left>
          <right style="thin">
            <color indexed="64"/>
          </right>
          <top style="thin">
            <color indexed="64"/>
          </top>
          <bottom style="thin">
            <color indexed="64"/>
          </bottom>
        </border>
      </dxf>
    </rfmt>
    <rfmt sheetId="1" sqref="E18" start="0" length="0">
      <dxf>
        <border outline="0">
          <left style="thin">
            <color indexed="64"/>
          </left>
          <right style="thin">
            <color indexed="64"/>
          </right>
          <top style="thin">
            <color indexed="64"/>
          </top>
          <bottom style="thin">
            <color indexed="64"/>
          </bottom>
        </border>
      </dxf>
    </rfmt>
    <rfmt sheetId="1" sqref="F18" start="0" length="0">
      <dxf>
        <numFmt numFmtId="19" formatCode="dd/mm/yyyy"/>
        <border outline="0">
          <left style="thin">
            <color indexed="64"/>
          </left>
          <right style="thin">
            <color indexed="64"/>
          </right>
          <top style="thin">
            <color indexed="64"/>
          </top>
          <bottom style="thin">
            <color indexed="64"/>
          </bottom>
        </border>
      </dxf>
    </rfmt>
    <rfmt sheetId="1" sqref="G18" start="0" length="0">
      <dxf>
        <numFmt numFmtId="19" formatCode="dd/mm/yyyy"/>
        <border outline="0">
          <left style="thin">
            <color indexed="64"/>
          </left>
          <right style="thin">
            <color indexed="64"/>
          </right>
          <top style="thin">
            <color indexed="64"/>
          </top>
          <bottom style="thin">
            <color indexed="64"/>
          </bottom>
        </border>
      </dxf>
    </rfmt>
    <rfmt sheetId="1" sqref="H18" start="0" length="0">
      <dxf>
        <numFmt numFmtId="164" formatCode="_-* #,##0_-;\-* #,##0_-;_-* &quot;-&quot;??_-;_-@_-"/>
        <border outline="0">
          <left style="thin">
            <color indexed="64"/>
          </left>
          <right style="thin">
            <color indexed="64"/>
          </right>
          <top style="thin">
            <color indexed="64"/>
          </top>
          <bottom style="thin">
            <color indexed="64"/>
          </bottom>
        </border>
      </dxf>
    </rfmt>
    <rfmt sheetId="1" sqref="I18" start="0" length="0">
      <dxf>
        <border outline="0">
          <left style="thin">
            <color indexed="64"/>
          </left>
          <right style="thin">
            <color indexed="64"/>
          </right>
          <top style="thin">
            <color indexed="64"/>
          </top>
          <bottom style="thin">
            <color indexed="64"/>
          </bottom>
        </border>
      </dxf>
    </rfmt>
    <rfmt sheetId="1" sqref="J18" start="0" length="0">
      <dxf>
        <border outline="0">
          <left style="thin">
            <color indexed="64"/>
          </left>
          <right style="thin">
            <color indexed="64"/>
          </right>
          <top style="thin">
            <color indexed="64"/>
          </top>
          <bottom style="thin">
            <color indexed="64"/>
          </bottom>
        </border>
      </dxf>
    </rfmt>
    <rfmt sheetId="1" sqref="K18" start="0" length="0">
      <dxf>
        <border outline="0">
          <left style="thin">
            <color indexed="64"/>
          </left>
          <right style="thin">
            <color indexed="64"/>
          </right>
          <top style="thin">
            <color indexed="64"/>
          </top>
          <bottom style="thin">
            <color indexed="64"/>
          </bottom>
        </border>
      </dxf>
    </rfmt>
    <rfmt sheetId="1" sqref="L18" start="0" length="0">
      <dxf>
        <numFmt numFmtId="35" formatCode="_-* #,##0.00_-;\-* #,##0.00_-;_-* &quot;-&quot;??_-;_-@_-"/>
        <border outline="0">
          <left style="thin">
            <color indexed="64"/>
          </left>
          <right style="thin">
            <color indexed="64"/>
          </right>
          <top style="thin">
            <color indexed="64"/>
          </top>
          <bottom style="thin">
            <color indexed="64"/>
          </bottom>
        </border>
      </dxf>
    </rfmt>
    <rcc rId="0" sId="1" dxf="1">
      <nc r="M18">
        <f>+N18-H18</f>
      </nc>
      <ndxf>
        <numFmt numFmtId="35" formatCode="_-* #,##0.00_-;\-* #,##0.00_-;_-* &quot;-&quot;??_-;_-@_-"/>
        <border outline="0">
          <left style="thin">
            <color indexed="64"/>
          </left>
          <right style="thin">
            <color indexed="64"/>
          </right>
          <top style="thin">
            <color indexed="64"/>
          </top>
          <bottom style="thin">
            <color indexed="64"/>
          </bottom>
        </border>
      </ndxf>
    </rcc>
    <rfmt sheetId="1" sqref="N18" start="0" length="0">
      <dxf>
        <numFmt numFmtId="35" formatCode="_-* #,##0.00_-;\-* #,##0.00_-;_-* &quot;-&quot;??_-;_-@_-"/>
        <border outline="0">
          <left style="thin">
            <color indexed="64"/>
          </left>
          <right style="thin">
            <color indexed="64"/>
          </right>
          <top style="thin">
            <color indexed="64"/>
          </top>
          <bottom style="thin">
            <color indexed="64"/>
          </bottom>
        </border>
      </dxf>
    </rfmt>
    <rfmt sheetId="1" sqref="O18" start="0" length="0">
      <dxf>
        <numFmt numFmtId="164" formatCode="_-* #,##0_-;\-* #,##0_-;_-* &quot;-&quot;??_-;_-@_-"/>
        <border outline="0">
          <left style="thin">
            <color indexed="64"/>
          </left>
          <right style="thin">
            <color indexed="64"/>
          </right>
          <top style="thin">
            <color indexed="64"/>
          </top>
          <bottom style="thin">
            <color indexed="64"/>
          </bottom>
        </border>
      </dxf>
    </rfmt>
    <rfmt sheetId="1" sqref="P18" start="0" length="0">
      <dxf>
        <numFmt numFmtId="164" formatCode="_-* #,##0_-;\-* #,##0_-;_-* &quot;-&quot;??_-;_-@_-"/>
        <border outline="0">
          <left style="thin">
            <color indexed="64"/>
          </left>
          <right style="thin">
            <color indexed="64"/>
          </right>
          <top style="thin">
            <color indexed="64"/>
          </top>
          <bottom style="thin">
            <color indexed="64"/>
          </bottom>
        </border>
      </dxf>
    </rfmt>
    <rfmt sheetId="1" sqref="Q18" start="0" length="0">
      <dxf>
        <numFmt numFmtId="164" formatCode="_-* #,##0_-;\-* #,##0_-;_-* &quot;-&quot;??_-;_-@_-"/>
        <border outline="0">
          <left style="thin">
            <color indexed="64"/>
          </left>
          <right style="thin">
            <color indexed="64"/>
          </right>
          <top style="thin">
            <color indexed="64"/>
          </top>
          <bottom style="thin">
            <color indexed="64"/>
          </bottom>
        </border>
      </dxf>
    </rfmt>
    <rfmt sheetId="1" sqref="R18" start="0" length="0">
      <dxf>
        <numFmt numFmtId="35" formatCode="_-* #,##0.00_-;\-* #,##0.00_-;_-* &quot;-&quot;??_-;_-@_-"/>
        <border outline="0">
          <left style="thin">
            <color indexed="64"/>
          </left>
          <right style="thin">
            <color indexed="64"/>
          </right>
          <top style="thin">
            <color indexed="64"/>
          </top>
          <bottom style="thin">
            <color indexed="64"/>
          </bottom>
        </border>
      </dxf>
    </rfmt>
    <rfmt sheetId="1" sqref="S18" start="0" length="0">
      <dxf>
        <numFmt numFmtId="35" formatCode="_-* #,##0.00_-;\-* #,##0.00_-;_-* &quot;-&quot;??_-;_-@_-"/>
        <border outline="0">
          <left style="thin">
            <color indexed="64"/>
          </left>
          <right style="thin">
            <color indexed="64"/>
          </right>
          <top style="thin">
            <color indexed="64"/>
          </top>
          <bottom style="thin">
            <color indexed="64"/>
          </bottom>
        </border>
      </dxf>
    </rfmt>
    <rfmt sheetId="1" sqref="T18" start="0" length="0">
      <dxf>
        <numFmt numFmtId="19" formatCode="dd/mm/yyyy"/>
        <border outline="0">
          <left style="thin">
            <color indexed="64"/>
          </left>
          <right style="thin">
            <color indexed="64"/>
          </right>
          <top style="thin">
            <color indexed="64"/>
          </top>
          <bottom style="thin">
            <color indexed="64"/>
          </bottom>
        </border>
      </dxf>
    </rfmt>
    <rfmt sheetId="1" sqref="U18" start="0" length="0">
      <dxf>
        <border outline="0">
          <left style="thin">
            <color indexed="64"/>
          </left>
          <right style="thin">
            <color indexed="64"/>
          </right>
          <top style="thin">
            <color indexed="64"/>
          </top>
          <bottom style="thin">
            <color indexed="64"/>
          </bottom>
        </border>
      </dxf>
    </rfmt>
    <rfmt sheetId="1" sqref="V18" start="0" length="0">
      <dxf>
        <border outline="0">
          <left style="thin">
            <color indexed="64"/>
          </left>
          <right style="thin">
            <color indexed="64"/>
          </right>
          <top style="thin">
            <color indexed="64"/>
          </top>
          <bottom style="thin">
            <color indexed="64"/>
          </bottom>
        </border>
      </dxf>
    </rfmt>
    <rfmt sheetId="1" sqref="W18" start="0" length="0">
      <dxf>
        <border outline="0">
          <left style="thin">
            <color indexed="64"/>
          </left>
          <right style="thin">
            <color indexed="64"/>
          </right>
          <top style="thin">
            <color indexed="64"/>
          </top>
          <bottom style="thin">
            <color indexed="64"/>
          </bottom>
        </border>
      </dxf>
    </rfmt>
    <rfmt sheetId="1" sqref="X18" start="0" length="0">
      <dxf>
        <border outline="0">
          <left style="thin">
            <color indexed="64"/>
          </left>
          <right style="thin">
            <color indexed="64"/>
          </right>
          <top style="thin">
            <color indexed="64"/>
          </top>
          <bottom style="thin">
            <color indexed="64"/>
          </bottom>
        </border>
      </dxf>
    </rfmt>
    <rfmt sheetId="1" sqref="Y18" start="0" length="0">
      <dxf>
        <border outline="0">
          <left style="thin">
            <color indexed="64"/>
          </left>
          <right style="thin">
            <color indexed="64"/>
          </right>
          <top style="thin">
            <color indexed="64"/>
          </top>
          <bottom style="thin">
            <color indexed="64"/>
          </bottom>
        </border>
      </dxf>
    </rfmt>
    <rfmt sheetId="1" sqref="Z18" start="0" length="0">
      <dxf>
        <border outline="0">
          <left style="thin">
            <color indexed="64"/>
          </left>
          <right style="thin">
            <color indexed="64"/>
          </right>
          <top style="thin">
            <color indexed="64"/>
          </top>
          <bottom style="thin">
            <color indexed="64"/>
          </bottom>
        </border>
      </dxf>
    </rfmt>
    <rfmt sheetId="1" sqref="AA18" start="0" length="0">
      <dxf>
        <border outline="0">
          <left style="thin">
            <color indexed="64"/>
          </left>
          <right style="thin">
            <color indexed="64"/>
          </right>
          <top style="thin">
            <color indexed="64"/>
          </top>
          <bottom style="thin">
            <color indexed="64"/>
          </bottom>
        </border>
      </dxf>
    </rfmt>
    <rfmt sheetId="1" sqref="AB18" start="0" length="0">
      <dxf>
        <border outline="0">
          <left style="thin">
            <color indexed="64"/>
          </left>
          <right style="thin">
            <color indexed="64"/>
          </right>
          <top style="thin">
            <color indexed="64"/>
          </top>
          <bottom style="thin">
            <color indexed="64"/>
          </bottom>
        </border>
      </dxf>
    </rfmt>
    <rfmt sheetId="1" sqref="AC18" start="0" length="0">
      <dxf>
        <border outline="0">
          <left style="thin">
            <color indexed="64"/>
          </left>
          <right style="thin">
            <color indexed="64"/>
          </right>
          <top style="thin">
            <color indexed="64"/>
          </top>
          <bottom style="thin">
            <color indexed="64"/>
          </bottom>
        </border>
      </dxf>
    </rfmt>
    <rfmt sheetId="1" sqref="AD18" start="0" length="0">
      <dxf>
        <numFmt numFmtId="164" formatCode="_-* #,##0_-;\-* #,##0_-;_-* &quot;-&quot;??_-;_-@_-"/>
        <border outline="0">
          <left style="thin">
            <color indexed="64"/>
          </left>
          <right style="thin">
            <color indexed="64"/>
          </right>
          <top style="thin">
            <color indexed="64"/>
          </top>
          <bottom style="thin">
            <color indexed="64"/>
          </bottom>
        </border>
      </dxf>
    </rfmt>
    <rfmt sheetId="1" sqref="AE18" start="0" length="0">
      <dxf>
        <numFmt numFmtId="27" formatCode="dd/mm/yyyy\ h:mm"/>
        <border outline="0">
          <left style="thin">
            <color indexed="64"/>
          </left>
          <right style="thin">
            <color indexed="64"/>
          </right>
          <top style="thin">
            <color indexed="64"/>
          </top>
          <bottom style="thin">
            <color indexed="64"/>
          </bottom>
        </border>
      </dxf>
    </rfmt>
    <rfmt sheetId="1" sqref="AF18" start="0" length="0">
      <dxf>
        <numFmt numFmtId="164" formatCode="_-* #,##0_-;\-* #,##0_-;_-* &quot;-&quot;??_-;_-@_-"/>
        <border outline="0">
          <left style="thin">
            <color indexed="64"/>
          </left>
          <right style="thin">
            <color indexed="64"/>
          </right>
          <top style="thin">
            <color indexed="64"/>
          </top>
          <bottom style="thin">
            <color indexed="64"/>
          </bottom>
        </border>
      </dxf>
    </rfmt>
    <rfmt sheetId="1" sqref="AG18" start="0" length="0">
      <dxf>
        <numFmt numFmtId="27" formatCode="dd/mm/yyyy\ h:mm"/>
        <border outline="0">
          <left style="thin">
            <color indexed="64"/>
          </left>
          <right style="thin">
            <color indexed="64"/>
          </right>
          <top style="thin">
            <color indexed="64"/>
          </top>
          <bottom style="thin">
            <color indexed="64"/>
          </bottom>
        </border>
      </dxf>
    </rfmt>
    <rfmt sheetId="1" sqref="AH18" start="0" length="0">
      <dxf>
        <numFmt numFmtId="164" formatCode="_-* #,##0_-;\-* #,##0_-;_-* &quot;-&quot;??_-;_-@_-"/>
        <border outline="0">
          <left style="thin">
            <color indexed="64"/>
          </left>
          <right style="thin">
            <color indexed="64"/>
          </right>
          <top style="thin">
            <color indexed="64"/>
          </top>
          <bottom style="thin">
            <color indexed="64"/>
          </bottom>
        </border>
      </dxf>
    </rfmt>
    <rfmt sheetId="1" sqref="AI18" start="0" length="0">
      <dxf>
        <border outline="0">
          <left style="thin">
            <color indexed="64"/>
          </left>
          <right style="thin">
            <color indexed="64"/>
          </right>
          <top style="thin">
            <color indexed="64"/>
          </top>
          <bottom style="thin">
            <color indexed="64"/>
          </bottom>
        </border>
      </dxf>
    </rfmt>
    <rfmt sheetId="1" sqref="AJ18" start="0" length="0">
      <dxf>
        <border outline="0">
          <left style="thin">
            <color indexed="64"/>
          </left>
          <right style="thin">
            <color indexed="64"/>
          </right>
          <top style="thin">
            <color indexed="64"/>
          </top>
          <bottom style="thin">
            <color indexed="64"/>
          </bottom>
        </border>
      </dxf>
    </rfmt>
    <rfmt sheetId="1" sqref="AK18" start="0" length="0">
      <dxf>
        <border outline="0">
          <left style="thin">
            <color indexed="64"/>
          </left>
          <right style="thin">
            <color indexed="64"/>
          </right>
          <top style="thin">
            <color indexed="64"/>
          </top>
          <bottom style="thin">
            <color indexed="64"/>
          </bottom>
        </border>
      </dxf>
    </rfmt>
    <rfmt sheetId="1" sqref="AL18" start="0" length="0">
      <dxf/>
    </rfmt>
    <rfmt sheetId="1" sqref="AM18" start="0" length="0">
      <dxf>
        <numFmt numFmtId="1" formatCode="0"/>
      </dxf>
    </rfmt>
    <rfmt sheetId="1" sqref="AN18" start="0" length="0">
      <dxf>
        <numFmt numFmtId="1" formatCode="0"/>
      </dxf>
    </rfmt>
    <rfmt sheetId="1" sqref="AO18" start="0" length="0">
      <dxf/>
    </rfmt>
    <rfmt sheetId="1" sqref="AP18" start="0" length="0">
      <dxf/>
    </rfmt>
    <rfmt sheetId="1" sqref="AQ18" start="0" length="0">
      <dxf>
        <numFmt numFmtId="164" formatCode="_-* #,##0_-;\-* #,##0_-;_-* &quot;-&quot;??_-;_-@_-"/>
      </dxf>
    </rfmt>
    <rfmt sheetId="1" sqref="AR18" start="0" length="0">
      <dxf>
        <numFmt numFmtId="164" formatCode="_-* #,##0_-;\-* #,##0_-;_-* &quot;-&quot;??_-;_-@_-"/>
      </dxf>
    </rfmt>
    <rfmt sheetId="1" sqref="AS18" start="0" length="0">
      <dxf>
        <numFmt numFmtId="164" formatCode="_-* #,##0_-;\-* #,##0_-;_-* &quot;-&quot;??_-;_-@_-"/>
      </dxf>
    </rfmt>
    <rfmt sheetId="1" sqref="AT18" start="0" length="0">
      <dxf>
        <numFmt numFmtId="164" formatCode="_-* #,##0_-;\-* #,##0_-;_-* &quot;-&quot;??_-;_-@_-"/>
      </dxf>
    </rfmt>
    <rfmt sheetId="1" sqref="AU18" start="0" length="0">
      <dxf/>
    </rfmt>
    <rfmt sheetId="1" sqref="AV18" start="0" length="0">
      <dxf/>
    </rfmt>
    <rfmt sheetId="1" sqref="AW18" start="0" length="0">
      <dxf/>
    </rfmt>
    <rfmt sheetId="1" sqref="AX18" start="0" length="0">
      <dxf/>
    </rfmt>
    <rfmt sheetId="1" sqref="AY18" start="0" length="0">
      <dxf/>
    </rfmt>
  </rrc>
  <rcv guid="{D015136D-255F-4042-9389-EB535F138010}" action="delete"/>
  <rdn rId="0" localSheetId="1" customView="1" name="Z_D015136D_255F_4042_9389_EB535F138010_.wvu.FilterData" hidden="1" oldHidden="1">
    <formula>DATA!$A$1:$AY$30</formula>
    <oldFormula>DATA!$A$1:$AY$30</oldFormula>
  </rdn>
  <rcv guid="{D015136D-255F-4042-9389-EB535F138010}" action="add"/>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DATA!$A$1:$AY$30</formula>
    <oldFormula>DATA!$A$1:$AY$30</oldFormula>
  </rdn>
  <rcv guid="{D015136D-255F-4042-9389-EB535F138010}" action="add"/>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1" sId="1">
    <nc r="N10">
      <f>2318.9+1500</f>
    </nc>
  </rcc>
  <rcc rId="502" sId="1" numFmtId="34">
    <nc r="O10">
      <v>10</v>
    </nc>
  </rcc>
  <rcc rId="503" sId="1" numFmtId="34">
    <nc r="P10">
      <v>8</v>
    </nc>
  </rcc>
  <rcc rId="504" sId="1" numFmtId="19">
    <nc r="T10">
      <v>46038</v>
    </nc>
  </rcc>
  <rcc rId="505" sId="1">
    <nc r="U10" t="inlineStr">
      <is>
        <t>SI</t>
      </is>
    </nc>
  </rcc>
  <rcc rId="506" sId="1">
    <nc r="V10" t="inlineStr">
      <is>
        <t>SI</t>
      </is>
    </nc>
  </rcc>
  <rcc rId="507" sId="1">
    <nc r="W10" t="inlineStr">
      <is>
        <t>SI</t>
      </is>
    </nc>
  </rcc>
  <rcc rId="508" sId="1">
    <nc r="Y10" t="inlineStr">
      <is>
        <t>BEC 5634</t>
      </is>
    </nc>
  </rcc>
  <rcc rId="509" sId="1" numFmtId="34">
    <nc r="AD10">
      <v>78912</v>
    </nc>
  </rcc>
  <rcc rId="510" sId="1" numFmtId="27">
    <nc r="AE10">
      <v>46035.381944444445</v>
    </nc>
  </rcc>
  <rcc rId="511" sId="1" numFmtId="34">
    <nc r="AF10">
      <v>79558</v>
    </nc>
  </rcc>
  <rcc rId="512" sId="1" numFmtId="27">
    <nc r="AG10">
      <v>46038.376388888886</v>
    </nc>
  </rcc>
  <rcc rId="513" sId="1">
    <nc r="AI10">
      <v>3</v>
    </nc>
  </rcc>
  <rcc rId="514" sId="1">
    <nc r="AM10">
      <f>+AH10/Q10</f>
    </nc>
  </rcc>
  <rcc rId="515" sId="1">
    <nc r="AN10">
      <f>+Q10/AI10</f>
    </nc>
  </rcc>
  <rcc rId="516" sId="1">
    <nc r="AQ10">
      <f>+N10/78.54</f>
    </nc>
  </rcc>
  <rcc rId="517" sId="1">
    <nc r="AR10">
      <f>+AH10/11</f>
    </nc>
  </rcc>
  <rcc rId="518" sId="1">
    <nc r="AS10">
      <f>+AR10-AQ10</f>
    </nc>
  </rcc>
  <rcc rId="519" sId="1">
    <nc r="AT10">
      <f>+AH10/AQ10</f>
    </nc>
  </rcc>
  <rfmt sheetId="1" sqref="A10:AK10">
    <dxf>
      <fill>
        <patternFill patternType="solid">
          <bgColor rgb="FF92D050"/>
        </patternFill>
      </fill>
    </dxf>
  </rfmt>
  <rcv guid="{D015136D-255F-4042-9389-EB535F138010}" action="delete"/>
  <rdn rId="0" localSheetId="1" customView="1" name="Z_D015136D_255F_4042_9389_EB535F138010_.wvu.FilterData" hidden="1" oldHidden="1">
    <formula>DATA!$A$1:$AY$30</formula>
    <oldFormula>DATA!$A$1:$AY$30</oldFormula>
  </rdn>
  <rcv guid="{D015136D-255F-4042-9389-EB535F138010}" action="add"/>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1" sId="1">
    <nc r="N9">
      <f>3005+1400</f>
    </nc>
  </rcc>
  <rcc rId="522" sId="1" numFmtId="34">
    <nc r="O9">
      <v>9</v>
    </nc>
  </rcc>
  <rcc rId="523" sId="1">
    <nc r="P9">
      <f>11+10</f>
    </nc>
  </rcc>
  <rcc rId="524" sId="1">
    <nc r="N11">
      <f>2200.7+2479.5+2745+804</f>
    </nc>
  </rcc>
  <rcc rId="525" sId="1">
    <nc r="P11">
      <f>20+5</f>
    </nc>
  </rcc>
  <rcc rId="526" sId="1" numFmtId="19">
    <nc r="T11">
      <v>46038</v>
    </nc>
  </rcc>
  <rcc rId="527" sId="1">
    <nc r="U11" t="inlineStr">
      <is>
        <t>SI</t>
      </is>
    </nc>
  </rcc>
  <rcc rId="528" sId="1">
    <nc r="V11" t="inlineStr">
      <is>
        <t>SI</t>
      </is>
    </nc>
  </rcc>
  <rcc rId="529" sId="1">
    <nc r="W11" t="inlineStr">
      <is>
        <t>SI</t>
      </is>
    </nc>
  </rcc>
  <rcc rId="530" sId="1">
    <nc r="Y11" t="inlineStr">
      <is>
        <t>BED 8545</t>
      </is>
    </nc>
  </rcc>
  <rcc rId="531" sId="1" numFmtId="34">
    <nc r="AD11">
      <v>21718</v>
    </nc>
  </rcc>
  <rcc rId="532" sId="1" numFmtId="27">
    <nc r="AE11">
      <v>46034.680555555555</v>
    </nc>
  </rcc>
  <rcc rId="533" sId="1" numFmtId="34">
    <nc r="AF11">
      <v>23015</v>
    </nc>
  </rcc>
  <rcc rId="534" sId="1" numFmtId="27">
    <nc r="AG11">
      <v>46038.381249999999</v>
    </nc>
  </rcc>
  <rcc rId="535" sId="1">
    <nc r="AI11">
      <v>3</v>
    </nc>
  </rcc>
  <rcc rId="536" sId="1">
    <nc r="AM11">
      <f>+AH11/Q11</f>
    </nc>
  </rcc>
  <rcc rId="537" sId="1">
    <nc r="AN11">
      <f>+Q11/AI11</f>
    </nc>
  </rcc>
  <rcc rId="538" sId="1">
    <nc r="AQ11">
      <f>+N11/78.54</f>
    </nc>
  </rcc>
  <rcc rId="539" sId="1">
    <nc r="AR11">
      <f>+AH11/11</f>
    </nc>
  </rcc>
  <rcc rId="540" sId="1">
    <nc r="AS11">
      <f>+AR11-AQ11</f>
    </nc>
  </rcc>
  <rcc rId="541" sId="1">
    <nc r="AT11">
      <f>+AH11/AQ11</f>
    </nc>
  </rcc>
  <rfmt sheetId="1" sqref="A11:AK11">
    <dxf>
      <fill>
        <patternFill patternType="solid">
          <bgColor rgb="FFFFFF00"/>
        </patternFill>
      </fill>
    </dxf>
  </rfmt>
  <rcc rId="542" sId="1">
    <nc r="N8">
      <f>2158.9+1406.8+1414.2</f>
    </nc>
  </rcc>
  <rcc rId="543" sId="1">
    <nc r="P8">
      <f>3+3</f>
    </nc>
  </rcc>
  <rcc rId="544" sId="1" numFmtId="19">
    <nc r="T8">
      <v>46038</v>
    </nc>
  </rcc>
  <rcc rId="545" sId="1" odxf="1" dxf="1">
    <nc r="U8" t="inlineStr">
      <is>
        <t>SI</t>
      </is>
    </nc>
    <odxf>
      <fill>
        <patternFill patternType="none">
          <bgColor indexed="65"/>
        </patternFill>
      </fill>
    </odxf>
    <ndxf>
      <fill>
        <patternFill patternType="solid">
          <bgColor rgb="FF92D050"/>
        </patternFill>
      </fill>
    </ndxf>
  </rcc>
  <rcc rId="546" sId="1" odxf="1" dxf="1">
    <nc r="V8" t="inlineStr">
      <is>
        <t>SI</t>
      </is>
    </nc>
    <odxf>
      <fill>
        <patternFill patternType="none">
          <bgColor indexed="65"/>
        </patternFill>
      </fill>
    </odxf>
    <ndxf>
      <fill>
        <patternFill patternType="solid">
          <bgColor rgb="FF92D050"/>
        </patternFill>
      </fill>
    </ndxf>
  </rcc>
  <rcc rId="547" sId="1" odxf="1" dxf="1">
    <nc r="W8" t="inlineStr">
      <is>
        <t>SI</t>
      </is>
    </nc>
    <odxf>
      <fill>
        <patternFill patternType="none">
          <bgColor indexed="65"/>
        </patternFill>
      </fill>
    </odxf>
    <ndxf>
      <fill>
        <patternFill patternType="solid">
          <bgColor rgb="FF92D050"/>
        </patternFill>
      </fill>
    </ndxf>
  </rcc>
  <rcc rId="548" sId="1">
    <nc r="Y8" t="inlineStr">
      <is>
        <t>BGC 5535</t>
      </is>
    </nc>
  </rcc>
  <rcc rId="549" sId="1" numFmtId="34">
    <nc r="AD8">
      <v>65254</v>
    </nc>
  </rcc>
  <rcc rId="550" sId="1" numFmtId="27">
    <nc r="AE8">
      <v>46034.684027777781</v>
    </nc>
  </rcc>
  <rcc rId="551" sId="1" numFmtId="34">
    <nc r="AF8">
      <v>66076</v>
    </nc>
  </rcc>
  <rcc rId="552" sId="1" numFmtId="27">
    <nc r="AG8">
      <v>46038.384027777778</v>
    </nc>
  </rcc>
  <rcc rId="553" sId="1">
    <nc r="AI8">
      <v>3</v>
    </nc>
  </rcc>
  <rcc rId="554" sId="1">
    <nc r="AM8">
      <f>+AH8/Q8</f>
    </nc>
  </rcc>
  <rcc rId="555" sId="1">
    <nc r="AN8">
      <f>+Q8/AI8</f>
    </nc>
  </rcc>
  <rcc rId="556" sId="1">
    <nc r="AQ8">
      <f>+N8/78.54</f>
    </nc>
  </rcc>
  <rcc rId="557" sId="1">
    <nc r="AR8">
      <f>+AH8/11</f>
    </nc>
  </rcc>
  <rcc rId="558" sId="1">
    <nc r="AS8">
      <f>+AR8-AQ8</f>
    </nc>
  </rcc>
  <rcc rId="559" sId="1">
    <nc r="AT8">
      <f>+AH8/AQ8</f>
    </nc>
  </rcc>
  <rfmt sheetId="1" sqref="A8:AK8">
    <dxf>
      <fill>
        <patternFill>
          <bgColor rgb="FF92D050"/>
        </patternFill>
      </fill>
    </dxf>
  </rfmt>
  <rcv guid="{D015136D-255F-4042-9389-EB535F138010}" action="delete"/>
  <rdn rId="0" localSheetId="1" customView="1" name="Z_D015136D_255F_4042_9389_EB535F138010_.wvu.FilterData" hidden="1" oldHidden="1">
    <formula>DATA!$A$1:$AY$30</formula>
    <oldFormula>DATA!$A$1:$AY$30</oldFormula>
  </rdn>
  <rcv guid="{D015136D-255F-4042-9389-EB535F138010}" action="add"/>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1" sId="1" numFmtId="34">
    <nc r="N5">
      <v>1874.5</v>
    </nc>
  </rcc>
  <rcc rId="562" sId="1" numFmtId="34">
    <nc r="O5">
      <v>5</v>
    </nc>
  </rcc>
  <rcc rId="563" sId="1" odxf="1" dxf="1" numFmtId="19">
    <nc r="T5">
      <v>46038</v>
    </nc>
    <odxf>
      <fill>
        <patternFill patternType="none">
          <bgColor indexed="65"/>
        </patternFill>
      </fill>
    </odxf>
    <ndxf>
      <fill>
        <patternFill patternType="solid">
          <bgColor rgb="FF92D050"/>
        </patternFill>
      </fill>
    </ndxf>
  </rcc>
  <rcc rId="564" sId="1" odxf="1" dxf="1">
    <nc r="U5" t="inlineStr">
      <is>
        <t>SI</t>
      </is>
    </nc>
    <odxf>
      <fill>
        <patternFill patternType="none">
          <bgColor indexed="65"/>
        </patternFill>
      </fill>
    </odxf>
    <ndxf>
      <fill>
        <patternFill patternType="solid">
          <bgColor rgb="FF92D050"/>
        </patternFill>
      </fill>
    </ndxf>
  </rcc>
  <rcc rId="565" sId="1" odxf="1" dxf="1">
    <nc r="V5" t="inlineStr">
      <is>
        <t>SI</t>
      </is>
    </nc>
    <odxf>
      <fill>
        <patternFill patternType="none">
          <bgColor indexed="65"/>
        </patternFill>
      </fill>
    </odxf>
    <ndxf>
      <fill>
        <patternFill patternType="solid">
          <bgColor rgb="FF92D050"/>
        </patternFill>
      </fill>
    </ndxf>
  </rcc>
  <rcc rId="566" sId="1" odxf="1" dxf="1">
    <nc r="W5" t="inlineStr">
      <is>
        <t>SI</t>
      </is>
    </nc>
    <odxf>
      <fill>
        <patternFill patternType="none">
          <bgColor indexed="65"/>
        </patternFill>
      </fill>
    </odxf>
    <ndxf>
      <fill>
        <patternFill patternType="solid">
          <bgColor rgb="FF92D050"/>
        </patternFill>
      </fill>
    </ndxf>
  </rcc>
  <rcc rId="567" sId="1">
    <nc r="Y5" t="inlineStr">
      <is>
        <t>BEB 2357</t>
      </is>
    </nc>
  </rcc>
  <rcc rId="568" sId="1" numFmtId="34">
    <nc r="AD5">
      <v>134524</v>
    </nc>
  </rcc>
  <rcc rId="569" sId="1" numFmtId="27">
    <nc r="AE5">
      <v>46029.375</v>
    </nc>
  </rcc>
  <rcc rId="570" sId="1" numFmtId="34">
    <nc r="AF5">
      <v>134856</v>
    </nc>
  </rcc>
  <rcc rId="571" sId="1" numFmtId="27">
    <nc r="AG5">
      <v>46032.375</v>
    </nc>
  </rcc>
  <rcc rId="572" sId="1">
    <nc r="AI5">
      <v>3</v>
    </nc>
  </rcc>
  <rcc rId="573" sId="1">
    <nc r="AM5">
      <f>+AH5/Q5</f>
    </nc>
  </rcc>
  <rcc rId="574" sId="1">
    <nc r="AN5">
      <f>+Q5/AI5</f>
    </nc>
  </rcc>
  <rcc rId="575" sId="1">
    <nc r="AQ5">
      <f>+N5/78.54</f>
    </nc>
  </rcc>
  <rcc rId="576" sId="1">
    <nc r="AR5">
      <f>+AH5/11</f>
    </nc>
  </rcc>
  <rcc rId="577" sId="1">
    <nc r="AS5">
      <f>+AR5-AQ5</f>
    </nc>
  </rcc>
  <rcc rId="578" sId="1">
    <nc r="AT5">
      <f>+AH5/AQ5</f>
    </nc>
  </rcc>
  <rfmt sheetId="1" sqref="A5:AK5">
    <dxf>
      <fill>
        <patternFill>
          <bgColor rgb="FF92D050"/>
        </patternFill>
      </fill>
    </dxf>
  </rfmt>
  <rcc rId="579" sId="1" numFmtId="34">
    <oc r="O9">
      <v>9</v>
    </oc>
    <nc r="O9">
      <f>11+10</f>
    </nc>
  </rcc>
  <rcc rId="580" sId="1" numFmtId="34">
    <oc r="P9">
      <f>11+10</f>
    </oc>
    <nc r="P9">
      <v>9</v>
    </nc>
  </rcc>
  <rcc rId="581" sId="1" numFmtId="19">
    <nc r="T9">
      <v>46038</v>
    </nc>
  </rcc>
  <rcc rId="582" sId="1">
    <nc r="U9" t="inlineStr">
      <is>
        <t>SI</t>
      </is>
    </nc>
  </rcc>
  <rcc rId="583" sId="1">
    <nc r="V9" t="inlineStr">
      <is>
        <t>SI</t>
      </is>
    </nc>
  </rcc>
  <rcc rId="584" sId="1">
    <nc r="W9" t="inlineStr">
      <is>
        <t>SI</t>
      </is>
    </nc>
  </rcc>
  <rcc rId="585" sId="1">
    <nc r="Y9" t="inlineStr">
      <is>
        <t>BEC 5472</t>
      </is>
    </nc>
  </rcc>
  <rcc rId="586" sId="1" numFmtId="34">
    <nc r="AD9">
      <v>81576</v>
    </nc>
  </rcc>
  <rcc rId="587" sId="1" numFmtId="27">
    <nc r="AE9">
      <v>46034.375</v>
    </nc>
  </rcc>
  <rcc rId="588" sId="1" numFmtId="34">
    <nc r="AF9">
      <v>82324</v>
    </nc>
  </rcc>
  <rcc rId="589" sId="1" numFmtId="27">
    <nc r="AG9">
      <v>46038.375</v>
    </nc>
  </rcc>
  <rcc rId="590" sId="1">
    <nc r="AI9">
      <v>4</v>
    </nc>
  </rcc>
  <rcc rId="591" sId="1">
    <nc r="AM9">
      <f>+AH9/Q9</f>
    </nc>
  </rcc>
  <rcc rId="592" sId="1">
    <nc r="AN9">
      <f>+Q9/AI9</f>
    </nc>
  </rcc>
  <rcc rId="593" sId="1">
    <nc r="AQ9">
      <f>+N9/78.54</f>
    </nc>
  </rcc>
  <rcc rId="594" sId="1">
    <nc r="AR9">
      <f>+AH9/11</f>
    </nc>
  </rcc>
  <rcc rId="595" sId="1">
    <nc r="AS9">
      <f>+AR9-AQ9</f>
    </nc>
  </rcc>
  <rcc rId="596" sId="1">
    <nc r="AT9">
      <f>+AH9/AQ9</f>
    </nc>
  </rcc>
  <rfmt sheetId="1" sqref="A9:AK9">
    <dxf>
      <fill>
        <patternFill patternType="solid">
          <bgColor rgb="FF92D050"/>
        </patternFill>
      </fill>
    </dxf>
  </rfmt>
  <rcc rId="597" sId="1" numFmtId="34">
    <oc r="P10">
      <v>8</v>
    </oc>
    <nc r="P10">
      <v>7</v>
    </nc>
  </rcc>
  <rcv guid="{D015136D-255F-4042-9389-EB535F138010}" action="delete"/>
  <rdn rId="0" localSheetId="1" customView="1" name="Z_D015136D_255F_4042_9389_EB535F138010_.wvu.FilterData" hidden="1" oldHidden="1">
    <formula>DATA!$A$1:$AY$30</formula>
    <oldFormula>DATA!$A$1:$AY$30</oldFormula>
  </rdn>
  <rcv guid="{D015136D-255F-4042-9389-EB535F138010}" action="add"/>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9" sId="1">
    <oc r="N11">
      <f>2200.7+2479.5+2745+804</f>
    </oc>
    <nc r="N11">
      <f>2200.7+2479.5+2745+804.35</f>
    </nc>
  </rcc>
  <rfmt sheetId="1" sqref="A11:AK11">
    <dxf>
      <fill>
        <patternFill>
          <bgColor rgb="FF92D050"/>
        </patternFill>
      </fill>
    </dxf>
  </rfmt>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0" sId="1" odxf="1" dxf="1">
    <nc r="A19">
      <v>18</v>
    </nc>
    <ndxf>
      <fill>
        <patternFill patternType="solid">
          <bgColor rgb="FF92D050"/>
        </patternFill>
      </fill>
    </ndxf>
  </rcc>
  <rcc rId="601" sId="1" odxf="1" dxf="1">
    <nc r="B19" t="inlineStr">
      <is>
        <t>Lucia Santamaría</t>
      </is>
    </nc>
    <ndxf>
      <fill>
        <patternFill patternType="solid">
          <bgColor rgb="FF92D050"/>
        </patternFill>
      </fill>
    </ndxf>
  </rcc>
  <rcc rId="602" sId="1" odxf="1" dxf="1">
    <nc r="C19">
      <v>3065</v>
    </nc>
    <ndxf>
      <fill>
        <patternFill patternType="solid">
          <bgColor rgb="FF92D050"/>
        </patternFill>
      </fill>
    </ndxf>
  </rcc>
  <rfmt sheetId="1" sqref="D19" start="0" length="0">
    <dxf>
      <fill>
        <patternFill patternType="solid">
          <bgColor rgb="FF92D050"/>
        </patternFill>
      </fill>
    </dxf>
  </rfmt>
  <rfmt sheetId="1" sqref="E19" start="0" length="0">
    <dxf>
      <fill>
        <patternFill patternType="solid">
          <bgColor rgb="FF92D050"/>
        </patternFill>
      </fill>
    </dxf>
  </rfmt>
  <rfmt sheetId="1" sqref="F19" start="0" length="0">
    <dxf>
      <fill>
        <patternFill patternType="solid">
          <bgColor rgb="FF92D050"/>
        </patternFill>
      </fill>
    </dxf>
  </rfmt>
  <rfmt sheetId="1" sqref="G19" start="0" length="0">
    <dxf>
      <fill>
        <patternFill patternType="solid">
          <bgColor rgb="FF92D050"/>
        </patternFill>
      </fill>
    </dxf>
  </rfmt>
  <rfmt sheetId="1" sqref="H19" start="0" length="0">
    <dxf>
      <fill>
        <patternFill patternType="solid">
          <bgColor rgb="FF92D050"/>
        </patternFill>
      </fill>
    </dxf>
  </rfmt>
  <rfmt sheetId="1" sqref="I19" start="0" length="0">
    <dxf>
      <fill>
        <patternFill patternType="solid">
          <bgColor rgb="FF92D050"/>
        </patternFill>
      </fill>
    </dxf>
  </rfmt>
  <rcc rId="603" sId="1" odxf="1" dxf="1">
    <nc r="J19" t="inlineStr">
      <is>
        <t>Maldonado</t>
      </is>
    </nc>
    <ndxf>
      <fill>
        <patternFill patternType="solid">
          <bgColor rgb="FF92D050"/>
        </patternFill>
      </fill>
    </ndxf>
  </rcc>
  <rcc rId="604" sId="1" odxf="1" dxf="1">
    <nc r="K19" t="inlineStr">
      <is>
        <t>Propio</t>
      </is>
    </nc>
    <ndxf>
      <fill>
        <patternFill patternType="solid">
          <bgColor rgb="FF92D050"/>
        </patternFill>
      </fill>
    </ndxf>
  </rcc>
  <rfmt sheetId="1" sqref="L19" start="0" length="0">
    <dxf>
      <fill>
        <patternFill patternType="solid">
          <bgColor rgb="FF92D050"/>
        </patternFill>
      </fill>
    </dxf>
  </rfmt>
  <rcc rId="605" sId="1" odxf="1" dxf="1">
    <oc r="M19">
      <f>+N19-H19</f>
    </oc>
    <nc r="M19">
      <f>+N19-H19</f>
    </nc>
    <odxf>
      <fill>
        <patternFill patternType="none">
          <bgColor indexed="65"/>
        </patternFill>
      </fill>
    </odxf>
    <ndxf>
      <fill>
        <patternFill patternType="solid">
          <bgColor rgb="FF92D050"/>
        </patternFill>
      </fill>
    </ndxf>
  </rcc>
  <rfmt sheetId="1" sqref="N19" start="0" length="0">
    <dxf>
      <fill>
        <patternFill patternType="solid">
          <bgColor rgb="FF92D050"/>
        </patternFill>
      </fill>
    </dxf>
  </rfmt>
  <rfmt sheetId="1" sqref="O19" start="0" length="0">
    <dxf>
      <fill>
        <patternFill patternType="solid">
          <bgColor rgb="FF92D050"/>
        </patternFill>
      </fill>
    </dxf>
  </rfmt>
  <rfmt sheetId="1" sqref="P19" start="0" length="0">
    <dxf>
      <fill>
        <patternFill patternType="solid">
          <bgColor rgb="FF92D050"/>
        </patternFill>
      </fill>
    </dxf>
  </rfmt>
  <rcc rId="606" sId="1" odxf="1" dxf="1">
    <oc r="Q19">
      <f>+P19+O19</f>
    </oc>
    <nc r="Q19">
      <f>+P19+O19</f>
    </nc>
    <odxf>
      <fill>
        <patternFill patternType="none">
          <bgColor indexed="65"/>
        </patternFill>
      </fill>
    </odxf>
    <ndxf>
      <fill>
        <patternFill patternType="solid">
          <bgColor rgb="FF92D050"/>
        </patternFill>
      </fill>
    </ndxf>
  </rcc>
  <rcc rId="607" sId="1" odxf="1" dxf="1">
    <oc r="R19">
      <f>(N19/Q19)</f>
    </oc>
    <nc r="R19">
      <f>(N19/Q19)</f>
    </nc>
    <odxf>
      <fill>
        <patternFill patternType="none">
          <bgColor indexed="65"/>
        </patternFill>
      </fill>
    </odxf>
    <ndxf>
      <fill>
        <patternFill patternType="solid">
          <bgColor rgb="FF92D050"/>
        </patternFill>
      </fill>
    </ndxf>
  </rcc>
  <rcc rId="608" sId="1" odxf="1" dxf="1">
    <oc r="S19">
      <f>(('Costo por negocio'!$B$2-DATA!R19)*DATA!O19)+('Costo por negocio'!$C$2-DATA!R19)*DATA!P19</f>
    </oc>
    <nc r="S19">
      <f>(('Costo por negocio'!$B$2-DATA!R19)*DATA!O19)+('Costo por negocio'!$C$2-DATA!R19)*DATA!P19</f>
    </nc>
    <odxf>
      <fill>
        <patternFill patternType="none">
          <bgColor indexed="65"/>
        </patternFill>
      </fill>
    </odxf>
    <ndxf>
      <fill>
        <patternFill patternType="solid">
          <bgColor rgb="FF92D050"/>
        </patternFill>
      </fill>
    </ndxf>
  </rcc>
  <rfmt sheetId="1" sqref="T19" start="0" length="0">
    <dxf>
      <fill>
        <patternFill patternType="solid">
          <bgColor rgb="FF92D050"/>
        </patternFill>
      </fill>
    </dxf>
  </rfmt>
  <rfmt sheetId="1" sqref="U19" start="0" length="0">
    <dxf>
      <fill>
        <patternFill patternType="solid">
          <bgColor rgb="FF92D050"/>
        </patternFill>
      </fill>
    </dxf>
  </rfmt>
  <rfmt sheetId="1" sqref="V19" start="0" length="0">
    <dxf>
      <fill>
        <patternFill patternType="solid">
          <bgColor rgb="FF92D050"/>
        </patternFill>
      </fill>
    </dxf>
  </rfmt>
  <rfmt sheetId="1" sqref="W19" start="0" length="0">
    <dxf>
      <fill>
        <patternFill patternType="solid">
          <bgColor rgb="FF92D050"/>
        </patternFill>
      </fill>
    </dxf>
  </rfmt>
  <rfmt sheetId="1" sqref="X19" start="0" length="0">
    <dxf>
      <fill>
        <patternFill patternType="solid">
          <bgColor rgb="FF92D050"/>
        </patternFill>
      </fill>
    </dxf>
  </rfmt>
  <rfmt sheetId="1" sqref="Y19" start="0" length="0">
    <dxf>
      <fill>
        <patternFill patternType="solid">
          <bgColor rgb="FF92D050"/>
        </patternFill>
      </fill>
    </dxf>
  </rfmt>
  <rfmt sheetId="1" sqref="Z19" start="0" length="0">
    <dxf>
      <fill>
        <patternFill patternType="solid">
          <bgColor rgb="FF92D050"/>
        </patternFill>
      </fill>
    </dxf>
  </rfmt>
  <rfmt sheetId="1" sqref="AA19" start="0" length="0">
    <dxf>
      <fill>
        <patternFill patternType="solid">
          <bgColor rgb="FF92D050"/>
        </patternFill>
      </fill>
    </dxf>
  </rfmt>
  <rfmt sheetId="1" sqref="AB19" start="0" length="0">
    <dxf>
      <fill>
        <patternFill patternType="solid">
          <bgColor rgb="FF92D050"/>
        </patternFill>
      </fill>
    </dxf>
  </rfmt>
  <rfmt sheetId="1" sqref="AC19" start="0" length="0">
    <dxf>
      <fill>
        <patternFill patternType="solid">
          <bgColor rgb="FF92D050"/>
        </patternFill>
      </fill>
    </dxf>
  </rfmt>
  <rfmt sheetId="1" sqref="AD19" start="0" length="0">
    <dxf>
      <fill>
        <patternFill patternType="solid">
          <bgColor rgb="FF92D050"/>
        </patternFill>
      </fill>
    </dxf>
  </rfmt>
  <rfmt sheetId="1" sqref="AE19" start="0" length="0">
    <dxf>
      <fill>
        <patternFill patternType="solid">
          <bgColor rgb="FF92D050"/>
        </patternFill>
      </fill>
    </dxf>
  </rfmt>
  <rfmt sheetId="1" sqref="AF19" start="0" length="0">
    <dxf>
      <fill>
        <patternFill patternType="solid">
          <bgColor rgb="FF92D050"/>
        </patternFill>
      </fill>
    </dxf>
  </rfmt>
  <rfmt sheetId="1" sqref="AG19" start="0" length="0">
    <dxf>
      <fill>
        <patternFill patternType="solid">
          <bgColor rgb="FF92D050"/>
        </patternFill>
      </fill>
    </dxf>
  </rfmt>
  <rcc rId="609" sId="1" odxf="1" dxf="1">
    <oc r="AH19">
      <f>+AF19-AD19</f>
    </oc>
    <nc r="AH19">
      <f>+AF19-AD19</f>
    </nc>
    <odxf>
      <fill>
        <patternFill patternType="none">
          <bgColor indexed="65"/>
        </patternFill>
      </fill>
    </odxf>
    <ndxf>
      <fill>
        <patternFill patternType="solid">
          <bgColor rgb="FF92D050"/>
        </patternFill>
      </fill>
    </ndxf>
  </rcc>
  <rfmt sheetId="1" sqref="AI19" start="0" length="0">
    <dxf>
      <fill>
        <patternFill patternType="solid">
          <bgColor rgb="FF92D050"/>
        </patternFill>
      </fill>
    </dxf>
  </rfmt>
  <rcc rId="610" sId="1" odxf="1" dxf="1">
    <oc r="AJ19">
      <f>+AI19*5</f>
    </oc>
    <nc r="AJ19">
      <f>+AI19*5</f>
    </nc>
    <odxf>
      <fill>
        <patternFill patternType="none">
          <bgColor indexed="65"/>
        </patternFill>
      </fill>
    </odxf>
    <ndxf>
      <fill>
        <patternFill patternType="solid">
          <bgColor rgb="FF92D050"/>
        </patternFill>
      </fill>
    </ndxf>
  </rcc>
  <rcc rId="611" sId="1" odxf="1" dxf="1">
    <oc r="AK19">
      <f>+Q19-AJ19</f>
    </oc>
    <nc r="AK19">
      <f>+Q19-AJ19</f>
    </nc>
    <odxf>
      <fill>
        <patternFill patternType="none">
          <bgColor indexed="65"/>
        </patternFill>
      </fill>
    </odxf>
    <ndxf>
      <fill>
        <patternFill patternType="solid">
          <bgColor rgb="FF92D050"/>
        </patternFill>
      </fill>
    </ndxf>
  </rcc>
  <rfmt sheetId="1" sqref="AL19" start="0" length="0">
    <dxf/>
  </rfmt>
  <rfmt sheetId="1" sqref="AM19" start="0" length="0">
    <dxf/>
  </rfmt>
  <rfmt sheetId="1" sqref="AN19" start="0" length="0">
    <dxf/>
  </rfmt>
  <rfmt sheetId="1" sqref="AO19" start="0" length="0">
    <dxf/>
  </rfmt>
  <rfmt sheetId="1" sqref="AP19" start="0" length="0">
    <dxf/>
  </rfmt>
  <rfmt sheetId="1" sqref="AQ19" start="0" length="0">
    <dxf/>
  </rfmt>
  <rfmt sheetId="1" sqref="AR19" start="0" length="0">
    <dxf/>
  </rfmt>
  <rfmt sheetId="1" sqref="AS19" start="0" length="0">
    <dxf/>
  </rfmt>
  <rfmt sheetId="1" sqref="AT19" start="0" length="0">
    <dxf/>
  </rfmt>
  <rfmt sheetId="1" sqref="AU19" start="0" length="0">
    <dxf/>
  </rfmt>
  <rfmt sheetId="1" sqref="AV19" start="0" length="0">
    <dxf/>
  </rfmt>
  <rfmt sheetId="1" sqref="AW19" start="0" length="0">
    <dxf/>
  </rfmt>
  <rfmt sheetId="1" sqref="AX19" start="0" length="0">
    <dxf/>
  </rfmt>
  <rfmt sheetId="1" sqref="AY19" start="0" length="0">
    <dxf/>
  </rfmt>
  <rcc rId="612" sId="1">
    <nc r="E19" t="inlineStr">
      <is>
        <t>15/01 al 31/01/2026</t>
      </is>
    </nc>
  </rcc>
  <rcc rId="613" sId="1">
    <nc r="D19">
      <v>12</v>
    </nc>
  </rcc>
  <rcc rId="614" sId="1" numFmtId="19">
    <nc r="F19">
      <v>46037</v>
    </nc>
  </rcc>
  <rcc rId="615" sId="1" numFmtId="19">
    <nc r="G19">
      <v>46053</v>
    </nc>
  </rcc>
  <rcc rId="616" sId="1" numFmtId="34">
    <nc r="N19">
      <v>600.5</v>
    </nc>
  </rcc>
  <rcc rId="617" sId="1" numFmtId="34">
    <nc r="O19">
      <v>9</v>
    </nc>
  </rcc>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8" sId="1">
    <nc r="B20" t="inlineStr">
      <is>
        <t>Lorena Cabrera</t>
      </is>
    </nc>
  </rcc>
  <rcc rId="619" sId="1">
    <nc r="C20">
      <v>1618</v>
    </nc>
  </rcc>
  <rcc rId="620" sId="1">
    <nc r="D20">
      <v>3</v>
    </nc>
  </rcc>
  <rcc rId="621" sId="1">
    <nc r="I20">
      <v>15</v>
    </nc>
  </rcc>
  <rcc rId="622" sId="1">
    <nc r="J20" t="inlineStr">
      <is>
        <t>Canelones, Maldonado</t>
      </is>
    </nc>
  </rcc>
  <rcc rId="623" sId="1">
    <nc r="K20" t="inlineStr">
      <is>
        <t>Alquiler</t>
      </is>
    </nc>
  </rcc>
  <rcc rId="624" sId="1">
    <nc r="E20" t="inlineStr">
      <is>
        <t>27/01 al 29/01/2026</t>
      </is>
    </nc>
  </rcc>
  <rcc rId="625" sId="1" numFmtId="19">
    <nc r="F20">
      <v>46049</v>
    </nc>
  </rcc>
  <rcc rId="626" sId="1" numFmtId="19">
    <nc r="G20">
      <v>46051</v>
    </nc>
  </rcc>
  <rcc rId="627" sId="1" numFmtId="34">
    <nc r="H20">
      <v>4500</v>
    </nc>
  </rcc>
  <rrc rId="628" sId="1" ref="A20:XFD20" action="insertRow"/>
  <rfmt sheetId="1" sqref="A20" start="0" length="0">
    <dxf>
      <fill>
        <patternFill patternType="none">
          <bgColor indexed="65"/>
        </patternFill>
      </fill>
    </dxf>
  </rfmt>
  <rfmt sheetId="1" sqref="B20" start="0" length="0">
    <dxf>
      <fill>
        <patternFill patternType="none">
          <bgColor indexed="65"/>
        </patternFill>
      </fill>
    </dxf>
  </rfmt>
  <rfmt sheetId="1" sqref="C20" start="0" length="0">
    <dxf>
      <fill>
        <patternFill patternType="none">
          <bgColor indexed="65"/>
        </patternFill>
      </fill>
    </dxf>
  </rfmt>
  <rfmt sheetId="1" sqref="D20" start="0" length="0">
    <dxf>
      <fill>
        <patternFill patternType="none">
          <bgColor indexed="65"/>
        </patternFill>
      </fill>
    </dxf>
  </rfmt>
  <rfmt sheetId="1" sqref="E20" start="0" length="0">
    <dxf>
      <fill>
        <patternFill patternType="none">
          <bgColor indexed="65"/>
        </patternFill>
      </fill>
    </dxf>
  </rfmt>
  <rfmt sheetId="1" sqref="F20" start="0" length="0">
    <dxf>
      <fill>
        <patternFill patternType="none">
          <bgColor indexed="65"/>
        </patternFill>
      </fill>
    </dxf>
  </rfmt>
  <rfmt sheetId="1" sqref="G20" start="0" length="0">
    <dxf>
      <fill>
        <patternFill patternType="none">
          <bgColor indexed="65"/>
        </patternFill>
      </fill>
    </dxf>
  </rfmt>
  <rfmt sheetId="1" sqref="H20" start="0" length="0">
    <dxf>
      <fill>
        <patternFill patternType="none">
          <bgColor indexed="65"/>
        </patternFill>
      </fill>
    </dxf>
  </rfmt>
  <rfmt sheetId="1" sqref="I20" start="0" length="0">
    <dxf>
      <fill>
        <patternFill patternType="none">
          <bgColor indexed="65"/>
        </patternFill>
      </fill>
    </dxf>
  </rfmt>
  <rfmt sheetId="1" sqref="J20" start="0" length="0">
    <dxf>
      <fill>
        <patternFill patternType="none">
          <bgColor indexed="65"/>
        </patternFill>
      </fill>
    </dxf>
  </rfmt>
  <rfmt sheetId="1" sqref="K20" start="0" length="0">
    <dxf>
      <fill>
        <patternFill patternType="none">
          <bgColor indexed="65"/>
        </patternFill>
      </fill>
    </dxf>
  </rfmt>
  <rfmt sheetId="1" sqref="L20" start="0" length="0">
    <dxf>
      <fill>
        <patternFill patternType="none">
          <bgColor indexed="65"/>
        </patternFill>
      </fill>
    </dxf>
  </rfmt>
  <rfmt sheetId="1" sqref="M20" start="0" length="0">
    <dxf>
      <fill>
        <patternFill patternType="none">
          <bgColor indexed="65"/>
        </patternFill>
      </fill>
    </dxf>
  </rfmt>
  <rfmt sheetId="1" sqref="N20" start="0" length="0">
    <dxf>
      <fill>
        <patternFill patternType="none">
          <bgColor indexed="65"/>
        </patternFill>
      </fill>
    </dxf>
  </rfmt>
  <rfmt sheetId="1" sqref="O20" start="0" length="0">
    <dxf>
      <fill>
        <patternFill patternType="none">
          <bgColor indexed="65"/>
        </patternFill>
      </fill>
    </dxf>
  </rfmt>
  <rfmt sheetId="1" sqref="P20" start="0" length="0">
    <dxf>
      <fill>
        <patternFill patternType="none">
          <bgColor indexed="65"/>
        </patternFill>
      </fill>
    </dxf>
  </rfmt>
  <rfmt sheetId="1" sqref="Q20" start="0" length="0">
    <dxf>
      <fill>
        <patternFill patternType="none">
          <bgColor indexed="65"/>
        </patternFill>
      </fill>
    </dxf>
  </rfmt>
  <rfmt sheetId="1" sqref="R20" start="0" length="0">
    <dxf>
      <fill>
        <patternFill patternType="none">
          <bgColor indexed="65"/>
        </patternFill>
      </fill>
    </dxf>
  </rfmt>
  <rfmt sheetId="1" sqref="S20" start="0" length="0">
    <dxf>
      <fill>
        <patternFill patternType="none">
          <bgColor indexed="65"/>
        </patternFill>
      </fill>
    </dxf>
  </rfmt>
  <rfmt sheetId="1" sqref="T20" start="0" length="0">
    <dxf>
      <fill>
        <patternFill patternType="none">
          <bgColor indexed="65"/>
        </patternFill>
      </fill>
    </dxf>
  </rfmt>
  <rfmt sheetId="1" sqref="U20" start="0" length="0">
    <dxf>
      <fill>
        <patternFill patternType="none">
          <bgColor indexed="65"/>
        </patternFill>
      </fill>
    </dxf>
  </rfmt>
  <rfmt sheetId="1" sqref="V20" start="0" length="0">
    <dxf>
      <fill>
        <patternFill patternType="none">
          <bgColor indexed="65"/>
        </patternFill>
      </fill>
    </dxf>
  </rfmt>
  <rfmt sheetId="1" sqref="W20" start="0" length="0">
    <dxf>
      <fill>
        <patternFill patternType="none">
          <bgColor indexed="65"/>
        </patternFill>
      </fill>
    </dxf>
  </rfmt>
  <rfmt sheetId="1" sqref="X20" start="0" length="0">
    <dxf>
      <fill>
        <patternFill patternType="none">
          <bgColor indexed="65"/>
        </patternFill>
      </fill>
    </dxf>
  </rfmt>
  <rfmt sheetId="1" sqref="Y20" start="0" length="0">
    <dxf>
      <fill>
        <patternFill patternType="none">
          <bgColor indexed="65"/>
        </patternFill>
      </fill>
    </dxf>
  </rfmt>
  <rfmt sheetId="1" sqref="Z20" start="0" length="0">
    <dxf>
      <fill>
        <patternFill patternType="none">
          <bgColor indexed="65"/>
        </patternFill>
      </fill>
    </dxf>
  </rfmt>
  <rfmt sheetId="1" sqref="AA20" start="0" length="0">
    <dxf>
      <fill>
        <patternFill patternType="none">
          <bgColor indexed="65"/>
        </patternFill>
      </fill>
    </dxf>
  </rfmt>
  <rfmt sheetId="1" sqref="AB20" start="0" length="0">
    <dxf>
      <fill>
        <patternFill patternType="none">
          <bgColor indexed="65"/>
        </patternFill>
      </fill>
    </dxf>
  </rfmt>
  <rfmt sheetId="1" sqref="AC20" start="0" length="0">
    <dxf>
      <fill>
        <patternFill patternType="none">
          <bgColor indexed="65"/>
        </patternFill>
      </fill>
    </dxf>
  </rfmt>
  <rfmt sheetId="1" sqref="AD20" start="0" length="0">
    <dxf>
      <fill>
        <patternFill patternType="none">
          <bgColor indexed="65"/>
        </patternFill>
      </fill>
    </dxf>
  </rfmt>
  <rfmt sheetId="1" sqref="AE20" start="0" length="0">
    <dxf>
      <fill>
        <patternFill patternType="none">
          <bgColor indexed="65"/>
        </patternFill>
      </fill>
    </dxf>
  </rfmt>
  <rfmt sheetId="1" sqref="AF20" start="0" length="0">
    <dxf>
      <fill>
        <patternFill patternType="none">
          <bgColor indexed="65"/>
        </patternFill>
      </fill>
    </dxf>
  </rfmt>
  <rfmt sheetId="1" sqref="AG20" start="0" length="0">
    <dxf>
      <fill>
        <patternFill patternType="none">
          <bgColor indexed="65"/>
        </patternFill>
      </fill>
    </dxf>
  </rfmt>
  <rfmt sheetId="1" sqref="AH20" start="0" length="0">
    <dxf>
      <fill>
        <patternFill patternType="none">
          <bgColor indexed="65"/>
        </patternFill>
      </fill>
    </dxf>
  </rfmt>
  <rfmt sheetId="1" sqref="AI20" start="0" length="0">
    <dxf>
      <fill>
        <patternFill patternType="none">
          <bgColor indexed="65"/>
        </patternFill>
      </fill>
    </dxf>
  </rfmt>
  <rfmt sheetId="1" sqref="AJ20" start="0" length="0">
    <dxf>
      <fill>
        <patternFill patternType="none">
          <bgColor indexed="65"/>
        </patternFill>
      </fill>
    </dxf>
  </rfmt>
  <rfmt sheetId="1" sqref="AK20" start="0" length="0">
    <dxf>
      <fill>
        <patternFill patternType="none">
          <bgColor indexed="65"/>
        </patternFill>
      </fill>
    </dxf>
  </rfmt>
  <rfmt sheetId="1" sqref="AL20" start="0" length="0">
    <dxf/>
  </rfmt>
  <rfmt sheetId="1" sqref="AM20" start="0" length="0">
    <dxf/>
  </rfmt>
  <rfmt sheetId="1" sqref="AN20" start="0" length="0">
    <dxf/>
  </rfmt>
  <rfmt sheetId="1" sqref="AO20" start="0" length="0">
    <dxf/>
  </rfmt>
  <rfmt sheetId="1" sqref="AP20" start="0" length="0">
    <dxf/>
  </rfmt>
  <rfmt sheetId="1" sqref="AQ20" start="0" length="0">
    <dxf/>
  </rfmt>
  <rfmt sheetId="1" sqref="AR20" start="0" length="0">
    <dxf/>
  </rfmt>
  <rfmt sheetId="1" sqref="AS20" start="0" length="0">
    <dxf/>
  </rfmt>
  <rfmt sheetId="1" sqref="AT20" start="0" length="0">
    <dxf/>
  </rfmt>
  <rfmt sheetId="1" sqref="AU20" start="0" length="0">
    <dxf/>
  </rfmt>
  <rfmt sheetId="1" sqref="AV20" start="0" length="0">
    <dxf/>
  </rfmt>
  <rfmt sheetId="1" sqref="AW20" start="0" length="0">
    <dxf/>
  </rfmt>
  <rfmt sheetId="1" sqref="AX20" start="0" length="0">
    <dxf/>
  </rfmt>
  <rfmt sheetId="1" sqref="AY20" start="0" length="0">
    <dxf/>
  </rfmt>
  <rcc rId="629" sId="1">
    <nc r="A21">
      <v>20</v>
    </nc>
  </rcc>
  <rcc rId="630" sId="1">
    <nc r="B20" t="inlineStr">
      <is>
        <t>Claudia Parrilla</t>
      </is>
    </nc>
  </rcc>
  <rcc rId="631" sId="1">
    <nc r="C20">
      <v>2005</v>
    </nc>
  </rcc>
  <rcc rId="632" sId="1">
    <nc r="I20">
      <v>15</v>
    </nc>
  </rcc>
  <rcc rId="633" sId="1">
    <nc r="K20" t="inlineStr">
      <is>
        <t>Alquiler</t>
      </is>
    </nc>
  </rcc>
  <rcc rId="634" sId="1">
    <nc r="A20">
      <v>19</v>
    </nc>
  </rcc>
  <rcc rId="635" sId="1">
    <nc r="D20">
      <v>3</v>
    </nc>
  </rcc>
  <rcc rId="636" sId="1">
    <nc r="E20" t="inlineStr">
      <is>
        <t>27/01 al 29/01/2026</t>
      </is>
    </nc>
  </rcc>
  <rcc rId="637" sId="1" numFmtId="19">
    <nc r="F20">
      <v>46049</v>
    </nc>
  </rcc>
  <rcc rId="638" sId="1" numFmtId="19">
    <nc r="G20">
      <v>46051</v>
    </nc>
  </rcc>
  <rcc rId="639" sId="1">
    <nc r="H20">
      <f>18*263</f>
    </nc>
  </rcc>
  <rcc rId="640" sId="1">
    <nc r="J20" t="inlineStr">
      <is>
        <t>Montevideo</t>
      </is>
    </nc>
  </rcc>
  <rcv guid="{D015136D-255F-4042-9389-EB535F138010}" action="delete"/>
  <rdn rId="0" localSheetId="1" customView="1" name="Z_D015136D_255F_4042_9389_EB535F138010_.wvu.FilterData" hidden="1" oldHidden="1">
    <formula>DATA!$A$1:$AY$31</formula>
    <oldFormula>DATA!$A$1:$AY$31</oldFormula>
  </rdn>
  <rcv guid="{D015136D-255F-4042-9389-EB535F138010}" action="add"/>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DATA!$A$1:$AY$31</formula>
    <oldFormula>DATA!$A$1:$AY$31</oldFormula>
  </rdn>
  <rcv guid="{D015136D-255F-4042-9389-EB535F138010}" action="add"/>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DATA!$A$1:$AY$31</formula>
    <oldFormula>DATA!$A$1:$AY$31</oldFormula>
  </rdn>
  <rcv guid="{D015136D-255F-4042-9389-EB535F138010}" action="add"/>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4" sId="1" numFmtId="34">
    <nc r="N18">
      <v>2816</v>
    </nc>
  </rcc>
  <rcc rId="645" sId="1">
    <oc r="M26">
      <f>+N26-H26</f>
    </oc>
    <nc r="M26"/>
  </rcc>
  <rcc rId="646" sId="1">
    <oc r="M27">
      <f>+N27-H27</f>
    </oc>
    <nc r="M27"/>
  </rcc>
  <rcc rId="647" sId="1">
    <oc r="M28">
      <f>+N28-H28</f>
    </oc>
    <nc r="M28"/>
  </rcc>
  <rcc rId="648" sId="1">
    <oc r="M29">
      <f>+N29-H29</f>
    </oc>
    <nc r="M29"/>
  </rcc>
  <rcc rId="649" sId="1" numFmtId="34">
    <nc r="O18">
      <v>4</v>
    </nc>
  </rcc>
  <rcc rId="650" sId="1" numFmtId="34">
    <nc r="P18">
      <v>20</v>
    </nc>
  </rcc>
  <rcc rId="651" sId="1" numFmtId="19">
    <nc r="T18">
      <v>46045</v>
    </nc>
  </rcc>
  <rcc rId="652" sId="1" odxf="1" dxf="1">
    <nc r="U18" t="inlineStr">
      <is>
        <t>SI</t>
      </is>
    </nc>
    <odxf>
      <fill>
        <patternFill patternType="none">
          <bgColor indexed="65"/>
        </patternFill>
      </fill>
    </odxf>
    <ndxf>
      <fill>
        <patternFill patternType="solid">
          <bgColor rgb="FF92D050"/>
        </patternFill>
      </fill>
    </ndxf>
  </rcc>
  <rcc rId="653" sId="1" odxf="1" dxf="1">
    <nc r="V18" t="inlineStr">
      <is>
        <t>SI</t>
      </is>
    </nc>
    <odxf>
      <fill>
        <patternFill patternType="none">
          <bgColor indexed="65"/>
        </patternFill>
      </fill>
    </odxf>
    <ndxf>
      <fill>
        <patternFill patternType="solid">
          <bgColor rgb="FF92D050"/>
        </patternFill>
      </fill>
    </ndxf>
  </rcc>
  <rcc rId="654" sId="1" odxf="1" dxf="1">
    <nc r="W18" t="inlineStr">
      <is>
        <t>SI</t>
      </is>
    </nc>
    <odxf>
      <fill>
        <patternFill patternType="none">
          <bgColor indexed="65"/>
        </patternFill>
      </fill>
    </odxf>
    <ndxf>
      <fill>
        <patternFill patternType="solid">
          <bgColor rgb="FF92D050"/>
        </patternFill>
      </fill>
    </ndxf>
  </rcc>
  <rcc rId="655" sId="1">
    <nc r="Y18" t="inlineStr">
      <is>
        <t>BAA 7043</t>
      </is>
    </nc>
  </rcc>
  <rcc rId="656" sId="1" numFmtId="34">
    <nc r="AD18">
      <v>80374</v>
    </nc>
  </rcc>
  <rcc rId="657" sId="1" numFmtId="27">
    <nc r="AE18">
      <v>46042.375</v>
    </nc>
  </rcc>
  <rcc rId="658" sId="1" numFmtId="34">
    <nc r="AF18">
      <v>80408</v>
    </nc>
  </rcc>
  <rcc rId="659" sId="1" numFmtId="27">
    <nc r="AG18">
      <v>46045.388194444444</v>
    </nc>
  </rcc>
  <rcc rId="660" sId="1">
    <nc r="AI18">
      <v>3</v>
    </nc>
  </rcc>
  <rcc rId="661" sId="1">
    <nc r="AM18">
      <f>+AH18/Q18</f>
    </nc>
  </rcc>
  <rcc rId="662" sId="1">
    <nc r="AN18">
      <f>+Q18/AI18</f>
    </nc>
  </rcc>
  <rcc rId="663" sId="1">
    <nc r="AQ18">
      <f>+N18/78.54</f>
    </nc>
  </rcc>
  <rcc rId="664" sId="1">
    <nc r="AR18">
      <f>+AH18/11</f>
    </nc>
  </rcc>
  <rcc rId="665" sId="1">
    <nc r="AS18">
      <f>+AR18-AQ18</f>
    </nc>
  </rcc>
  <rcc rId="666" sId="1">
    <nc r="AT18">
      <f>+AH18/AQ18</f>
    </nc>
  </rcc>
  <rfmt sheetId="1" sqref="A18:AK18">
    <dxf>
      <fill>
        <patternFill>
          <bgColor rgb="FF92D050"/>
        </patternFill>
      </fill>
    </dxf>
  </rfmt>
  <rcv guid="{D015136D-255F-4042-9389-EB535F138010}" action="delete"/>
  <rdn rId="0" localSheetId="1" customView="1" name="Z_D015136D_255F_4042_9389_EB535F138010_.wvu.FilterData" hidden="1" oldHidden="1">
    <formula>DATA!$A$1:$AY$31</formula>
    <oldFormula>DATA!$A$1:$AY$31</oldFormula>
  </rdn>
  <rcv guid="{D015136D-255F-4042-9389-EB535F138010}" action="add"/>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8" sId="1">
    <nc r="B22" t="inlineStr">
      <is>
        <t>Ignacio Ceroni</t>
      </is>
    </nc>
  </rcc>
  <rcc rId="669" sId="1">
    <nc r="C22">
      <v>3007</v>
    </nc>
  </rcc>
  <rcc rId="670" sId="1">
    <nc r="D22">
      <v>4</v>
    </nc>
  </rcc>
  <rcc rId="671" sId="1">
    <nc r="K22" t="inlineStr">
      <is>
        <t>Alquiler</t>
      </is>
    </nc>
  </rcc>
  <rcc rId="672" sId="1">
    <nc r="A22">
      <v>21</v>
    </nc>
  </rcc>
  <rcc rId="673" sId="1">
    <nc r="E22" t="inlineStr">
      <is>
        <t>19/01 al 22/01/2026</t>
      </is>
    </nc>
  </rcc>
  <rcc rId="674" sId="1" numFmtId="19">
    <nc r="F22">
      <v>46041</v>
    </nc>
  </rcc>
  <rcc rId="675" sId="1" numFmtId="19">
    <nc r="G22">
      <v>46044</v>
    </nc>
  </rcc>
  <rcc rId="676" sId="1">
    <nc r="J22" t="inlineStr">
      <is>
        <t>Montevideo</t>
      </is>
    </nc>
  </rcc>
  <rcc rId="677" sId="1" numFmtId="34">
    <nc r="N22">
      <v>3300.6</v>
    </nc>
  </rcc>
  <rcc rId="678" sId="1">
    <nc r="O22">
      <f>18+11</f>
    </nc>
  </rcc>
  <rcc rId="679" sId="1" numFmtId="19">
    <nc r="T22">
      <v>46045</v>
    </nc>
  </rcc>
  <rcc rId="680" sId="1">
    <nc r="U22" t="inlineStr">
      <is>
        <t>SI</t>
      </is>
    </nc>
  </rcc>
  <rcc rId="681" sId="1">
    <nc r="V22" t="inlineStr">
      <is>
        <t>SI</t>
      </is>
    </nc>
  </rcc>
  <rcc rId="682" sId="1">
    <nc r="W22" t="inlineStr">
      <is>
        <t>SI</t>
      </is>
    </nc>
  </rcc>
  <rcc rId="683" sId="1">
    <nc r="Y22" t="inlineStr">
      <is>
        <t>BED 6748</t>
      </is>
    </nc>
  </rcc>
  <rcc rId="684" sId="1" numFmtId="34">
    <nc r="AD22">
      <v>97593</v>
    </nc>
  </rcc>
  <rcc rId="685" sId="1" numFmtId="27">
    <nc r="AE22">
      <v>46041.393055555556</v>
    </nc>
  </rcc>
  <rcc rId="686" sId="1" numFmtId="34">
    <nc r="AF22">
      <v>98027</v>
    </nc>
  </rcc>
  <rcc rId="687" sId="1" numFmtId="27">
    <nc r="AG22">
      <v>46045.380555555559</v>
    </nc>
  </rcc>
  <rcc rId="688" sId="1">
    <nc r="AI22">
      <v>4</v>
    </nc>
  </rcc>
  <rcc rId="689" sId="1">
    <nc r="AM22">
      <f>+AH22/Q22</f>
    </nc>
  </rcc>
  <rcc rId="690" sId="1">
    <nc r="AN22">
      <f>+Q22/AI22</f>
    </nc>
  </rcc>
  <rcc rId="691" sId="1">
    <nc r="AQ22">
      <f>+N22/78.54</f>
    </nc>
  </rcc>
  <rcc rId="692" sId="1">
    <nc r="AR22">
      <f>+AH22/11</f>
    </nc>
  </rcc>
  <rcc rId="693" sId="1">
    <nc r="AS22">
      <f>+AR22-AQ22</f>
    </nc>
  </rcc>
  <rcc rId="694" sId="1">
    <nc r="AT22">
      <f>+AH22/AQ22</f>
    </nc>
  </rcc>
  <rfmt sheetId="1" sqref="A22:AK22">
    <dxf>
      <fill>
        <patternFill patternType="solid">
          <bgColor rgb="FF92D050"/>
        </patternFill>
      </fill>
    </dxf>
  </rfmt>
  <rcc rId="695" sId="1">
    <nc r="B23" t="inlineStr">
      <is>
        <t>Ignacio Ceroni</t>
      </is>
    </nc>
  </rcc>
  <rcc rId="696" sId="1">
    <nc r="C23">
      <v>3007</v>
    </nc>
  </rcc>
  <rcc rId="697" sId="1">
    <nc r="J23" t="inlineStr">
      <is>
        <t>Montevideo</t>
      </is>
    </nc>
  </rcc>
  <rcc rId="698" sId="1">
    <nc r="K23" t="inlineStr">
      <is>
        <t>Alquiler</t>
      </is>
    </nc>
  </rcc>
  <rcc rId="699" sId="1">
    <nc r="A23">
      <v>22</v>
    </nc>
  </rcc>
  <rcc rId="700" sId="1">
    <nc r="D23">
      <v>12</v>
    </nc>
  </rcc>
  <rcc rId="701" sId="1">
    <nc r="E23" t="inlineStr">
      <is>
        <t>15/01 al 31/01/2026</t>
      </is>
    </nc>
  </rcc>
  <rcc rId="702" sId="1" numFmtId="19">
    <nc r="F23">
      <v>46037</v>
    </nc>
  </rcc>
  <rcc rId="703" sId="1" numFmtId="19">
    <nc r="G23">
      <v>46053</v>
    </nc>
  </rcc>
  <rcc rId="704" sId="1">
    <nc r="N23">
      <f>1800+2768.1</f>
    </nc>
  </rcc>
  <rcc rId="705" sId="1" numFmtId="34">
    <nc r="O23">
      <v>9</v>
    </nc>
  </rcc>
  <rcc rId="706" sId="1" numFmtId="34">
    <nc r="P23">
      <v>6</v>
    </nc>
  </rcc>
  <rcc rId="707" sId="1" numFmtId="19">
    <nc r="T23">
      <v>46045</v>
    </nc>
  </rcc>
  <rcc rId="708" sId="1">
    <nc r="U23" t="inlineStr">
      <is>
        <t>SI</t>
      </is>
    </nc>
  </rcc>
  <rcc rId="709" sId="1">
    <nc r="V23" t="inlineStr">
      <is>
        <t>SI</t>
      </is>
    </nc>
  </rcc>
  <rcc rId="710" sId="1">
    <nc r="W23" t="inlineStr">
      <is>
        <t>SI</t>
      </is>
    </nc>
  </rcc>
  <rcc rId="711" sId="1">
    <nc r="Y23" t="inlineStr">
      <is>
        <t>SCG 4199</t>
      </is>
    </nc>
  </rcc>
  <rfmt sheetId="1" sqref="A23:AK23">
    <dxf>
      <fill>
        <patternFill patternType="solid">
          <bgColor rgb="FF92D050"/>
        </patternFill>
      </fill>
    </dxf>
  </rfmt>
  <rcv guid="{D015136D-255F-4042-9389-EB535F138010}" action="delete"/>
  <rdn rId="0" localSheetId="1" customView="1" name="Z_D015136D_255F_4042_9389_EB535F138010_.wvu.FilterData" hidden="1" oldHidden="1">
    <formula>DATA!$A$1:$AY$31</formula>
    <oldFormula>DATA!$A$1:$AY$31</oldFormula>
  </rdn>
  <rcv guid="{D015136D-255F-4042-9389-EB535F138010}" action="add"/>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3" sId="1">
    <nc r="B24" t="inlineStr">
      <is>
        <t>Lorena Cabrera</t>
      </is>
    </nc>
  </rcc>
  <rcc rId="714" sId="1">
    <nc r="C24">
      <v>1618</v>
    </nc>
  </rcc>
  <rcc rId="715" sId="1">
    <nc r="D24">
      <v>3</v>
    </nc>
  </rcc>
  <rcc rId="716" sId="1">
    <nc r="J24" t="inlineStr">
      <is>
        <t>Canelones, Maldonado</t>
      </is>
    </nc>
  </rcc>
  <rcc rId="717" sId="1">
    <nc r="K24" t="inlineStr">
      <is>
        <t>Alquiler</t>
      </is>
    </nc>
  </rcc>
  <rcc rId="718" sId="1">
    <nc r="A24">
      <v>23</v>
    </nc>
  </rcc>
  <rcc rId="719" sId="1">
    <nc r="E24" t="inlineStr">
      <is>
        <t>20/01 al 22/01/2026</t>
      </is>
    </nc>
  </rcc>
  <rcc rId="720" sId="1" numFmtId="19">
    <nc r="F24">
      <v>46042</v>
    </nc>
  </rcc>
  <rcc rId="721" sId="1" numFmtId="19">
    <nc r="G24">
      <v>46044</v>
    </nc>
  </rcc>
  <rcc rId="722" sId="1">
    <oc r="K23" t="inlineStr">
      <is>
        <t>Alquiler</t>
      </is>
    </oc>
    <nc r="K23" t="inlineStr">
      <is>
        <t>Propio</t>
      </is>
    </nc>
  </rcc>
  <rcc rId="723" sId="1">
    <nc r="I22">
      <v>20</v>
    </nc>
  </rcc>
  <rcc rId="724" sId="1">
    <nc r="I24">
      <v>15</v>
    </nc>
  </rcc>
  <rcc rId="725" sId="1">
    <nc r="N24">
      <f>2770.9+354.5</f>
    </nc>
  </rcc>
  <rcc rId="726" sId="1" numFmtId="34">
    <nc r="O24">
      <v>10</v>
    </nc>
  </rcc>
  <rcc rId="727" sId="1" numFmtId="19">
    <nc r="T24">
      <v>46049</v>
    </nc>
  </rcc>
  <rcc rId="728" sId="1">
    <nc r="U24" t="inlineStr">
      <is>
        <t>SI</t>
      </is>
    </nc>
  </rcc>
  <rcc rId="729" sId="1">
    <nc r="V24" t="inlineStr">
      <is>
        <t>SI</t>
      </is>
    </nc>
  </rcc>
  <rcc rId="730" sId="1">
    <nc r="W24" t="inlineStr">
      <is>
        <t>SI</t>
      </is>
    </nc>
  </rcc>
  <rcc rId="731" sId="1">
    <nc r="Y24" t="inlineStr">
      <is>
        <t>AAL 4305</t>
      </is>
    </nc>
  </rcc>
  <rcc rId="732" sId="1" numFmtId="34">
    <nc r="AD24">
      <v>106904</v>
    </nc>
  </rcc>
  <rcc rId="733" sId="1" numFmtId="27">
    <nc r="AE24">
      <v>46042.375</v>
    </nc>
  </rcc>
  <rcc rId="734" sId="1" numFmtId="34">
    <nc r="AF24">
      <v>107433</v>
    </nc>
  </rcc>
  <rcc rId="735" sId="1" numFmtId="27">
    <nc r="AG24">
      <v>46045.375</v>
    </nc>
  </rcc>
  <rcc rId="736" sId="1">
    <nc r="AI24">
      <v>2</v>
    </nc>
  </rcc>
  <rcc rId="737" sId="1">
    <nc r="AM24">
      <f>+AH24/Q24</f>
    </nc>
  </rcc>
  <rcc rId="738" sId="1">
    <nc r="AN24">
      <f>+Q24/AI24</f>
    </nc>
  </rcc>
  <rcc rId="739" sId="1">
    <nc r="AQ24">
      <f>+N24/78.54</f>
    </nc>
  </rcc>
  <rcc rId="740" sId="1">
    <nc r="AR24">
      <f>+AH24/11</f>
    </nc>
  </rcc>
  <rcc rId="741" sId="1">
    <nc r="AS24">
      <f>+AR24-AQ24</f>
    </nc>
  </rcc>
  <rcc rId="742" sId="1">
    <nc r="AT24">
      <f>+AH24/AQ24</f>
    </nc>
  </rcc>
  <rfmt sheetId="1" sqref="A24:AK24">
    <dxf>
      <fill>
        <patternFill patternType="solid">
          <bgColor rgb="FF92D050"/>
        </patternFill>
      </fill>
    </dxf>
  </rfmt>
  <rcv guid="{D015136D-255F-4042-9389-EB535F138010}" action="delete"/>
  <rdn rId="0" localSheetId="1" customView="1" name="Z_D015136D_255F_4042_9389_EB535F138010_.wvu.FilterData" hidden="1" oldHidden="1">
    <formula>DATA!$A$1:$AY$31</formula>
    <oldFormula>DATA!$A$1:$AY$31</oldFormula>
  </rdn>
  <rcv guid="{D015136D-255F-4042-9389-EB535F138010}" action="add"/>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DATA!$A$1:$AK$31</formula>
    <oldFormula>DATA!$A$1:$AY$31</oldFormula>
  </rdn>
  <rcv guid="{D015136D-255F-4042-9389-EB535F138010}" action="add"/>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5" sId="1">
    <nc r="B25" t="inlineStr">
      <is>
        <t>Agustin Buñevaz</t>
      </is>
    </nc>
  </rcc>
  <rcc rId="746" sId="1">
    <nc r="C25">
      <v>3152</v>
    </nc>
  </rcc>
  <rcc rId="747" sId="1">
    <nc r="J25" t="inlineStr">
      <is>
        <t>Montevideo, Canelones</t>
      </is>
    </nc>
  </rcc>
  <rcc rId="748" sId="1">
    <nc r="K25" t="inlineStr">
      <is>
        <t>Alquiler</t>
      </is>
    </nc>
  </rcc>
  <rcc rId="749" sId="1">
    <nc r="A25">
      <v>24</v>
    </nc>
  </rcc>
  <rcc rId="750" sId="1">
    <nc r="D25">
      <v>2</v>
    </nc>
  </rcc>
  <rcc rId="751" sId="1">
    <nc r="E25" t="inlineStr">
      <is>
        <t>22/01 al 23/01/2026</t>
      </is>
    </nc>
  </rcc>
  <rcc rId="752" sId="1" numFmtId="19">
    <nc r="F25">
      <v>46044</v>
    </nc>
  </rcc>
  <rcc rId="753" sId="1" numFmtId="19">
    <nc r="G25">
      <v>46045</v>
    </nc>
  </rcc>
  <rcc rId="754" sId="1" numFmtId="34">
    <nc r="N25">
      <v>2630</v>
    </nc>
  </rcc>
  <rcc rId="755" sId="1" numFmtId="34">
    <nc r="O25">
      <v>10</v>
    </nc>
  </rcc>
  <rcc rId="756" sId="1" numFmtId="19">
    <nc r="T25">
      <v>46049</v>
    </nc>
  </rcc>
  <rcc rId="757" sId="1" odxf="1" dxf="1">
    <nc r="U25" t="inlineStr">
      <is>
        <t>SI</t>
      </is>
    </nc>
    <odxf>
      <fill>
        <patternFill patternType="none">
          <bgColor indexed="65"/>
        </patternFill>
      </fill>
    </odxf>
    <ndxf>
      <fill>
        <patternFill patternType="solid">
          <bgColor rgb="FF92D050"/>
        </patternFill>
      </fill>
    </ndxf>
  </rcc>
  <rcc rId="758" sId="1" odxf="1" dxf="1">
    <nc r="V25" t="inlineStr">
      <is>
        <t>SI</t>
      </is>
    </nc>
    <odxf>
      <fill>
        <patternFill patternType="none">
          <bgColor indexed="65"/>
        </patternFill>
      </fill>
    </odxf>
    <ndxf>
      <fill>
        <patternFill patternType="solid">
          <bgColor rgb="FF92D050"/>
        </patternFill>
      </fill>
    </ndxf>
  </rcc>
  <rcc rId="759" sId="1" odxf="1" dxf="1">
    <nc r="W25" t="inlineStr">
      <is>
        <t>SI</t>
      </is>
    </nc>
    <odxf>
      <fill>
        <patternFill patternType="none">
          <bgColor indexed="65"/>
        </patternFill>
      </fill>
    </odxf>
    <ndxf>
      <fill>
        <patternFill patternType="solid">
          <bgColor rgb="FF92D050"/>
        </patternFill>
      </fill>
    </ndxf>
  </rcc>
  <rcc rId="760" sId="1">
    <nc r="Y25" t="inlineStr">
      <is>
        <t>AAL 4328</t>
      </is>
    </nc>
  </rcc>
  <rcc rId="761" sId="1" numFmtId="34">
    <nc r="AD25">
      <v>66471</v>
    </nc>
  </rcc>
  <rcc rId="762" sId="1" numFmtId="27">
    <nc r="AE25">
      <v>46043.748611111114</v>
    </nc>
  </rcc>
  <rcc rId="763" sId="1" numFmtId="34">
    <nc r="AF25">
      <v>66806</v>
    </nc>
  </rcc>
  <rcc rId="764" sId="1" numFmtId="27">
    <nc r="AG25">
      <v>46045.743750000001</v>
    </nc>
  </rcc>
  <rcc rId="765" sId="1">
    <nc r="AI25">
      <v>2</v>
    </nc>
  </rcc>
  <rcc rId="766" sId="1">
    <nc r="AM25">
      <f>+AH25/Q25</f>
    </nc>
  </rcc>
  <rcc rId="767" sId="1">
    <nc r="AN25">
      <f>+Q25/AI25</f>
    </nc>
  </rcc>
  <rcc rId="768" sId="1">
    <nc r="AQ25">
      <f>+N25/78.54</f>
    </nc>
  </rcc>
  <rcc rId="769" sId="1">
    <nc r="AR25">
      <f>+AH25/11</f>
    </nc>
  </rcc>
  <rcc rId="770" sId="1">
    <nc r="AS25">
      <f>+AR25-AQ25</f>
    </nc>
  </rcc>
  <rcc rId="771" sId="1">
    <nc r="AT25">
      <f>+AH25/AQ25</f>
    </nc>
  </rcc>
  <rfmt sheetId="1" sqref="A25:AK25">
    <dxf>
      <fill>
        <patternFill>
          <bgColor rgb="FF92D050"/>
        </patternFill>
      </fill>
    </dxf>
  </rfmt>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3" sId="1">
    <nc r="B26" t="inlineStr">
      <is>
        <t>Ricardo Cardona</t>
      </is>
    </nc>
  </rcc>
  <rcc rId="774" sId="1">
    <nc r="C26">
      <v>1512</v>
    </nc>
  </rcc>
  <rcc rId="775" sId="1">
    <nc r="D26">
      <v>3</v>
    </nc>
  </rcc>
  <rcc rId="776" sId="1" numFmtId="34">
    <nc r="H26">
      <v>7000</v>
    </nc>
  </rcc>
  <rcc rId="777" sId="1">
    <nc r="I26">
      <v>15</v>
    </nc>
  </rcc>
  <rcc rId="778" sId="1">
    <nc r="K26" t="inlineStr">
      <is>
        <t>Alquiler</t>
      </is>
    </nc>
  </rcc>
  <rcc rId="779" sId="1">
    <nc r="A26">
      <v>25</v>
    </nc>
  </rcc>
  <rcc rId="780" sId="1">
    <nc r="J26" t="inlineStr">
      <is>
        <t>Montevideo, Río Negro</t>
      </is>
    </nc>
  </rcc>
  <rcc rId="781" sId="1">
    <nc r="E26" t="inlineStr">
      <is>
        <t>03/02 al 05/02/2026</t>
      </is>
    </nc>
  </rcc>
  <rcc rId="782" sId="1" numFmtId="19">
    <nc r="F26">
      <v>46056</v>
    </nc>
  </rcc>
  <rcc rId="783" sId="1" numFmtId="19">
    <nc r="G26">
      <v>46058</v>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5" sId="1">
    <nc r="B27" t="inlineStr">
      <is>
        <t>Lorena Cabrera</t>
      </is>
    </nc>
  </rcc>
  <rcc rId="786" sId="1">
    <nc r="C27">
      <v>1618</v>
    </nc>
  </rcc>
  <rcc rId="787" sId="1" numFmtId="34">
    <nc r="H27">
      <v>4500</v>
    </nc>
  </rcc>
  <rcc rId="788" sId="1">
    <nc r="I27">
      <v>15</v>
    </nc>
  </rcc>
  <rcc rId="789" sId="1">
    <nc r="J27" t="inlineStr">
      <is>
        <t>Canelones, Maldonado</t>
      </is>
    </nc>
  </rcc>
  <rcc rId="790" sId="1">
    <nc r="K27" t="inlineStr">
      <is>
        <t>Alquiler</t>
      </is>
    </nc>
  </rcc>
  <rcc rId="791" sId="1">
    <nc r="A27">
      <v>26</v>
    </nc>
  </rcc>
  <rcc rId="792" sId="1">
    <nc r="D27">
      <v>3</v>
    </nc>
  </rcc>
  <rcc rId="793" sId="1">
    <nc r="E27" t="inlineStr">
      <is>
        <t>03/02 al 05/02/2026</t>
      </is>
    </nc>
  </rcc>
  <rcc rId="794" sId="1" numFmtId="19">
    <nc r="F27">
      <v>46056</v>
    </nc>
  </rcc>
  <rcc rId="795" sId="1" numFmtId="19">
    <nc r="G27">
      <v>46058</v>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7" sId="1">
    <nc r="B28" t="inlineStr">
      <is>
        <t>Luis Amicone</t>
      </is>
    </nc>
  </rcc>
  <rcc rId="798" sId="1">
    <nc r="C28">
      <v>3075</v>
    </nc>
  </rcc>
  <rcc rId="799" sId="1">
    <nc r="A28">
      <v>27</v>
    </nc>
  </rcc>
  <rcc rId="800" sId="1">
    <nc r="D28">
      <v>3</v>
    </nc>
  </rcc>
  <rcc rId="801" sId="1">
    <nc r="E28" t="inlineStr">
      <is>
        <t>03/02 al 05/02/2026</t>
      </is>
    </nc>
  </rcc>
  <rcc rId="802" sId="1" numFmtId="19">
    <nc r="F28">
      <v>46056</v>
    </nc>
  </rcc>
  <rcc rId="803" sId="1" numFmtId="19">
    <nc r="G28">
      <v>46058</v>
    </nc>
  </rcc>
  <rcc rId="804" sId="1" numFmtId="34">
    <nc r="H28">
      <v>8000</v>
    </nc>
  </rcc>
  <rcc rId="805" sId="1">
    <nc r="I28">
      <v>15</v>
    </nc>
  </rcc>
  <rcc rId="806" sId="1">
    <nc r="J28" t="inlineStr">
      <is>
        <t>Montevideo, Salto</t>
      </is>
    </nc>
  </rcc>
  <rcc rId="807" sId="1">
    <nc r="K28" t="inlineStr">
      <is>
        <t>Alquiler</t>
      </is>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0" sId="1">
    <nc r="B29" t="inlineStr">
      <is>
        <t>Natalia Greco</t>
      </is>
    </nc>
  </rcc>
  <rcc rId="811" sId="1">
    <nc r="C29">
      <v>3164</v>
    </nc>
  </rcc>
  <rcc rId="812" sId="1" numFmtId="34">
    <nc r="H29">
      <v>5000</v>
    </nc>
  </rcc>
  <rcc rId="813" sId="1">
    <nc r="I29">
      <v>15</v>
    </nc>
  </rcc>
  <rcc rId="814" sId="1">
    <nc r="K29" t="inlineStr">
      <is>
        <t>Alquiler</t>
      </is>
    </nc>
  </rcc>
  <rcc rId="815" sId="1">
    <nc r="A29">
      <v>28</v>
    </nc>
  </rcc>
  <rcc rId="816" sId="1">
    <nc r="D29">
      <v>3</v>
    </nc>
  </rcc>
  <rcc rId="817" sId="1">
    <nc r="E29" t="inlineStr">
      <is>
        <t>03/02 al 05/02/2026</t>
      </is>
    </nc>
  </rcc>
  <rcc rId="818" sId="1" numFmtId="19">
    <nc r="F29">
      <v>46056</v>
    </nc>
  </rcc>
  <rcc rId="819" sId="1" numFmtId="19">
    <nc r="G29">
      <v>46058</v>
    </nc>
  </rcc>
  <rcc rId="820" sId="1">
    <nc r="J29" t="inlineStr">
      <is>
        <t>Montevideo, San José</t>
      </is>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3" sId="1">
    <nc r="M20">
      <f>+N20-H20</f>
    </nc>
  </rcc>
  <rcc rId="824" sId="1" numFmtId="34">
    <nc r="N20">
      <v>3050.59</v>
    </nc>
  </rcc>
  <rcc rId="825" sId="1">
    <nc r="O20">
      <f>20+6</f>
    </nc>
  </rcc>
  <rcc rId="826" sId="1">
    <nc r="U19" t="inlineStr">
      <is>
        <t>SI</t>
      </is>
    </nc>
  </rcc>
  <rcc rId="827" sId="1">
    <nc r="V19" t="inlineStr">
      <is>
        <t>SI</t>
      </is>
    </nc>
  </rcc>
  <rcc rId="828" sId="1">
    <nc r="W19" t="inlineStr">
      <is>
        <t>SI</t>
      </is>
    </nc>
  </rcc>
  <rcc rId="829" sId="1" numFmtId="19">
    <nc r="T19">
      <v>46037</v>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1" sId="1">
    <nc r="Q20">
      <f>+P20+O20</f>
    </nc>
  </rcc>
  <rcc rId="832" sId="1">
    <nc r="R20">
      <f>(N20/Q20)</f>
    </nc>
  </rcc>
  <rcc rId="833" sId="1">
    <nc r="S20">
      <f>(('Costo por negocio'!$B$2-DATA!R20)*DATA!O20)+('Costo por negocio'!$C$2-DATA!R20)*DATA!P20</f>
    </nc>
  </rcc>
  <rcc rId="834" sId="1" numFmtId="19">
    <nc r="T20">
      <v>46052</v>
    </nc>
  </rcc>
  <rcc rId="835" sId="1">
    <nc r="U20" t="inlineStr">
      <is>
        <t>SI</t>
      </is>
    </nc>
  </rcc>
  <rcc rId="836" sId="1">
    <nc r="V20" t="inlineStr">
      <is>
        <t>SI</t>
      </is>
    </nc>
  </rcc>
  <rcc rId="837" sId="1">
    <nc r="W20" t="inlineStr">
      <is>
        <t>SI</t>
      </is>
    </nc>
  </rcc>
  <rcc rId="838" sId="1">
    <nc r="Y20" t="inlineStr">
      <is>
        <t>BEB 4233</t>
      </is>
    </nc>
  </rcc>
  <rcc rId="839" sId="1" numFmtId="34">
    <nc r="AD20">
      <v>109722</v>
    </nc>
  </rcc>
  <rcc rId="840" sId="1" numFmtId="27">
    <nc r="AE20">
      <v>46049.375</v>
    </nc>
  </rcc>
  <rcc rId="841" sId="1" numFmtId="34">
    <nc r="AF20">
      <v>110060</v>
    </nc>
  </rcc>
  <rcc rId="842" sId="1" numFmtId="27">
    <nc r="AG20">
      <v>46052.375</v>
    </nc>
  </rcc>
  <rcc rId="843" sId="1">
    <nc r="AH20">
      <f>+AF20-AD20</f>
    </nc>
  </rcc>
  <rcc rId="844" sId="1">
    <nc r="AI20">
      <v>3</v>
    </nc>
  </rcc>
  <rcc rId="845" sId="1">
    <nc r="AJ20">
      <f>+AI20*5</f>
    </nc>
  </rcc>
  <rcc rId="846" sId="1">
    <nc r="AK20">
      <f>+Q20-AJ20</f>
    </nc>
  </rcc>
  <rcc rId="847" sId="1">
    <nc r="AM20">
      <f>+AH20/Q20</f>
    </nc>
  </rcc>
  <rcc rId="848" sId="1">
    <nc r="AN20">
      <f>+Q20/AI20</f>
    </nc>
  </rcc>
  <rcc rId="849" sId="1">
    <nc r="AQ20">
      <f>+N20/78.54</f>
    </nc>
  </rcc>
  <rcc rId="850" sId="1">
    <nc r="AR20">
      <f>+AH20/11</f>
    </nc>
  </rcc>
  <rcc rId="851" sId="1">
    <nc r="AS20">
      <f>+AR20-AQ20</f>
    </nc>
  </rcc>
  <rcc rId="852" sId="1">
    <nc r="AT20">
      <f>+AH20/AQ20</f>
    </nc>
  </rcc>
  <rfmt sheetId="1" sqref="A20:AK20">
    <dxf>
      <fill>
        <patternFill patternType="solid">
          <bgColor rgb="FF92D050"/>
        </patternFill>
      </fill>
    </dxf>
  </rfmt>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4" sId="1">
    <nc r="B30" t="inlineStr">
      <is>
        <t>Luis Amicone</t>
      </is>
    </nc>
  </rcc>
  <rcc rId="855" sId="1">
    <nc r="C30">
      <v>3075</v>
    </nc>
  </rcc>
  <rcc rId="856" sId="1">
    <nc r="J30" t="inlineStr">
      <is>
        <t>Montevideo</t>
      </is>
    </nc>
  </rcc>
  <rcc rId="857" sId="1">
    <nc r="K30" t="inlineStr">
      <is>
        <t>Propio</t>
      </is>
    </nc>
  </rcc>
  <rcc rId="858" sId="1">
    <nc r="A30">
      <v>29</v>
    </nc>
  </rcc>
  <rcc rId="859" sId="1">
    <nc r="D30">
      <v>12</v>
    </nc>
  </rcc>
  <rcc rId="860" sId="1">
    <nc r="E30" t="inlineStr">
      <is>
        <t>15/01 al 31/01/2026</t>
      </is>
    </nc>
  </rcc>
  <rcc rId="861" sId="1" numFmtId="19">
    <nc r="F30">
      <v>46037</v>
    </nc>
  </rcc>
  <rcc rId="862" sId="1" numFmtId="19">
    <nc r="G30">
      <v>46053</v>
    </nc>
  </rcc>
  <rcc rId="863" sId="1">
    <nc r="M30">
      <f>+N30-H30</f>
    </nc>
  </rcc>
  <rcc rId="864" sId="1">
    <nc r="N30">
      <f>2000+1000+2000+2000+500</f>
    </nc>
  </rcc>
  <rcc rId="865" sId="1">
    <nc r="O30">
      <f>16+11</f>
    </nc>
  </rcc>
  <rcc rId="866" sId="1" odxf="1" dxf="1">
    <oc r="R30">
      <f>(N30/Q30)</f>
    </oc>
    <nc r="R30">
      <f>(N30/Q30)</f>
    </nc>
    <odxf>
      <numFmt numFmtId="0" formatCode="General"/>
      <fill>
        <patternFill patternType="none">
          <bgColor indexed="65"/>
        </patternFill>
      </fill>
    </odxf>
    <ndxf>
      <numFmt numFmtId="35" formatCode="_-* #,##0.00_-;\-* #,##0.00_-;_-* &quot;-&quot;??_-;_-@_-"/>
      <fill>
        <patternFill patternType="solid">
          <bgColor rgb="FF92D050"/>
        </patternFill>
      </fill>
    </ndxf>
  </rcc>
  <rcc rId="867" sId="1" numFmtId="19">
    <nc r="T30">
      <v>46052</v>
    </nc>
  </rcc>
  <rcc rId="868" sId="1">
    <nc r="U30" t="inlineStr">
      <is>
        <t>SI</t>
      </is>
    </nc>
  </rcc>
  <rcc rId="869" sId="1">
    <nc r="V30" t="inlineStr">
      <is>
        <t>SI</t>
      </is>
    </nc>
  </rcc>
  <rcc rId="870" sId="1">
    <nc r="W30" t="inlineStr">
      <is>
        <t>SI</t>
      </is>
    </nc>
  </rcc>
  <rcc rId="871" sId="1">
    <nc r="Y30" t="inlineStr">
      <is>
        <t>SDA 5511</t>
      </is>
    </nc>
  </rcc>
  <rfmt sheetId="1" sqref="A30:AK30">
    <dxf>
      <fill>
        <patternFill>
          <bgColor rgb="FF92D050"/>
        </patternFill>
      </fill>
    </dxf>
  </rfmt>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73" sId="1">
    <nc r="B31" t="inlineStr">
      <is>
        <t>Rolando Ball</t>
      </is>
    </nc>
  </rcc>
  <rcc rId="874" sId="1">
    <nc r="C31">
      <v>1332</v>
    </nc>
  </rcc>
  <rcc rId="875" sId="1">
    <nc r="J31" t="inlineStr">
      <is>
        <t>Rocha</t>
      </is>
    </nc>
  </rcc>
  <rcc rId="876" sId="1">
    <nc r="K31" t="inlineStr">
      <is>
        <t>Propio</t>
      </is>
    </nc>
  </rcc>
  <rcc rId="877" sId="1">
    <nc r="A31">
      <v>30</v>
    </nc>
  </rcc>
  <rcc rId="878" sId="1">
    <nc r="D31">
      <v>12</v>
    </nc>
  </rcc>
  <rcc rId="879" sId="1">
    <nc r="E31" t="inlineStr">
      <is>
        <t>15/01 al 31/01/2026</t>
      </is>
    </nc>
  </rcc>
  <rcc rId="880" sId="1" numFmtId="19">
    <nc r="F31">
      <v>46037</v>
    </nc>
  </rcc>
  <rcc rId="881" sId="1" numFmtId="19">
    <nc r="G31">
      <v>46053</v>
    </nc>
  </rcc>
  <rcc rId="882" sId="1">
    <nc r="M31">
      <f>+N31-H31</f>
    </nc>
  </rcc>
  <rcc rId="883" sId="1">
    <nc r="N31">
      <f>2000+2300+2000</f>
    </nc>
  </rcc>
  <rcc rId="884" sId="1">
    <nc r="O31">
      <f>16+2</f>
    </nc>
  </rcc>
  <rcc rId="885" sId="1" numFmtId="34">
    <nc r="P31">
      <v>4</v>
    </nc>
  </rcc>
  <rcc rId="886" sId="1" odxf="1" dxf="1">
    <oc r="R31">
      <f>(N31/Q31)</f>
    </oc>
    <nc r="R31">
      <f>(N31/Q31)</f>
    </nc>
    <odxf>
      <numFmt numFmtId="0" formatCode="General"/>
      <fill>
        <patternFill patternType="none">
          <bgColor indexed="65"/>
        </patternFill>
      </fill>
    </odxf>
    <ndxf>
      <numFmt numFmtId="35" formatCode="_-* #,##0.00_-;\-* #,##0.00_-;_-* &quot;-&quot;??_-;_-@_-"/>
      <fill>
        <patternFill patternType="solid">
          <bgColor rgb="FF92D050"/>
        </patternFill>
      </fill>
    </ndxf>
  </rcc>
  <rfmt sheetId="1" sqref="R32" start="0" length="0">
    <dxf>
      <font>
        <sz val="11"/>
        <color theme="1"/>
        <name val="Calibri"/>
        <scheme val="none"/>
      </font>
      <numFmt numFmtId="35" formatCode="_-* #,##0.00_-;\-* #,##0.00_-;_-* &quot;-&quot;??_-;_-@_-"/>
      <fill>
        <patternFill patternType="solid">
          <bgColor rgb="FF92D050"/>
        </patternFill>
      </fill>
      <border outline="0">
        <left style="thin">
          <color indexed="64"/>
        </left>
        <right style="thin">
          <color indexed="64"/>
        </right>
        <top style="thin">
          <color indexed="64"/>
        </top>
        <bottom style="thin">
          <color indexed="64"/>
        </bottom>
      </border>
    </dxf>
  </rfmt>
  <rfmt sheetId="1" sqref="R33" start="0" length="0">
    <dxf>
      <font>
        <sz val="11"/>
        <color theme="1"/>
        <name val="Calibri"/>
        <scheme val="none"/>
      </font>
      <numFmt numFmtId="35" formatCode="_-* #,##0.00_-;\-* #,##0.00_-;_-* &quot;-&quot;??_-;_-@_-"/>
      <fill>
        <patternFill patternType="solid">
          <bgColor rgb="FF92D050"/>
        </patternFill>
      </fill>
      <border outline="0">
        <left style="thin">
          <color indexed="64"/>
        </left>
        <right style="thin">
          <color indexed="64"/>
        </right>
        <top style="thin">
          <color indexed="64"/>
        </top>
        <bottom style="thin">
          <color indexed="64"/>
        </bottom>
      </border>
    </dxf>
  </rfmt>
  <rfmt sheetId="1" sqref="R34" start="0" length="0">
    <dxf>
      <font>
        <sz val="11"/>
        <color theme="1"/>
        <name val="Calibri"/>
        <scheme val="none"/>
      </font>
      <numFmt numFmtId="35" formatCode="_-* #,##0.00_-;\-* #,##0.00_-;_-* &quot;-&quot;??_-;_-@_-"/>
      <fill>
        <patternFill patternType="solid">
          <bgColor rgb="FF92D050"/>
        </patternFill>
      </fill>
      <border outline="0">
        <left style="thin">
          <color indexed="64"/>
        </left>
        <right style="thin">
          <color indexed="64"/>
        </right>
        <top style="thin">
          <color indexed="64"/>
        </top>
        <bottom style="thin">
          <color indexed="64"/>
        </bottom>
      </border>
    </dxf>
  </rfmt>
  <rfmt sheetId="1" sqref="R35" start="0" length="0">
    <dxf>
      <font>
        <sz val="11"/>
        <color theme="1"/>
        <name val="Calibri"/>
        <scheme val="none"/>
      </font>
      <numFmt numFmtId="35" formatCode="_-* #,##0.00_-;\-* #,##0.00_-;_-* &quot;-&quot;??_-;_-@_-"/>
      <fill>
        <patternFill patternType="solid">
          <bgColor rgb="FF92D050"/>
        </patternFill>
      </fill>
      <border outline="0">
        <left style="thin">
          <color indexed="64"/>
        </left>
        <right style="thin">
          <color indexed="64"/>
        </right>
        <top style="thin">
          <color indexed="64"/>
        </top>
        <bottom style="thin">
          <color indexed="64"/>
        </bottom>
      </border>
    </dxf>
  </rfmt>
  <rfmt sheetId="1" sqref="R36" start="0" length="0">
    <dxf>
      <font>
        <sz val="11"/>
        <color theme="1"/>
        <name val="Calibri"/>
        <scheme val="none"/>
      </font>
      <numFmt numFmtId="35" formatCode="_-* #,##0.00_-;\-* #,##0.00_-;_-* &quot;-&quot;??_-;_-@_-"/>
      <fill>
        <patternFill patternType="solid">
          <bgColor rgb="FF92D050"/>
        </patternFill>
      </fill>
      <border outline="0">
        <left style="thin">
          <color indexed="64"/>
        </left>
        <right style="thin">
          <color indexed="64"/>
        </right>
        <top style="thin">
          <color indexed="64"/>
        </top>
        <bottom style="thin">
          <color indexed="64"/>
        </bottom>
      </border>
    </dxf>
  </rfmt>
  <rfmt sheetId="1" sqref="R37" start="0" length="0">
    <dxf>
      <font>
        <sz val="11"/>
        <color theme="1"/>
        <name val="Calibri"/>
        <scheme val="none"/>
      </font>
      <numFmt numFmtId="35" formatCode="_-* #,##0.00_-;\-* #,##0.00_-;_-* &quot;-&quot;??_-;_-@_-"/>
      <fill>
        <patternFill patternType="solid">
          <bgColor rgb="FF92D050"/>
        </patternFill>
      </fill>
      <border outline="0">
        <left style="thin">
          <color indexed="64"/>
        </left>
        <right style="thin">
          <color indexed="64"/>
        </right>
        <top style="thin">
          <color indexed="64"/>
        </top>
        <bottom style="thin">
          <color indexed="64"/>
        </bottom>
      </border>
    </dxf>
  </rfmt>
  <rfmt sheetId="1" sqref="R38" start="0" length="0">
    <dxf>
      <font>
        <sz val="11"/>
        <color theme="1"/>
        <name val="Calibri"/>
        <scheme val="none"/>
      </font>
      <numFmt numFmtId="35" formatCode="_-* #,##0.00_-;\-* #,##0.00_-;_-* &quot;-&quot;??_-;_-@_-"/>
      <fill>
        <patternFill patternType="solid">
          <bgColor rgb="FF92D050"/>
        </patternFill>
      </fill>
      <border outline="0">
        <left style="thin">
          <color indexed="64"/>
        </left>
        <right style="thin">
          <color indexed="64"/>
        </right>
        <top style="thin">
          <color indexed="64"/>
        </top>
        <bottom style="thin">
          <color indexed="64"/>
        </bottom>
      </border>
    </dxf>
  </rfmt>
  <rfmt sheetId="1" sqref="R39" start="0" length="0">
    <dxf>
      <font>
        <sz val="11"/>
        <color theme="1"/>
        <name val="Calibri"/>
        <scheme val="none"/>
      </font>
      <numFmt numFmtId="35" formatCode="_-* #,##0.00_-;\-* #,##0.00_-;_-* &quot;-&quot;??_-;_-@_-"/>
      <fill>
        <patternFill patternType="solid">
          <bgColor rgb="FF92D050"/>
        </patternFill>
      </fill>
      <border outline="0">
        <left style="thin">
          <color indexed="64"/>
        </left>
        <right style="thin">
          <color indexed="64"/>
        </right>
        <top style="thin">
          <color indexed="64"/>
        </top>
        <bottom style="thin">
          <color indexed="64"/>
        </bottom>
      </border>
    </dxf>
  </rfmt>
  <rfmt sheetId="1" sqref="R40" start="0" length="0">
    <dxf>
      <font>
        <sz val="11"/>
        <color theme="1"/>
        <name val="Calibri"/>
        <scheme val="none"/>
      </font>
      <numFmt numFmtId="35" formatCode="_-* #,##0.00_-;\-* #,##0.00_-;_-* &quot;-&quot;??_-;_-@_-"/>
      <fill>
        <patternFill patternType="solid">
          <bgColor rgb="FF92D050"/>
        </patternFill>
      </fill>
      <border outline="0">
        <left style="thin">
          <color indexed="64"/>
        </left>
        <right style="thin">
          <color indexed="64"/>
        </right>
        <top style="thin">
          <color indexed="64"/>
        </top>
        <bottom style="thin">
          <color indexed="64"/>
        </bottom>
      </border>
    </dxf>
  </rfmt>
  <rfmt sheetId="1" sqref="R41" start="0" length="0">
    <dxf>
      <font>
        <sz val="11"/>
        <color theme="1"/>
        <name val="Calibri"/>
        <scheme val="none"/>
      </font>
      <numFmt numFmtId="35" formatCode="_-* #,##0.00_-;\-* #,##0.00_-;_-* &quot;-&quot;??_-;_-@_-"/>
      <fill>
        <patternFill patternType="solid">
          <bgColor rgb="FF92D050"/>
        </patternFill>
      </fill>
      <border outline="0">
        <left style="thin">
          <color indexed="64"/>
        </left>
        <right style="thin">
          <color indexed="64"/>
        </right>
        <top style="thin">
          <color indexed="64"/>
        </top>
        <bottom style="thin">
          <color indexed="64"/>
        </bottom>
      </border>
    </dxf>
  </rfmt>
  <rfmt sheetId="1" sqref="R42" start="0" length="0">
    <dxf>
      <font>
        <sz val="11"/>
        <color theme="1"/>
        <name val="Calibri"/>
        <scheme val="none"/>
      </font>
      <numFmt numFmtId="35" formatCode="_-* #,##0.00_-;\-* #,##0.00_-;_-* &quot;-&quot;??_-;_-@_-"/>
      <fill>
        <patternFill patternType="solid">
          <bgColor rgb="FF92D050"/>
        </patternFill>
      </fill>
      <border outline="0">
        <left style="thin">
          <color indexed="64"/>
        </left>
        <right style="thin">
          <color indexed="64"/>
        </right>
        <top style="thin">
          <color indexed="64"/>
        </top>
        <bottom style="thin">
          <color indexed="64"/>
        </bottom>
      </border>
    </dxf>
  </rfmt>
  <rfmt sheetId="1" sqref="R31:R42" start="0" length="2147483647">
    <dxf>
      <font>
        <color theme="0"/>
      </font>
    </dxf>
  </rfmt>
  <rfmt sheetId="1" sqref="R31:R42">
    <dxf>
      <fill>
        <patternFill patternType="none">
          <bgColor auto="1"/>
        </patternFill>
      </fill>
    </dxf>
  </rfmt>
  <rfmt sheetId="1" sqref="R31:R42" start="0" length="2147483647">
    <dxf>
      <font>
        <color auto="1"/>
      </font>
    </dxf>
  </rfmt>
  <rcc rId="887" sId="1" numFmtId="19">
    <nc r="T31">
      <v>46056</v>
    </nc>
  </rcc>
  <rcc rId="888" sId="1">
    <nc r="U31" t="inlineStr">
      <is>
        <t>SI</t>
      </is>
    </nc>
  </rcc>
  <rcc rId="889" sId="1">
    <nc r="V31" t="inlineStr">
      <is>
        <t>SI</t>
      </is>
    </nc>
  </rcc>
  <rcc rId="890" sId="1">
    <nc r="W31" t="inlineStr">
      <is>
        <t>SI</t>
      </is>
    </nc>
  </rcc>
  <rcc rId="891" sId="1">
    <nc r="Y31" t="inlineStr">
      <is>
        <t>CBD 1303</t>
      </is>
    </nc>
  </rcc>
  <rfmt sheetId="1" sqref="N1:N1048576">
    <dxf>
      <numFmt numFmtId="35" formatCode="_-* #,##0.00_-;\-* #,##0.00_-;_-* &quot;-&quot;??_-;_-@_-"/>
    </dxf>
  </rfmt>
  <rfmt sheetId="1" sqref="R1:R1048576">
    <dxf>
      <numFmt numFmtId="35" formatCode="_-* #,##0.00_-;\-* #,##0.00_-;_-* &quot;-&quot;??_-;_-@_-"/>
    </dxf>
  </rfmt>
  <rfmt sheetId="1" sqref="S1:S1048576">
    <dxf>
      <numFmt numFmtId="35" formatCode="_-* #,##0.00_-;\-* #,##0.00_-;_-* &quot;-&quot;??_-;_-@_-"/>
    </dxf>
  </rfmt>
  <rfmt sheetId="1" sqref="A31:AK31">
    <dxf>
      <fill>
        <patternFill patternType="solid">
          <bgColor rgb="FF92D050"/>
        </patternFill>
      </fill>
    </dxf>
  </rfmt>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93" sId="1" odxf="1" dxf="1">
    <nc r="A32">
      <v>31</v>
    </nc>
    <ndxf>
      <font>
        <sz val="11"/>
        <color theme="1"/>
        <name val="Calibri"/>
        <scheme val="none"/>
      </font>
      <border outline="0">
        <left style="thin">
          <color indexed="64"/>
        </left>
        <right style="thin">
          <color indexed="64"/>
        </right>
        <top style="thin">
          <color indexed="64"/>
        </top>
        <bottom style="thin">
          <color indexed="64"/>
        </bottom>
      </border>
    </ndxf>
  </rcc>
  <rcc rId="894" sId="1" odxf="1" dxf="1">
    <nc r="B32" t="inlineStr">
      <is>
        <t>Agustin Buñevaz</t>
      </is>
    </nc>
    <ndxf>
      <font>
        <sz val="11"/>
        <color theme="1"/>
        <name val="Calibri"/>
        <scheme val="none"/>
      </font>
      <border outline="0">
        <left style="thin">
          <color indexed="64"/>
        </left>
        <right style="thin">
          <color indexed="64"/>
        </right>
        <top style="thin">
          <color indexed="64"/>
        </top>
        <bottom style="thin">
          <color indexed="64"/>
        </bottom>
      </border>
    </ndxf>
  </rcc>
  <rcc rId="895" sId="1" odxf="1" dxf="1">
    <nc r="C32">
      <v>3152</v>
    </nc>
    <ndxf>
      <font>
        <sz val="11"/>
        <color theme="1"/>
        <name val="Calibri"/>
        <scheme val="none"/>
      </font>
      <border outline="0">
        <left style="thin">
          <color indexed="64"/>
        </left>
        <right style="thin">
          <color indexed="64"/>
        </right>
        <top style="thin">
          <color indexed="64"/>
        </top>
        <bottom style="thin">
          <color indexed="64"/>
        </bottom>
      </border>
    </ndxf>
  </rcc>
  <rcc rId="896" sId="1" odxf="1" dxf="1">
    <nc r="D32">
      <v>2</v>
    </nc>
    <ndxf>
      <font>
        <sz val="11"/>
        <color theme="1"/>
        <name val="Calibri"/>
        <scheme val="none"/>
      </font>
      <border outline="0">
        <left style="thin">
          <color indexed="64"/>
        </left>
        <right style="thin">
          <color indexed="64"/>
        </right>
        <top style="thin">
          <color indexed="64"/>
        </top>
        <bottom style="thin">
          <color indexed="64"/>
        </bottom>
      </border>
    </ndxf>
  </rcc>
  <rcc rId="897" sId="1" odxf="1" dxf="1">
    <nc r="E32" t="inlineStr">
      <is>
        <t>22/01 al 23/01/2026</t>
      </is>
    </nc>
    <ndxf>
      <font>
        <sz val="11"/>
        <color theme="1"/>
        <name val="Calibri"/>
        <scheme val="none"/>
      </font>
      <border outline="0">
        <left style="thin">
          <color indexed="64"/>
        </left>
        <right style="thin">
          <color indexed="64"/>
        </right>
        <top style="thin">
          <color indexed="64"/>
        </top>
        <bottom style="thin">
          <color indexed="64"/>
        </bottom>
      </border>
    </ndxf>
  </rcc>
  <rcc rId="898" sId="1" odxf="1" dxf="1" numFmtId="19">
    <nc r="F32">
      <v>46044</v>
    </nc>
    <ndxf>
      <font>
        <sz val="11"/>
        <color theme="1"/>
        <name val="Calibri"/>
        <scheme val="none"/>
      </font>
      <numFmt numFmtId="19" formatCode="dd/mm/yyyy"/>
      <border outline="0">
        <left style="thin">
          <color indexed="64"/>
        </left>
        <right style="thin">
          <color indexed="64"/>
        </right>
        <top style="thin">
          <color indexed="64"/>
        </top>
        <bottom style="thin">
          <color indexed="64"/>
        </bottom>
      </border>
    </ndxf>
  </rcc>
  <rcc rId="899" sId="1" odxf="1" dxf="1" numFmtId="19">
    <nc r="G32">
      <v>46045</v>
    </nc>
    <ndxf>
      <font>
        <sz val="11"/>
        <color theme="1"/>
        <name val="Calibri"/>
        <scheme val="none"/>
      </font>
      <numFmt numFmtId="19" formatCode="dd/mm/yyyy"/>
      <border outline="0">
        <left style="thin">
          <color indexed="64"/>
        </left>
        <right style="thin">
          <color indexed="64"/>
        </right>
        <top style="thin">
          <color indexed="64"/>
        </top>
        <bottom style="thin">
          <color indexed="64"/>
        </bottom>
      </border>
    </ndxf>
  </rcc>
  <rfmt sheetId="1" sqref="H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2" start="0" length="0">
    <dxf>
      <font>
        <sz val="11"/>
        <color theme="1"/>
        <name val="Calibri"/>
        <scheme val="none"/>
      </font>
      <border outline="0">
        <left style="thin">
          <color indexed="64"/>
        </left>
        <right style="thin">
          <color indexed="64"/>
        </right>
        <top style="thin">
          <color indexed="64"/>
        </top>
        <bottom style="thin">
          <color indexed="64"/>
        </bottom>
      </border>
    </dxf>
  </rfmt>
  <rcc rId="900" sId="1" odxf="1" dxf="1">
    <nc r="J32" t="inlineStr">
      <is>
        <t>Montevideo, Canelones</t>
      </is>
    </nc>
    <ndxf>
      <font>
        <sz val="11"/>
        <color theme="1"/>
        <name val="Calibri"/>
        <scheme val="none"/>
      </font>
      <border outline="0">
        <left style="thin">
          <color indexed="64"/>
        </left>
        <right style="thin">
          <color indexed="64"/>
        </right>
        <top style="thin">
          <color indexed="64"/>
        </top>
        <bottom style="thin">
          <color indexed="64"/>
        </bottom>
      </border>
    </ndxf>
  </rcc>
  <rcc rId="901" sId="1" odxf="1" dxf="1">
    <nc r="K32" t="inlineStr">
      <is>
        <t>Alquiler</t>
      </is>
    </nc>
    <ndxf>
      <font>
        <sz val="11"/>
        <color theme="1"/>
        <name val="Calibri"/>
        <scheme val="none"/>
      </font>
      <border outline="0">
        <left style="thin">
          <color indexed="64"/>
        </left>
        <right style="thin">
          <color indexed="64"/>
        </right>
        <top style="thin">
          <color indexed="64"/>
        </top>
        <bottom style="thin">
          <color indexed="64"/>
        </bottom>
      </border>
    </ndxf>
  </rcc>
  <rfmt sheetId="1" sqref="L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2" start="0" length="0">
    <dxf>
      <font>
        <color auto="1"/>
        <name val="Calibri"/>
        <scheme val="none"/>
      </font>
    </dxf>
  </rfmt>
  <rfmt sheetId="1" sqref="S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2" start="0" length="0">
    <dxf>
      <font>
        <sz val="11"/>
        <color theme="1"/>
        <name val="Calibri"/>
        <scheme val="none"/>
      </font>
    </dxf>
  </rfmt>
  <rfmt sheetId="1" sqref="AM32" start="0" length="0">
    <dxf>
      <font>
        <sz val="11"/>
        <color theme="1"/>
        <name val="Calibri"/>
        <scheme val="none"/>
      </font>
      <numFmt numFmtId="1" formatCode="0"/>
    </dxf>
  </rfmt>
  <rfmt sheetId="1" sqref="AN32" start="0" length="0">
    <dxf>
      <font>
        <sz val="11"/>
        <color theme="1"/>
        <name val="Calibri"/>
        <scheme val="none"/>
      </font>
      <numFmt numFmtId="1" formatCode="0"/>
    </dxf>
  </rfmt>
  <rfmt sheetId="1" sqref="AO32" start="0" length="0">
    <dxf>
      <font>
        <sz val="11"/>
        <color theme="1"/>
        <name val="Calibri"/>
        <scheme val="none"/>
      </font>
    </dxf>
  </rfmt>
  <rfmt sheetId="1" sqref="AP32" start="0" length="0">
    <dxf>
      <font>
        <sz val="11"/>
        <color theme="1"/>
        <name val="Calibri"/>
        <scheme val="none"/>
      </font>
    </dxf>
  </rfmt>
  <rfmt sheetId="1" sqref="AQ32" start="0" length="0">
    <dxf>
      <font>
        <sz val="11"/>
        <color theme="1"/>
        <name val="Calibri"/>
        <scheme val="none"/>
      </font>
      <numFmt numFmtId="164" formatCode="_-* #,##0_-;\-* #,##0_-;_-* &quot;-&quot;??_-;_-@_-"/>
    </dxf>
  </rfmt>
  <rfmt sheetId="1" sqref="AR32" start="0" length="0">
    <dxf>
      <font>
        <sz val="11"/>
        <color theme="1"/>
        <name val="Calibri"/>
        <scheme val="none"/>
      </font>
      <numFmt numFmtId="164" formatCode="_-* #,##0_-;\-* #,##0_-;_-* &quot;-&quot;??_-;_-@_-"/>
    </dxf>
  </rfmt>
  <rfmt sheetId="1" sqref="AS32" start="0" length="0">
    <dxf>
      <font>
        <sz val="11"/>
        <color theme="1"/>
        <name val="Calibri"/>
        <scheme val="none"/>
      </font>
      <numFmt numFmtId="164" formatCode="_-* #,##0_-;\-* #,##0_-;_-* &quot;-&quot;??_-;_-@_-"/>
    </dxf>
  </rfmt>
  <rfmt sheetId="1" sqref="AT32" start="0" length="0">
    <dxf>
      <font>
        <sz val="11"/>
        <color theme="1"/>
        <name val="Calibri"/>
        <scheme val="none"/>
      </font>
      <numFmt numFmtId="164" formatCode="_-* #,##0_-;\-* #,##0_-;_-* &quot;-&quot;??_-;_-@_-"/>
    </dxf>
  </rfmt>
  <rfmt sheetId="1" sqref="AU32" start="0" length="0">
    <dxf>
      <font>
        <sz val="11"/>
        <color theme="1"/>
        <name val="Calibri"/>
        <scheme val="none"/>
      </font>
    </dxf>
  </rfmt>
  <rfmt sheetId="1" sqref="AV32" start="0" length="0">
    <dxf>
      <font>
        <sz val="11"/>
        <color theme="1"/>
        <name val="Calibri"/>
        <scheme val="none"/>
      </font>
    </dxf>
  </rfmt>
  <rfmt sheetId="1" sqref="AW32" start="0" length="0">
    <dxf>
      <font>
        <sz val="11"/>
        <color theme="1"/>
        <name val="Calibri"/>
        <scheme val="none"/>
      </font>
    </dxf>
  </rfmt>
  <rfmt sheetId="1" sqref="AX32" start="0" length="0">
    <dxf>
      <font>
        <sz val="11"/>
        <color theme="1"/>
        <name val="Calibri"/>
        <scheme val="none"/>
      </font>
    </dxf>
  </rfmt>
  <rfmt sheetId="1" sqref="AY32" start="0" length="0">
    <dxf>
      <font>
        <sz val="11"/>
        <color theme="1"/>
        <name val="Calibri"/>
        <scheme val="none"/>
      </font>
    </dxf>
  </rfmt>
  <rfmt sheetId="1" sqref="A32:XFD32" start="0" length="0">
    <dxf>
      <font>
        <sz val="11"/>
        <color theme="1"/>
        <name val="Calibri"/>
        <scheme val="none"/>
      </font>
    </dxf>
  </rfmt>
  <rfmt sheetId="1" sqref="A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3" start="0" length="0">
    <dxf>
      <font>
        <color auto="1"/>
        <name val="Calibri"/>
        <scheme val="none"/>
      </font>
    </dxf>
  </rfmt>
  <rfmt sheetId="1" sqref="S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3" start="0" length="0">
    <dxf>
      <font>
        <sz val="11"/>
        <color theme="1"/>
        <name val="Calibri"/>
        <scheme val="none"/>
      </font>
    </dxf>
  </rfmt>
  <rfmt sheetId="1" sqref="AM33" start="0" length="0">
    <dxf>
      <font>
        <sz val="11"/>
        <color theme="1"/>
        <name val="Calibri"/>
        <scheme val="none"/>
      </font>
      <numFmt numFmtId="1" formatCode="0"/>
    </dxf>
  </rfmt>
  <rfmt sheetId="1" sqref="AN33" start="0" length="0">
    <dxf>
      <font>
        <sz val="11"/>
        <color theme="1"/>
        <name val="Calibri"/>
        <scheme val="none"/>
      </font>
      <numFmt numFmtId="1" formatCode="0"/>
    </dxf>
  </rfmt>
  <rfmt sheetId="1" sqref="AO33" start="0" length="0">
    <dxf>
      <font>
        <sz val="11"/>
        <color theme="1"/>
        <name val="Calibri"/>
        <scheme val="none"/>
      </font>
    </dxf>
  </rfmt>
  <rfmt sheetId="1" sqref="AP33" start="0" length="0">
    <dxf>
      <font>
        <sz val="11"/>
        <color theme="1"/>
        <name val="Calibri"/>
        <scheme val="none"/>
      </font>
    </dxf>
  </rfmt>
  <rfmt sheetId="1" sqref="AQ33" start="0" length="0">
    <dxf>
      <font>
        <sz val="11"/>
        <color theme="1"/>
        <name val="Calibri"/>
        <scheme val="none"/>
      </font>
      <numFmt numFmtId="164" formatCode="_-* #,##0_-;\-* #,##0_-;_-* &quot;-&quot;??_-;_-@_-"/>
    </dxf>
  </rfmt>
  <rfmt sheetId="1" sqref="AR33" start="0" length="0">
    <dxf>
      <font>
        <sz val="11"/>
        <color theme="1"/>
        <name val="Calibri"/>
        <scheme val="none"/>
      </font>
      <numFmt numFmtId="164" formatCode="_-* #,##0_-;\-* #,##0_-;_-* &quot;-&quot;??_-;_-@_-"/>
    </dxf>
  </rfmt>
  <rfmt sheetId="1" sqref="AS33" start="0" length="0">
    <dxf>
      <font>
        <sz val="11"/>
        <color theme="1"/>
        <name val="Calibri"/>
        <scheme val="none"/>
      </font>
      <numFmt numFmtId="164" formatCode="_-* #,##0_-;\-* #,##0_-;_-* &quot;-&quot;??_-;_-@_-"/>
    </dxf>
  </rfmt>
  <rfmt sheetId="1" sqref="AT33" start="0" length="0">
    <dxf>
      <font>
        <sz val="11"/>
        <color theme="1"/>
        <name val="Calibri"/>
        <scheme val="none"/>
      </font>
      <numFmt numFmtId="164" formatCode="_-* #,##0_-;\-* #,##0_-;_-* &quot;-&quot;??_-;_-@_-"/>
    </dxf>
  </rfmt>
  <rfmt sheetId="1" sqref="AU33" start="0" length="0">
    <dxf>
      <font>
        <sz val="11"/>
        <color theme="1"/>
        <name val="Calibri"/>
        <scheme val="none"/>
      </font>
    </dxf>
  </rfmt>
  <rfmt sheetId="1" sqref="AV33" start="0" length="0">
    <dxf>
      <font>
        <sz val="11"/>
        <color theme="1"/>
        <name val="Calibri"/>
        <scheme val="none"/>
      </font>
    </dxf>
  </rfmt>
  <rfmt sheetId="1" sqref="AW33" start="0" length="0">
    <dxf>
      <font>
        <sz val="11"/>
        <color theme="1"/>
        <name val="Calibri"/>
        <scheme val="none"/>
      </font>
    </dxf>
  </rfmt>
  <rfmt sheetId="1" sqref="AX33" start="0" length="0">
    <dxf>
      <font>
        <sz val="11"/>
        <color theme="1"/>
        <name val="Calibri"/>
        <scheme val="none"/>
      </font>
    </dxf>
  </rfmt>
  <rfmt sheetId="1" sqref="AY33" start="0" length="0">
    <dxf>
      <font>
        <sz val="11"/>
        <color theme="1"/>
        <name val="Calibri"/>
        <scheme val="none"/>
      </font>
    </dxf>
  </rfmt>
  <rfmt sheetId="1" sqref="A33:XFD33" start="0" length="0">
    <dxf>
      <font>
        <sz val="11"/>
        <color theme="1"/>
        <name val="Calibri"/>
        <scheme val="none"/>
      </font>
    </dxf>
  </rfmt>
  <rfmt sheetId="1" sqref="A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4" start="0" length="0">
    <dxf>
      <font>
        <color auto="1"/>
        <name val="Calibri"/>
        <scheme val="none"/>
      </font>
    </dxf>
  </rfmt>
  <rfmt sheetId="1" sqref="S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4" start="0" length="0">
    <dxf>
      <font>
        <sz val="11"/>
        <color theme="1"/>
        <name val="Calibri"/>
        <scheme val="none"/>
      </font>
    </dxf>
  </rfmt>
  <rfmt sheetId="1" sqref="AM34" start="0" length="0">
    <dxf>
      <font>
        <sz val="11"/>
        <color theme="1"/>
        <name val="Calibri"/>
        <scheme val="none"/>
      </font>
      <numFmt numFmtId="1" formatCode="0"/>
    </dxf>
  </rfmt>
  <rfmt sheetId="1" sqref="AN34" start="0" length="0">
    <dxf>
      <font>
        <sz val="11"/>
        <color theme="1"/>
        <name val="Calibri"/>
        <scheme val="none"/>
      </font>
      <numFmt numFmtId="1" formatCode="0"/>
    </dxf>
  </rfmt>
  <rfmt sheetId="1" sqref="AO34" start="0" length="0">
    <dxf>
      <font>
        <sz val="11"/>
        <color theme="1"/>
        <name val="Calibri"/>
        <scheme val="none"/>
      </font>
    </dxf>
  </rfmt>
  <rfmt sheetId="1" sqref="AP34" start="0" length="0">
    <dxf>
      <font>
        <sz val="11"/>
        <color theme="1"/>
        <name val="Calibri"/>
        <scheme val="none"/>
      </font>
    </dxf>
  </rfmt>
  <rfmt sheetId="1" sqref="AQ34" start="0" length="0">
    <dxf>
      <font>
        <sz val="11"/>
        <color theme="1"/>
        <name val="Calibri"/>
        <scheme val="none"/>
      </font>
      <numFmt numFmtId="164" formatCode="_-* #,##0_-;\-* #,##0_-;_-* &quot;-&quot;??_-;_-@_-"/>
    </dxf>
  </rfmt>
  <rfmt sheetId="1" sqref="AR34" start="0" length="0">
    <dxf>
      <font>
        <sz val="11"/>
        <color theme="1"/>
        <name val="Calibri"/>
        <scheme val="none"/>
      </font>
      <numFmt numFmtId="164" formatCode="_-* #,##0_-;\-* #,##0_-;_-* &quot;-&quot;??_-;_-@_-"/>
    </dxf>
  </rfmt>
  <rfmt sheetId="1" sqref="AS34" start="0" length="0">
    <dxf>
      <font>
        <sz val="11"/>
        <color theme="1"/>
        <name val="Calibri"/>
        <scheme val="none"/>
      </font>
      <numFmt numFmtId="164" formatCode="_-* #,##0_-;\-* #,##0_-;_-* &quot;-&quot;??_-;_-@_-"/>
    </dxf>
  </rfmt>
  <rfmt sheetId="1" sqref="AT34" start="0" length="0">
    <dxf>
      <font>
        <sz val="11"/>
        <color theme="1"/>
        <name val="Calibri"/>
        <scheme val="none"/>
      </font>
      <numFmt numFmtId="164" formatCode="_-* #,##0_-;\-* #,##0_-;_-* &quot;-&quot;??_-;_-@_-"/>
    </dxf>
  </rfmt>
  <rfmt sheetId="1" sqref="AU34" start="0" length="0">
    <dxf>
      <font>
        <sz val="11"/>
        <color theme="1"/>
        <name val="Calibri"/>
        <scheme val="none"/>
      </font>
    </dxf>
  </rfmt>
  <rfmt sheetId="1" sqref="AV34" start="0" length="0">
    <dxf>
      <font>
        <sz val="11"/>
        <color theme="1"/>
        <name val="Calibri"/>
        <scheme val="none"/>
      </font>
    </dxf>
  </rfmt>
  <rfmt sheetId="1" sqref="AW34" start="0" length="0">
    <dxf>
      <font>
        <sz val="11"/>
        <color theme="1"/>
        <name val="Calibri"/>
        <scheme val="none"/>
      </font>
    </dxf>
  </rfmt>
  <rfmt sheetId="1" sqref="AX34" start="0" length="0">
    <dxf>
      <font>
        <sz val="11"/>
        <color theme="1"/>
        <name val="Calibri"/>
        <scheme val="none"/>
      </font>
    </dxf>
  </rfmt>
  <rfmt sheetId="1" sqref="AY34" start="0" length="0">
    <dxf>
      <font>
        <sz val="11"/>
        <color theme="1"/>
        <name val="Calibri"/>
        <scheme val="none"/>
      </font>
    </dxf>
  </rfmt>
  <rfmt sheetId="1" sqref="A34:XFD34" start="0" length="0">
    <dxf>
      <font>
        <sz val="11"/>
        <color theme="1"/>
        <name val="Calibri"/>
        <scheme val="none"/>
      </font>
    </dxf>
  </rfmt>
  <rfmt sheetId="1" sqref="A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5" start="0" length="0">
    <dxf>
      <font>
        <color auto="1"/>
        <name val="Calibri"/>
        <scheme val="none"/>
      </font>
    </dxf>
  </rfmt>
  <rfmt sheetId="1" sqref="S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5" start="0" length="0">
    <dxf>
      <font>
        <sz val="11"/>
        <color theme="1"/>
        <name val="Calibri"/>
        <scheme val="none"/>
      </font>
    </dxf>
  </rfmt>
  <rfmt sheetId="1" sqref="AM35" start="0" length="0">
    <dxf>
      <font>
        <sz val="11"/>
        <color theme="1"/>
        <name val="Calibri"/>
        <scheme val="none"/>
      </font>
      <numFmt numFmtId="1" formatCode="0"/>
    </dxf>
  </rfmt>
  <rfmt sheetId="1" sqref="AN35" start="0" length="0">
    <dxf>
      <font>
        <sz val="11"/>
        <color theme="1"/>
        <name val="Calibri"/>
        <scheme val="none"/>
      </font>
      <numFmt numFmtId="1" formatCode="0"/>
    </dxf>
  </rfmt>
  <rfmt sheetId="1" sqref="AO35" start="0" length="0">
    <dxf>
      <font>
        <sz val="11"/>
        <color theme="1"/>
        <name val="Calibri"/>
        <scheme val="none"/>
      </font>
    </dxf>
  </rfmt>
  <rfmt sheetId="1" sqref="AP35" start="0" length="0">
    <dxf>
      <font>
        <sz val="11"/>
        <color theme="1"/>
        <name val="Calibri"/>
        <scheme val="none"/>
      </font>
    </dxf>
  </rfmt>
  <rfmt sheetId="1" sqref="AQ35" start="0" length="0">
    <dxf>
      <font>
        <sz val="11"/>
        <color theme="1"/>
        <name val="Calibri"/>
        <scheme val="none"/>
      </font>
      <numFmt numFmtId="164" formatCode="_-* #,##0_-;\-* #,##0_-;_-* &quot;-&quot;??_-;_-@_-"/>
    </dxf>
  </rfmt>
  <rfmt sheetId="1" sqref="AR35" start="0" length="0">
    <dxf>
      <font>
        <sz val="11"/>
        <color theme="1"/>
        <name val="Calibri"/>
        <scheme val="none"/>
      </font>
      <numFmt numFmtId="164" formatCode="_-* #,##0_-;\-* #,##0_-;_-* &quot;-&quot;??_-;_-@_-"/>
    </dxf>
  </rfmt>
  <rfmt sheetId="1" sqref="AS35" start="0" length="0">
    <dxf>
      <font>
        <sz val="11"/>
        <color theme="1"/>
        <name val="Calibri"/>
        <scheme val="none"/>
      </font>
      <numFmt numFmtId="164" formatCode="_-* #,##0_-;\-* #,##0_-;_-* &quot;-&quot;??_-;_-@_-"/>
    </dxf>
  </rfmt>
  <rfmt sheetId="1" sqref="AT35" start="0" length="0">
    <dxf>
      <font>
        <sz val="11"/>
        <color theme="1"/>
        <name val="Calibri"/>
        <scheme val="none"/>
      </font>
      <numFmt numFmtId="164" formatCode="_-* #,##0_-;\-* #,##0_-;_-* &quot;-&quot;??_-;_-@_-"/>
    </dxf>
  </rfmt>
  <rfmt sheetId="1" sqref="AU35" start="0" length="0">
    <dxf>
      <font>
        <sz val="11"/>
        <color theme="1"/>
        <name val="Calibri"/>
        <scheme val="none"/>
      </font>
    </dxf>
  </rfmt>
  <rfmt sheetId="1" sqref="AV35" start="0" length="0">
    <dxf>
      <font>
        <sz val="11"/>
        <color theme="1"/>
        <name val="Calibri"/>
        <scheme val="none"/>
      </font>
    </dxf>
  </rfmt>
  <rfmt sheetId="1" sqref="AW35" start="0" length="0">
    <dxf>
      <font>
        <sz val="11"/>
        <color theme="1"/>
        <name val="Calibri"/>
        <scheme val="none"/>
      </font>
    </dxf>
  </rfmt>
  <rfmt sheetId="1" sqref="AX35" start="0" length="0">
    <dxf>
      <font>
        <sz val="11"/>
        <color theme="1"/>
        <name val="Calibri"/>
        <scheme val="none"/>
      </font>
    </dxf>
  </rfmt>
  <rfmt sheetId="1" sqref="AY35" start="0" length="0">
    <dxf>
      <font>
        <sz val="11"/>
        <color theme="1"/>
        <name val="Calibri"/>
        <scheme val="none"/>
      </font>
    </dxf>
  </rfmt>
  <rfmt sheetId="1" sqref="A35:XFD35" start="0" length="0">
    <dxf>
      <font>
        <sz val="11"/>
        <color theme="1"/>
        <name val="Calibri"/>
        <scheme val="none"/>
      </font>
    </dxf>
  </rfmt>
  <rfmt sheetId="1" sqref="A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6" start="0" length="0">
    <dxf>
      <font>
        <color auto="1"/>
        <name val="Calibri"/>
        <scheme val="none"/>
      </font>
    </dxf>
  </rfmt>
  <rfmt sheetId="1" sqref="S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6" start="0" length="0">
    <dxf>
      <font>
        <sz val="11"/>
        <color theme="1"/>
        <name val="Calibri"/>
        <scheme val="none"/>
      </font>
    </dxf>
  </rfmt>
  <rfmt sheetId="1" sqref="AM36" start="0" length="0">
    <dxf>
      <font>
        <sz val="11"/>
        <color theme="1"/>
        <name val="Calibri"/>
        <scheme val="none"/>
      </font>
      <numFmt numFmtId="1" formatCode="0"/>
    </dxf>
  </rfmt>
  <rfmt sheetId="1" sqref="AN36" start="0" length="0">
    <dxf>
      <font>
        <sz val="11"/>
        <color theme="1"/>
        <name val="Calibri"/>
        <scheme val="none"/>
      </font>
      <numFmt numFmtId="1" formatCode="0"/>
    </dxf>
  </rfmt>
  <rfmt sheetId="1" sqref="AO36" start="0" length="0">
    <dxf>
      <font>
        <sz val="11"/>
        <color theme="1"/>
        <name val="Calibri"/>
        <scheme val="none"/>
      </font>
    </dxf>
  </rfmt>
  <rfmt sheetId="1" sqref="AP36" start="0" length="0">
    <dxf>
      <font>
        <sz val="11"/>
        <color theme="1"/>
        <name val="Calibri"/>
        <scheme val="none"/>
      </font>
    </dxf>
  </rfmt>
  <rfmt sheetId="1" sqref="AQ36" start="0" length="0">
    <dxf>
      <font>
        <sz val="11"/>
        <color theme="1"/>
        <name val="Calibri"/>
        <scheme val="none"/>
      </font>
      <numFmt numFmtId="164" formatCode="_-* #,##0_-;\-* #,##0_-;_-* &quot;-&quot;??_-;_-@_-"/>
    </dxf>
  </rfmt>
  <rfmt sheetId="1" sqref="AR36" start="0" length="0">
    <dxf>
      <font>
        <sz val="11"/>
        <color theme="1"/>
        <name val="Calibri"/>
        <scheme val="none"/>
      </font>
      <numFmt numFmtId="164" formatCode="_-* #,##0_-;\-* #,##0_-;_-* &quot;-&quot;??_-;_-@_-"/>
    </dxf>
  </rfmt>
  <rfmt sheetId="1" sqref="AS36" start="0" length="0">
    <dxf>
      <font>
        <sz val="11"/>
        <color theme="1"/>
        <name val="Calibri"/>
        <scheme val="none"/>
      </font>
      <numFmt numFmtId="164" formatCode="_-* #,##0_-;\-* #,##0_-;_-* &quot;-&quot;??_-;_-@_-"/>
    </dxf>
  </rfmt>
  <rfmt sheetId="1" sqref="AT36" start="0" length="0">
    <dxf>
      <font>
        <sz val="11"/>
        <color theme="1"/>
        <name val="Calibri"/>
        <scheme val="none"/>
      </font>
      <numFmt numFmtId="164" formatCode="_-* #,##0_-;\-* #,##0_-;_-* &quot;-&quot;??_-;_-@_-"/>
    </dxf>
  </rfmt>
  <rfmt sheetId="1" sqref="AU36" start="0" length="0">
    <dxf>
      <font>
        <sz val="11"/>
        <color theme="1"/>
        <name val="Calibri"/>
        <scheme val="none"/>
      </font>
    </dxf>
  </rfmt>
  <rfmt sheetId="1" sqref="AV36" start="0" length="0">
    <dxf>
      <font>
        <sz val="11"/>
        <color theme="1"/>
        <name val="Calibri"/>
        <scheme val="none"/>
      </font>
    </dxf>
  </rfmt>
  <rfmt sheetId="1" sqref="AW36" start="0" length="0">
    <dxf>
      <font>
        <sz val="11"/>
        <color theme="1"/>
        <name val="Calibri"/>
        <scheme val="none"/>
      </font>
    </dxf>
  </rfmt>
  <rfmt sheetId="1" sqref="AX36" start="0" length="0">
    <dxf>
      <font>
        <sz val="11"/>
        <color theme="1"/>
        <name val="Calibri"/>
        <scheme val="none"/>
      </font>
    </dxf>
  </rfmt>
  <rfmt sheetId="1" sqref="AY36" start="0" length="0">
    <dxf>
      <font>
        <sz val="11"/>
        <color theme="1"/>
        <name val="Calibri"/>
        <scheme val="none"/>
      </font>
    </dxf>
  </rfmt>
  <rfmt sheetId="1" sqref="A36:XFD36" start="0" length="0">
    <dxf>
      <font>
        <sz val="11"/>
        <color theme="1"/>
        <name val="Calibri"/>
        <scheme val="none"/>
      </font>
    </dxf>
  </rfmt>
  <rfmt sheetId="1" sqref="A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7" start="0" length="0">
    <dxf>
      <font>
        <color auto="1"/>
        <name val="Calibri"/>
        <scheme val="none"/>
      </font>
    </dxf>
  </rfmt>
  <rfmt sheetId="1" sqref="S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7" start="0" length="0">
    <dxf>
      <font>
        <sz val="11"/>
        <color theme="1"/>
        <name val="Calibri"/>
        <scheme val="none"/>
      </font>
    </dxf>
  </rfmt>
  <rfmt sheetId="1" sqref="AM37" start="0" length="0">
    <dxf>
      <font>
        <sz val="11"/>
        <color theme="1"/>
        <name val="Calibri"/>
        <scheme val="none"/>
      </font>
      <numFmt numFmtId="1" formatCode="0"/>
    </dxf>
  </rfmt>
  <rfmt sheetId="1" sqref="AN37" start="0" length="0">
    <dxf>
      <font>
        <sz val="11"/>
        <color theme="1"/>
        <name val="Calibri"/>
        <scheme val="none"/>
      </font>
      <numFmt numFmtId="1" formatCode="0"/>
    </dxf>
  </rfmt>
  <rfmt sheetId="1" sqref="AO37" start="0" length="0">
    <dxf>
      <font>
        <sz val="11"/>
        <color theme="1"/>
        <name val="Calibri"/>
        <scheme val="none"/>
      </font>
    </dxf>
  </rfmt>
  <rfmt sheetId="1" sqref="AP37" start="0" length="0">
    <dxf>
      <font>
        <sz val="11"/>
        <color theme="1"/>
        <name val="Calibri"/>
        <scheme val="none"/>
      </font>
    </dxf>
  </rfmt>
  <rfmt sheetId="1" sqref="AQ37" start="0" length="0">
    <dxf>
      <font>
        <sz val="11"/>
        <color theme="1"/>
        <name val="Calibri"/>
        <scheme val="none"/>
      </font>
      <numFmt numFmtId="164" formatCode="_-* #,##0_-;\-* #,##0_-;_-* &quot;-&quot;??_-;_-@_-"/>
    </dxf>
  </rfmt>
  <rfmt sheetId="1" sqref="AR37" start="0" length="0">
    <dxf>
      <font>
        <sz val="11"/>
        <color theme="1"/>
        <name val="Calibri"/>
        <scheme val="none"/>
      </font>
      <numFmt numFmtId="164" formatCode="_-* #,##0_-;\-* #,##0_-;_-* &quot;-&quot;??_-;_-@_-"/>
    </dxf>
  </rfmt>
  <rfmt sheetId="1" sqref="AS37" start="0" length="0">
    <dxf>
      <font>
        <sz val="11"/>
        <color theme="1"/>
        <name val="Calibri"/>
        <scheme val="none"/>
      </font>
      <numFmt numFmtId="164" formatCode="_-* #,##0_-;\-* #,##0_-;_-* &quot;-&quot;??_-;_-@_-"/>
    </dxf>
  </rfmt>
  <rfmt sheetId="1" sqref="AT37" start="0" length="0">
    <dxf>
      <font>
        <sz val="11"/>
        <color theme="1"/>
        <name val="Calibri"/>
        <scheme val="none"/>
      </font>
      <numFmt numFmtId="164" formatCode="_-* #,##0_-;\-* #,##0_-;_-* &quot;-&quot;??_-;_-@_-"/>
    </dxf>
  </rfmt>
  <rfmt sheetId="1" sqref="AU37" start="0" length="0">
    <dxf>
      <font>
        <sz val="11"/>
        <color theme="1"/>
        <name val="Calibri"/>
        <scheme val="none"/>
      </font>
    </dxf>
  </rfmt>
  <rfmt sheetId="1" sqref="AV37" start="0" length="0">
    <dxf>
      <font>
        <sz val="11"/>
        <color theme="1"/>
        <name val="Calibri"/>
        <scheme val="none"/>
      </font>
    </dxf>
  </rfmt>
  <rfmt sheetId="1" sqref="AW37" start="0" length="0">
    <dxf>
      <font>
        <sz val="11"/>
        <color theme="1"/>
        <name val="Calibri"/>
        <scheme val="none"/>
      </font>
    </dxf>
  </rfmt>
  <rfmt sheetId="1" sqref="AX37" start="0" length="0">
    <dxf>
      <font>
        <sz val="11"/>
        <color theme="1"/>
        <name val="Calibri"/>
        <scheme val="none"/>
      </font>
    </dxf>
  </rfmt>
  <rfmt sheetId="1" sqref="AY37" start="0" length="0">
    <dxf>
      <font>
        <sz val="11"/>
        <color theme="1"/>
        <name val="Calibri"/>
        <scheme val="none"/>
      </font>
    </dxf>
  </rfmt>
  <rfmt sheetId="1" sqref="A37:XFD37" start="0" length="0">
    <dxf>
      <font>
        <sz val="11"/>
        <color theme="1"/>
        <name val="Calibri"/>
        <scheme val="none"/>
      </font>
    </dxf>
  </rfmt>
  <rfmt sheetId="1" sqref="A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8" start="0" length="0">
    <dxf>
      <font>
        <color auto="1"/>
        <name val="Calibri"/>
        <scheme val="none"/>
      </font>
    </dxf>
  </rfmt>
  <rfmt sheetId="1" sqref="S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8" start="0" length="0">
    <dxf>
      <font>
        <sz val="11"/>
        <color theme="1"/>
        <name val="Calibri"/>
        <scheme val="none"/>
      </font>
    </dxf>
  </rfmt>
  <rfmt sheetId="1" sqref="AM38" start="0" length="0">
    <dxf>
      <font>
        <sz val="11"/>
        <color theme="1"/>
        <name val="Calibri"/>
        <scheme val="none"/>
      </font>
      <numFmt numFmtId="1" formatCode="0"/>
    </dxf>
  </rfmt>
  <rfmt sheetId="1" sqref="AN38" start="0" length="0">
    <dxf>
      <font>
        <sz val="11"/>
        <color theme="1"/>
        <name val="Calibri"/>
        <scheme val="none"/>
      </font>
      <numFmt numFmtId="1" formatCode="0"/>
    </dxf>
  </rfmt>
  <rfmt sheetId="1" sqref="AO38" start="0" length="0">
    <dxf>
      <font>
        <sz val="11"/>
        <color theme="1"/>
        <name val="Calibri"/>
        <scheme val="none"/>
      </font>
    </dxf>
  </rfmt>
  <rfmt sheetId="1" sqref="AP38" start="0" length="0">
    <dxf>
      <font>
        <sz val="11"/>
        <color theme="1"/>
        <name val="Calibri"/>
        <scheme val="none"/>
      </font>
    </dxf>
  </rfmt>
  <rfmt sheetId="1" sqref="AQ38" start="0" length="0">
    <dxf>
      <font>
        <sz val="11"/>
        <color theme="1"/>
        <name val="Calibri"/>
        <scheme val="none"/>
      </font>
      <numFmt numFmtId="164" formatCode="_-* #,##0_-;\-* #,##0_-;_-* &quot;-&quot;??_-;_-@_-"/>
    </dxf>
  </rfmt>
  <rfmt sheetId="1" sqref="AR38" start="0" length="0">
    <dxf>
      <font>
        <sz val="11"/>
        <color theme="1"/>
        <name val="Calibri"/>
        <scheme val="none"/>
      </font>
      <numFmt numFmtId="164" formatCode="_-* #,##0_-;\-* #,##0_-;_-* &quot;-&quot;??_-;_-@_-"/>
    </dxf>
  </rfmt>
  <rfmt sheetId="1" sqref="AS38" start="0" length="0">
    <dxf>
      <font>
        <sz val="11"/>
        <color theme="1"/>
        <name val="Calibri"/>
        <scheme val="none"/>
      </font>
      <numFmt numFmtId="164" formatCode="_-* #,##0_-;\-* #,##0_-;_-* &quot;-&quot;??_-;_-@_-"/>
    </dxf>
  </rfmt>
  <rfmt sheetId="1" sqref="AT38" start="0" length="0">
    <dxf>
      <font>
        <sz val="11"/>
        <color theme="1"/>
        <name val="Calibri"/>
        <scheme val="none"/>
      </font>
      <numFmt numFmtId="164" formatCode="_-* #,##0_-;\-* #,##0_-;_-* &quot;-&quot;??_-;_-@_-"/>
    </dxf>
  </rfmt>
  <rfmt sheetId="1" sqref="AU38" start="0" length="0">
    <dxf>
      <font>
        <sz val="11"/>
        <color theme="1"/>
        <name val="Calibri"/>
        <scheme val="none"/>
      </font>
    </dxf>
  </rfmt>
  <rfmt sheetId="1" sqref="AV38" start="0" length="0">
    <dxf>
      <font>
        <sz val="11"/>
        <color theme="1"/>
        <name val="Calibri"/>
        <scheme val="none"/>
      </font>
    </dxf>
  </rfmt>
  <rfmt sheetId="1" sqref="AW38" start="0" length="0">
    <dxf>
      <font>
        <sz val="11"/>
        <color theme="1"/>
        <name val="Calibri"/>
        <scheme val="none"/>
      </font>
    </dxf>
  </rfmt>
  <rfmt sheetId="1" sqref="AX38" start="0" length="0">
    <dxf>
      <font>
        <sz val="11"/>
        <color theme="1"/>
        <name val="Calibri"/>
        <scheme val="none"/>
      </font>
    </dxf>
  </rfmt>
  <rfmt sheetId="1" sqref="AY38" start="0" length="0">
    <dxf>
      <font>
        <sz val="11"/>
        <color theme="1"/>
        <name val="Calibri"/>
        <scheme val="none"/>
      </font>
    </dxf>
  </rfmt>
  <rfmt sheetId="1" sqref="A38:XFD38" start="0" length="0">
    <dxf>
      <font>
        <sz val="11"/>
        <color theme="1"/>
        <name val="Calibri"/>
        <scheme val="none"/>
      </font>
    </dxf>
  </rfmt>
  <rfmt sheetId="1" sqref="A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9" start="0" length="0">
    <dxf>
      <font>
        <color auto="1"/>
        <name val="Calibri"/>
        <scheme val="none"/>
      </font>
    </dxf>
  </rfmt>
  <rfmt sheetId="1" sqref="S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9" start="0" length="0">
    <dxf>
      <font>
        <sz val="11"/>
        <color theme="1"/>
        <name val="Calibri"/>
        <scheme val="none"/>
      </font>
    </dxf>
  </rfmt>
  <rfmt sheetId="1" sqref="AM39" start="0" length="0">
    <dxf>
      <font>
        <sz val="11"/>
        <color theme="1"/>
        <name val="Calibri"/>
        <scheme val="none"/>
      </font>
      <numFmt numFmtId="1" formatCode="0"/>
    </dxf>
  </rfmt>
  <rfmt sheetId="1" sqref="AN39" start="0" length="0">
    <dxf>
      <font>
        <sz val="11"/>
        <color theme="1"/>
        <name val="Calibri"/>
        <scheme val="none"/>
      </font>
      <numFmt numFmtId="1" formatCode="0"/>
    </dxf>
  </rfmt>
  <rfmt sheetId="1" sqref="AO39" start="0" length="0">
    <dxf>
      <font>
        <sz val="11"/>
        <color theme="1"/>
        <name val="Calibri"/>
        <scheme val="none"/>
      </font>
    </dxf>
  </rfmt>
  <rfmt sheetId="1" sqref="AP39" start="0" length="0">
    <dxf>
      <font>
        <sz val="11"/>
        <color theme="1"/>
        <name val="Calibri"/>
        <scheme val="none"/>
      </font>
    </dxf>
  </rfmt>
  <rfmt sheetId="1" sqref="AQ39" start="0" length="0">
    <dxf>
      <font>
        <sz val="11"/>
        <color theme="1"/>
        <name val="Calibri"/>
        <scheme val="none"/>
      </font>
      <numFmt numFmtId="164" formatCode="_-* #,##0_-;\-* #,##0_-;_-* &quot;-&quot;??_-;_-@_-"/>
    </dxf>
  </rfmt>
  <rfmt sheetId="1" sqref="AR39" start="0" length="0">
    <dxf>
      <font>
        <sz val="11"/>
        <color theme="1"/>
        <name val="Calibri"/>
        <scheme val="none"/>
      </font>
      <numFmt numFmtId="164" formatCode="_-* #,##0_-;\-* #,##0_-;_-* &quot;-&quot;??_-;_-@_-"/>
    </dxf>
  </rfmt>
  <rfmt sheetId="1" sqref="AS39" start="0" length="0">
    <dxf>
      <font>
        <sz val="11"/>
        <color theme="1"/>
        <name val="Calibri"/>
        <scheme val="none"/>
      </font>
      <numFmt numFmtId="164" formatCode="_-* #,##0_-;\-* #,##0_-;_-* &quot;-&quot;??_-;_-@_-"/>
    </dxf>
  </rfmt>
  <rfmt sheetId="1" sqref="AT39" start="0" length="0">
    <dxf>
      <font>
        <sz val="11"/>
        <color theme="1"/>
        <name val="Calibri"/>
        <scheme val="none"/>
      </font>
      <numFmt numFmtId="164" formatCode="_-* #,##0_-;\-* #,##0_-;_-* &quot;-&quot;??_-;_-@_-"/>
    </dxf>
  </rfmt>
  <rfmt sheetId="1" sqref="AU39" start="0" length="0">
    <dxf>
      <font>
        <sz val="11"/>
        <color theme="1"/>
        <name val="Calibri"/>
        <scheme val="none"/>
      </font>
    </dxf>
  </rfmt>
  <rfmt sheetId="1" sqref="AV39" start="0" length="0">
    <dxf>
      <font>
        <sz val="11"/>
        <color theme="1"/>
        <name val="Calibri"/>
        <scheme val="none"/>
      </font>
    </dxf>
  </rfmt>
  <rfmt sheetId="1" sqref="AW39" start="0" length="0">
    <dxf>
      <font>
        <sz val="11"/>
        <color theme="1"/>
        <name val="Calibri"/>
        <scheme val="none"/>
      </font>
    </dxf>
  </rfmt>
  <rfmt sheetId="1" sqref="AX39" start="0" length="0">
    <dxf>
      <font>
        <sz val="11"/>
        <color theme="1"/>
        <name val="Calibri"/>
        <scheme val="none"/>
      </font>
    </dxf>
  </rfmt>
  <rfmt sheetId="1" sqref="AY39" start="0" length="0">
    <dxf>
      <font>
        <sz val="11"/>
        <color theme="1"/>
        <name val="Calibri"/>
        <scheme val="none"/>
      </font>
    </dxf>
  </rfmt>
  <rfmt sheetId="1" sqref="A39:XFD39" start="0" length="0">
    <dxf>
      <font>
        <sz val="11"/>
        <color theme="1"/>
        <name val="Calibri"/>
        <scheme val="none"/>
      </font>
    </dxf>
  </rfmt>
  <rfmt sheetId="1" sqref="A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0" start="0" length="0">
    <dxf>
      <font>
        <color auto="1"/>
        <name val="Calibri"/>
        <scheme val="none"/>
      </font>
    </dxf>
  </rfmt>
  <rfmt sheetId="1" sqref="S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0" start="0" length="0">
    <dxf>
      <font>
        <sz val="11"/>
        <color theme="1"/>
        <name val="Calibri"/>
        <scheme val="none"/>
      </font>
    </dxf>
  </rfmt>
  <rfmt sheetId="1" sqref="AM40" start="0" length="0">
    <dxf>
      <font>
        <sz val="11"/>
        <color theme="1"/>
        <name val="Calibri"/>
        <scheme val="none"/>
      </font>
      <numFmt numFmtId="1" formatCode="0"/>
    </dxf>
  </rfmt>
  <rfmt sheetId="1" sqref="AN40" start="0" length="0">
    <dxf>
      <font>
        <sz val="11"/>
        <color theme="1"/>
        <name val="Calibri"/>
        <scheme val="none"/>
      </font>
      <numFmt numFmtId="1" formatCode="0"/>
    </dxf>
  </rfmt>
  <rfmt sheetId="1" sqref="AO40" start="0" length="0">
    <dxf>
      <font>
        <sz val="11"/>
        <color theme="1"/>
        <name val="Calibri"/>
        <scheme val="none"/>
      </font>
    </dxf>
  </rfmt>
  <rfmt sheetId="1" sqref="AP40" start="0" length="0">
    <dxf>
      <font>
        <sz val="11"/>
        <color theme="1"/>
        <name val="Calibri"/>
        <scheme val="none"/>
      </font>
    </dxf>
  </rfmt>
  <rfmt sheetId="1" sqref="AQ40" start="0" length="0">
    <dxf>
      <font>
        <sz val="11"/>
        <color theme="1"/>
        <name val="Calibri"/>
        <scheme val="none"/>
      </font>
      <numFmt numFmtId="164" formatCode="_-* #,##0_-;\-* #,##0_-;_-* &quot;-&quot;??_-;_-@_-"/>
    </dxf>
  </rfmt>
  <rfmt sheetId="1" sqref="AR40" start="0" length="0">
    <dxf>
      <font>
        <sz val="11"/>
        <color theme="1"/>
        <name val="Calibri"/>
        <scheme val="none"/>
      </font>
      <numFmt numFmtId="164" formatCode="_-* #,##0_-;\-* #,##0_-;_-* &quot;-&quot;??_-;_-@_-"/>
    </dxf>
  </rfmt>
  <rfmt sheetId="1" sqref="AS40" start="0" length="0">
    <dxf>
      <font>
        <sz val="11"/>
        <color theme="1"/>
        <name val="Calibri"/>
        <scheme val="none"/>
      </font>
      <numFmt numFmtId="164" formatCode="_-* #,##0_-;\-* #,##0_-;_-* &quot;-&quot;??_-;_-@_-"/>
    </dxf>
  </rfmt>
  <rfmt sheetId="1" sqref="AT40" start="0" length="0">
    <dxf>
      <font>
        <sz val="11"/>
        <color theme="1"/>
        <name val="Calibri"/>
        <scheme val="none"/>
      </font>
      <numFmt numFmtId="164" formatCode="_-* #,##0_-;\-* #,##0_-;_-* &quot;-&quot;??_-;_-@_-"/>
    </dxf>
  </rfmt>
  <rfmt sheetId="1" sqref="AU40" start="0" length="0">
    <dxf>
      <font>
        <sz val="11"/>
        <color theme="1"/>
        <name val="Calibri"/>
        <scheme val="none"/>
      </font>
    </dxf>
  </rfmt>
  <rfmt sheetId="1" sqref="AV40" start="0" length="0">
    <dxf>
      <font>
        <sz val="11"/>
        <color theme="1"/>
        <name val="Calibri"/>
        <scheme val="none"/>
      </font>
    </dxf>
  </rfmt>
  <rfmt sheetId="1" sqref="AW40" start="0" length="0">
    <dxf>
      <font>
        <sz val="11"/>
        <color theme="1"/>
        <name val="Calibri"/>
        <scheme val="none"/>
      </font>
    </dxf>
  </rfmt>
  <rfmt sheetId="1" sqref="AX40" start="0" length="0">
    <dxf>
      <font>
        <sz val="11"/>
        <color theme="1"/>
        <name val="Calibri"/>
        <scheme val="none"/>
      </font>
    </dxf>
  </rfmt>
  <rfmt sheetId="1" sqref="AY40" start="0" length="0">
    <dxf>
      <font>
        <sz val="11"/>
        <color theme="1"/>
        <name val="Calibri"/>
        <scheme val="none"/>
      </font>
    </dxf>
  </rfmt>
  <rfmt sheetId="1" sqref="A40:XFD40" start="0" length="0">
    <dxf>
      <font>
        <sz val="11"/>
        <color theme="1"/>
        <name val="Calibri"/>
        <scheme val="none"/>
      </font>
    </dxf>
  </rfmt>
  <rfmt sheetId="1" sqref="A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1" start="0" length="0">
    <dxf>
      <font>
        <color auto="1"/>
        <name val="Calibri"/>
        <scheme val="none"/>
      </font>
    </dxf>
  </rfmt>
  <rfmt sheetId="1" sqref="S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1" start="0" length="0">
    <dxf>
      <font>
        <sz val="11"/>
        <color theme="1"/>
        <name val="Calibri"/>
        <scheme val="none"/>
      </font>
    </dxf>
  </rfmt>
  <rfmt sheetId="1" sqref="AM41" start="0" length="0">
    <dxf>
      <font>
        <sz val="11"/>
        <color theme="1"/>
        <name val="Calibri"/>
        <scheme val="none"/>
      </font>
      <numFmt numFmtId="1" formatCode="0"/>
    </dxf>
  </rfmt>
  <rfmt sheetId="1" sqref="AN41" start="0" length="0">
    <dxf>
      <font>
        <sz val="11"/>
        <color theme="1"/>
        <name val="Calibri"/>
        <scheme val="none"/>
      </font>
      <numFmt numFmtId="1" formatCode="0"/>
    </dxf>
  </rfmt>
  <rfmt sheetId="1" sqref="AO41" start="0" length="0">
    <dxf>
      <font>
        <sz val="11"/>
        <color theme="1"/>
        <name val="Calibri"/>
        <scheme val="none"/>
      </font>
    </dxf>
  </rfmt>
  <rfmt sheetId="1" sqref="AP41" start="0" length="0">
    <dxf>
      <font>
        <sz val="11"/>
        <color theme="1"/>
        <name val="Calibri"/>
        <scheme val="none"/>
      </font>
    </dxf>
  </rfmt>
  <rfmt sheetId="1" sqref="AQ41" start="0" length="0">
    <dxf>
      <font>
        <sz val="11"/>
        <color theme="1"/>
        <name val="Calibri"/>
        <scheme val="none"/>
      </font>
      <numFmt numFmtId="164" formatCode="_-* #,##0_-;\-* #,##0_-;_-* &quot;-&quot;??_-;_-@_-"/>
    </dxf>
  </rfmt>
  <rfmt sheetId="1" sqref="AR41" start="0" length="0">
    <dxf>
      <font>
        <sz val="11"/>
        <color theme="1"/>
        <name val="Calibri"/>
        <scheme val="none"/>
      </font>
      <numFmt numFmtId="164" formatCode="_-* #,##0_-;\-* #,##0_-;_-* &quot;-&quot;??_-;_-@_-"/>
    </dxf>
  </rfmt>
  <rfmt sheetId="1" sqref="AS41" start="0" length="0">
    <dxf>
      <font>
        <sz val="11"/>
        <color theme="1"/>
        <name val="Calibri"/>
        <scheme val="none"/>
      </font>
      <numFmt numFmtId="164" formatCode="_-* #,##0_-;\-* #,##0_-;_-* &quot;-&quot;??_-;_-@_-"/>
    </dxf>
  </rfmt>
  <rfmt sheetId="1" sqref="AT41" start="0" length="0">
    <dxf>
      <font>
        <sz val="11"/>
        <color theme="1"/>
        <name val="Calibri"/>
        <scheme val="none"/>
      </font>
      <numFmt numFmtId="164" formatCode="_-* #,##0_-;\-* #,##0_-;_-* &quot;-&quot;??_-;_-@_-"/>
    </dxf>
  </rfmt>
  <rfmt sheetId="1" sqref="AU41" start="0" length="0">
    <dxf>
      <font>
        <sz val="11"/>
        <color theme="1"/>
        <name val="Calibri"/>
        <scheme val="none"/>
      </font>
    </dxf>
  </rfmt>
  <rfmt sheetId="1" sqref="AV41" start="0" length="0">
    <dxf>
      <font>
        <sz val="11"/>
        <color theme="1"/>
        <name val="Calibri"/>
        <scheme val="none"/>
      </font>
    </dxf>
  </rfmt>
  <rfmt sheetId="1" sqref="AW41" start="0" length="0">
    <dxf>
      <font>
        <sz val="11"/>
        <color theme="1"/>
        <name val="Calibri"/>
        <scheme val="none"/>
      </font>
    </dxf>
  </rfmt>
  <rfmt sheetId="1" sqref="AX41" start="0" length="0">
    <dxf>
      <font>
        <sz val="11"/>
        <color theme="1"/>
        <name val="Calibri"/>
        <scheme val="none"/>
      </font>
    </dxf>
  </rfmt>
  <rfmt sheetId="1" sqref="AY41" start="0" length="0">
    <dxf>
      <font>
        <sz val="11"/>
        <color theme="1"/>
        <name val="Calibri"/>
        <scheme val="none"/>
      </font>
    </dxf>
  </rfmt>
  <rfmt sheetId="1" sqref="A41:XFD41" start="0" length="0">
    <dxf>
      <font>
        <sz val="11"/>
        <color theme="1"/>
        <name val="Calibri"/>
        <scheme val="none"/>
      </font>
    </dxf>
  </rfmt>
  <rfmt sheetId="1" sqref="A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2" start="0" length="0">
    <dxf>
      <font>
        <color auto="1"/>
        <name val="Calibri"/>
        <scheme val="none"/>
      </font>
    </dxf>
  </rfmt>
  <rfmt sheetId="1" sqref="S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2" start="0" length="0">
    <dxf>
      <font>
        <sz val="11"/>
        <color theme="1"/>
        <name val="Calibri"/>
        <scheme val="none"/>
      </font>
    </dxf>
  </rfmt>
  <rfmt sheetId="1" sqref="AM42" start="0" length="0">
    <dxf>
      <font>
        <sz val="11"/>
        <color theme="1"/>
        <name val="Calibri"/>
        <scheme val="none"/>
      </font>
      <numFmt numFmtId="1" formatCode="0"/>
    </dxf>
  </rfmt>
  <rfmt sheetId="1" sqref="AN42" start="0" length="0">
    <dxf>
      <font>
        <sz val="11"/>
        <color theme="1"/>
        <name val="Calibri"/>
        <scheme val="none"/>
      </font>
      <numFmt numFmtId="1" formatCode="0"/>
    </dxf>
  </rfmt>
  <rfmt sheetId="1" sqref="AO42" start="0" length="0">
    <dxf>
      <font>
        <sz val="11"/>
        <color theme="1"/>
        <name val="Calibri"/>
        <scheme val="none"/>
      </font>
    </dxf>
  </rfmt>
  <rfmt sheetId="1" sqref="AP42" start="0" length="0">
    <dxf>
      <font>
        <sz val="11"/>
        <color theme="1"/>
        <name val="Calibri"/>
        <scheme val="none"/>
      </font>
    </dxf>
  </rfmt>
  <rfmt sheetId="1" sqref="AQ42" start="0" length="0">
    <dxf>
      <font>
        <sz val="11"/>
        <color theme="1"/>
        <name val="Calibri"/>
        <scheme val="none"/>
      </font>
      <numFmt numFmtId="164" formatCode="_-* #,##0_-;\-* #,##0_-;_-* &quot;-&quot;??_-;_-@_-"/>
    </dxf>
  </rfmt>
  <rfmt sheetId="1" sqref="AR42" start="0" length="0">
    <dxf>
      <font>
        <sz val="11"/>
        <color theme="1"/>
        <name val="Calibri"/>
        <scheme val="none"/>
      </font>
      <numFmt numFmtId="164" formatCode="_-* #,##0_-;\-* #,##0_-;_-* &quot;-&quot;??_-;_-@_-"/>
    </dxf>
  </rfmt>
  <rfmt sheetId="1" sqref="AS42" start="0" length="0">
    <dxf>
      <font>
        <sz val="11"/>
        <color theme="1"/>
        <name val="Calibri"/>
        <scheme val="none"/>
      </font>
      <numFmt numFmtId="164" formatCode="_-* #,##0_-;\-* #,##0_-;_-* &quot;-&quot;??_-;_-@_-"/>
    </dxf>
  </rfmt>
  <rfmt sheetId="1" sqref="AT42" start="0" length="0">
    <dxf>
      <font>
        <sz val="11"/>
        <color theme="1"/>
        <name val="Calibri"/>
        <scheme val="none"/>
      </font>
      <numFmt numFmtId="164" formatCode="_-* #,##0_-;\-* #,##0_-;_-* &quot;-&quot;??_-;_-@_-"/>
    </dxf>
  </rfmt>
  <rfmt sheetId="1" sqref="AU42" start="0" length="0">
    <dxf>
      <font>
        <sz val="11"/>
        <color theme="1"/>
        <name val="Calibri"/>
        <scheme val="none"/>
      </font>
    </dxf>
  </rfmt>
  <rfmt sheetId="1" sqref="AV42" start="0" length="0">
    <dxf>
      <font>
        <sz val="11"/>
        <color theme="1"/>
        <name val="Calibri"/>
        <scheme val="none"/>
      </font>
    </dxf>
  </rfmt>
  <rfmt sheetId="1" sqref="AW42" start="0" length="0">
    <dxf>
      <font>
        <sz val="11"/>
        <color theme="1"/>
        <name val="Calibri"/>
        <scheme val="none"/>
      </font>
    </dxf>
  </rfmt>
  <rfmt sheetId="1" sqref="AX42" start="0" length="0">
    <dxf>
      <font>
        <sz val="11"/>
        <color theme="1"/>
        <name val="Calibri"/>
        <scheme val="none"/>
      </font>
    </dxf>
  </rfmt>
  <rfmt sheetId="1" sqref="AY42" start="0" length="0">
    <dxf>
      <font>
        <sz val="11"/>
        <color theme="1"/>
        <name val="Calibri"/>
        <scheme val="none"/>
      </font>
    </dxf>
  </rfmt>
  <rfmt sheetId="1" sqref="A42:XFD42" start="0" length="0">
    <dxf>
      <font>
        <sz val="11"/>
        <color theme="1"/>
        <name val="Calibri"/>
        <scheme val="none"/>
      </font>
    </dxf>
  </rfmt>
  <rfmt sheetId="1" sqref="A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3" start="0" length="0">
    <dxf>
      <font>
        <sz val="11"/>
        <color theme="1"/>
        <name val="Calibri"/>
        <scheme val="none"/>
      </font>
    </dxf>
  </rfmt>
  <rfmt sheetId="1" sqref="AM43" start="0" length="0">
    <dxf>
      <font>
        <sz val="11"/>
        <color theme="1"/>
        <name val="Calibri"/>
        <scheme val="none"/>
      </font>
      <numFmt numFmtId="1" formatCode="0"/>
    </dxf>
  </rfmt>
  <rfmt sheetId="1" sqref="AN43" start="0" length="0">
    <dxf>
      <font>
        <sz val="11"/>
        <color theme="1"/>
        <name val="Calibri"/>
        <scheme val="none"/>
      </font>
      <numFmt numFmtId="1" formatCode="0"/>
    </dxf>
  </rfmt>
  <rfmt sheetId="1" sqref="AO43" start="0" length="0">
    <dxf>
      <font>
        <sz val="11"/>
        <color theme="1"/>
        <name val="Calibri"/>
        <scheme val="none"/>
      </font>
    </dxf>
  </rfmt>
  <rfmt sheetId="1" sqref="AP43" start="0" length="0">
    <dxf>
      <font>
        <sz val="11"/>
        <color theme="1"/>
        <name val="Calibri"/>
        <scheme val="none"/>
      </font>
    </dxf>
  </rfmt>
  <rfmt sheetId="1" sqref="AQ43" start="0" length="0">
    <dxf>
      <font>
        <sz val="11"/>
        <color theme="1"/>
        <name val="Calibri"/>
        <scheme val="none"/>
      </font>
      <numFmt numFmtId="164" formatCode="_-* #,##0_-;\-* #,##0_-;_-* &quot;-&quot;??_-;_-@_-"/>
    </dxf>
  </rfmt>
  <rfmt sheetId="1" sqref="AR43" start="0" length="0">
    <dxf>
      <font>
        <sz val="11"/>
        <color theme="1"/>
        <name val="Calibri"/>
        <scheme val="none"/>
      </font>
      <numFmt numFmtId="164" formatCode="_-* #,##0_-;\-* #,##0_-;_-* &quot;-&quot;??_-;_-@_-"/>
    </dxf>
  </rfmt>
  <rfmt sheetId="1" sqref="AS43" start="0" length="0">
    <dxf>
      <font>
        <sz val="11"/>
        <color theme="1"/>
        <name val="Calibri"/>
        <scheme val="none"/>
      </font>
      <numFmt numFmtId="164" formatCode="_-* #,##0_-;\-* #,##0_-;_-* &quot;-&quot;??_-;_-@_-"/>
    </dxf>
  </rfmt>
  <rfmt sheetId="1" sqref="AT43" start="0" length="0">
    <dxf>
      <font>
        <sz val="11"/>
        <color theme="1"/>
        <name val="Calibri"/>
        <scheme val="none"/>
      </font>
      <numFmt numFmtId="164" formatCode="_-* #,##0_-;\-* #,##0_-;_-* &quot;-&quot;??_-;_-@_-"/>
    </dxf>
  </rfmt>
  <rfmt sheetId="1" sqref="AU43" start="0" length="0">
    <dxf>
      <font>
        <sz val="11"/>
        <color theme="1"/>
        <name val="Calibri"/>
        <scheme val="none"/>
      </font>
    </dxf>
  </rfmt>
  <rfmt sheetId="1" sqref="AV43" start="0" length="0">
    <dxf>
      <font>
        <sz val="11"/>
        <color theme="1"/>
        <name val="Calibri"/>
        <scheme val="none"/>
      </font>
    </dxf>
  </rfmt>
  <rfmt sheetId="1" sqref="AW43" start="0" length="0">
    <dxf>
      <font>
        <sz val="11"/>
        <color theme="1"/>
        <name val="Calibri"/>
        <scheme val="none"/>
      </font>
    </dxf>
  </rfmt>
  <rfmt sheetId="1" sqref="AX43" start="0" length="0">
    <dxf>
      <font>
        <sz val="11"/>
        <color theme="1"/>
        <name val="Calibri"/>
        <scheme val="none"/>
      </font>
    </dxf>
  </rfmt>
  <rfmt sheetId="1" sqref="AY43" start="0" length="0">
    <dxf>
      <font>
        <sz val="11"/>
        <color theme="1"/>
        <name val="Calibri"/>
        <scheme val="none"/>
      </font>
    </dxf>
  </rfmt>
  <rfmt sheetId="1" sqref="A43:XFD43" start="0" length="0">
    <dxf>
      <font>
        <sz val="11"/>
        <color theme="1"/>
        <name val="Calibri"/>
        <scheme val="none"/>
      </font>
    </dxf>
  </rfmt>
  <rfmt sheetId="1" sqref="A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4" start="0" length="0">
    <dxf>
      <font>
        <sz val="11"/>
        <color theme="1"/>
        <name val="Calibri"/>
        <scheme val="none"/>
      </font>
    </dxf>
  </rfmt>
  <rfmt sheetId="1" sqref="AM44" start="0" length="0">
    <dxf>
      <font>
        <sz val="11"/>
        <color theme="1"/>
        <name val="Calibri"/>
        <scheme val="none"/>
      </font>
      <numFmt numFmtId="1" formatCode="0"/>
    </dxf>
  </rfmt>
  <rfmt sheetId="1" sqref="AN44" start="0" length="0">
    <dxf>
      <font>
        <sz val="11"/>
        <color theme="1"/>
        <name val="Calibri"/>
        <scheme val="none"/>
      </font>
      <numFmt numFmtId="1" formatCode="0"/>
    </dxf>
  </rfmt>
  <rfmt sheetId="1" sqref="AO44" start="0" length="0">
    <dxf>
      <font>
        <sz val="11"/>
        <color theme="1"/>
        <name val="Calibri"/>
        <scheme val="none"/>
      </font>
    </dxf>
  </rfmt>
  <rfmt sheetId="1" sqref="AP44" start="0" length="0">
    <dxf>
      <font>
        <sz val="11"/>
        <color theme="1"/>
        <name val="Calibri"/>
        <scheme val="none"/>
      </font>
    </dxf>
  </rfmt>
  <rfmt sheetId="1" sqref="AQ44" start="0" length="0">
    <dxf>
      <font>
        <sz val="11"/>
        <color theme="1"/>
        <name val="Calibri"/>
        <scheme val="none"/>
      </font>
      <numFmt numFmtId="164" formatCode="_-* #,##0_-;\-* #,##0_-;_-* &quot;-&quot;??_-;_-@_-"/>
    </dxf>
  </rfmt>
  <rfmt sheetId="1" sqref="AR44" start="0" length="0">
    <dxf>
      <font>
        <sz val="11"/>
        <color theme="1"/>
        <name val="Calibri"/>
        <scheme val="none"/>
      </font>
      <numFmt numFmtId="164" formatCode="_-* #,##0_-;\-* #,##0_-;_-* &quot;-&quot;??_-;_-@_-"/>
    </dxf>
  </rfmt>
  <rfmt sheetId="1" sqref="AS44" start="0" length="0">
    <dxf>
      <font>
        <sz val="11"/>
        <color theme="1"/>
        <name val="Calibri"/>
        <scheme val="none"/>
      </font>
      <numFmt numFmtId="164" formatCode="_-* #,##0_-;\-* #,##0_-;_-* &quot;-&quot;??_-;_-@_-"/>
    </dxf>
  </rfmt>
  <rfmt sheetId="1" sqref="AT44" start="0" length="0">
    <dxf>
      <font>
        <sz val="11"/>
        <color theme="1"/>
        <name val="Calibri"/>
        <scheme val="none"/>
      </font>
      <numFmt numFmtId="164" formatCode="_-* #,##0_-;\-* #,##0_-;_-* &quot;-&quot;??_-;_-@_-"/>
    </dxf>
  </rfmt>
  <rfmt sheetId="1" sqref="AU44" start="0" length="0">
    <dxf>
      <font>
        <sz val="11"/>
        <color theme="1"/>
        <name val="Calibri"/>
        <scheme val="none"/>
      </font>
    </dxf>
  </rfmt>
  <rfmt sheetId="1" sqref="AV44" start="0" length="0">
    <dxf>
      <font>
        <sz val="11"/>
        <color theme="1"/>
        <name val="Calibri"/>
        <scheme val="none"/>
      </font>
    </dxf>
  </rfmt>
  <rfmt sheetId="1" sqref="AW44" start="0" length="0">
    <dxf>
      <font>
        <sz val="11"/>
        <color theme="1"/>
        <name val="Calibri"/>
        <scheme val="none"/>
      </font>
    </dxf>
  </rfmt>
  <rfmt sheetId="1" sqref="AX44" start="0" length="0">
    <dxf>
      <font>
        <sz val="11"/>
        <color theme="1"/>
        <name val="Calibri"/>
        <scheme val="none"/>
      </font>
    </dxf>
  </rfmt>
  <rfmt sheetId="1" sqref="AY44" start="0" length="0">
    <dxf>
      <font>
        <sz val="11"/>
        <color theme="1"/>
        <name val="Calibri"/>
        <scheme val="none"/>
      </font>
    </dxf>
  </rfmt>
  <rfmt sheetId="1" sqref="A44:XFD44" start="0" length="0">
    <dxf>
      <font>
        <sz val="11"/>
        <color theme="1"/>
        <name val="Calibri"/>
        <scheme val="none"/>
      </font>
    </dxf>
  </rfmt>
  <rfmt sheetId="1" sqref="A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5" start="0" length="0">
    <dxf>
      <font>
        <sz val="11"/>
        <color theme="1"/>
        <name val="Calibri"/>
        <scheme val="none"/>
      </font>
    </dxf>
  </rfmt>
  <rfmt sheetId="1" sqref="AM45" start="0" length="0">
    <dxf>
      <font>
        <sz val="11"/>
        <color theme="1"/>
        <name val="Calibri"/>
        <scheme val="none"/>
      </font>
      <numFmt numFmtId="1" formatCode="0"/>
    </dxf>
  </rfmt>
  <rfmt sheetId="1" sqref="AN45" start="0" length="0">
    <dxf>
      <font>
        <sz val="11"/>
        <color theme="1"/>
        <name val="Calibri"/>
        <scheme val="none"/>
      </font>
      <numFmt numFmtId="1" formatCode="0"/>
    </dxf>
  </rfmt>
  <rfmt sheetId="1" sqref="AO45" start="0" length="0">
    <dxf>
      <font>
        <sz val="11"/>
        <color theme="1"/>
        <name val="Calibri"/>
        <scheme val="none"/>
      </font>
    </dxf>
  </rfmt>
  <rfmt sheetId="1" sqref="AP45" start="0" length="0">
    <dxf>
      <font>
        <sz val="11"/>
        <color theme="1"/>
        <name val="Calibri"/>
        <scheme val="none"/>
      </font>
    </dxf>
  </rfmt>
  <rfmt sheetId="1" sqref="AQ45" start="0" length="0">
    <dxf>
      <font>
        <sz val="11"/>
        <color theme="1"/>
        <name val="Calibri"/>
        <scheme val="none"/>
      </font>
      <numFmt numFmtId="164" formatCode="_-* #,##0_-;\-* #,##0_-;_-* &quot;-&quot;??_-;_-@_-"/>
    </dxf>
  </rfmt>
  <rfmt sheetId="1" sqref="AR45" start="0" length="0">
    <dxf>
      <font>
        <sz val="11"/>
        <color theme="1"/>
        <name val="Calibri"/>
        <scheme val="none"/>
      </font>
      <numFmt numFmtId="164" formatCode="_-* #,##0_-;\-* #,##0_-;_-* &quot;-&quot;??_-;_-@_-"/>
    </dxf>
  </rfmt>
  <rfmt sheetId="1" sqref="AS45" start="0" length="0">
    <dxf>
      <font>
        <sz val="11"/>
        <color theme="1"/>
        <name val="Calibri"/>
        <scheme val="none"/>
      </font>
      <numFmt numFmtId="164" formatCode="_-* #,##0_-;\-* #,##0_-;_-* &quot;-&quot;??_-;_-@_-"/>
    </dxf>
  </rfmt>
  <rfmt sheetId="1" sqref="AT45" start="0" length="0">
    <dxf>
      <font>
        <sz val="11"/>
        <color theme="1"/>
        <name val="Calibri"/>
        <scheme val="none"/>
      </font>
      <numFmt numFmtId="164" formatCode="_-* #,##0_-;\-* #,##0_-;_-* &quot;-&quot;??_-;_-@_-"/>
    </dxf>
  </rfmt>
  <rfmt sheetId="1" sqref="AU45" start="0" length="0">
    <dxf>
      <font>
        <sz val="11"/>
        <color theme="1"/>
        <name val="Calibri"/>
        <scheme val="none"/>
      </font>
    </dxf>
  </rfmt>
  <rfmt sheetId="1" sqref="AV45" start="0" length="0">
    <dxf>
      <font>
        <sz val="11"/>
        <color theme="1"/>
        <name val="Calibri"/>
        <scheme val="none"/>
      </font>
    </dxf>
  </rfmt>
  <rfmt sheetId="1" sqref="AW45" start="0" length="0">
    <dxf>
      <font>
        <sz val="11"/>
        <color theme="1"/>
        <name val="Calibri"/>
        <scheme val="none"/>
      </font>
    </dxf>
  </rfmt>
  <rfmt sheetId="1" sqref="AX45" start="0" length="0">
    <dxf>
      <font>
        <sz val="11"/>
        <color theme="1"/>
        <name val="Calibri"/>
        <scheme val="none"/>
      </font>
    </dxf>
  </rfmt>
  <rfmt sheetId="1" sqref="AY45" start="0" length="0">
    <dxf>
      <font>
        <sz val="11"/>
        <color theme="1"/>
        <name val="Calibri"/>
        <scheme val="none"/>
      </font>
    </dxf>
  </rfmt>
  <rfmt sheetId="1" sqref="A45:XFD45" start="0" length="0">
    <dxf>
      <font>
        <sz val="11"/>
        <color theme="1"/>
        <name val="Calibri"/>
        <scheme val="none"/>
      </font>
    </dxf>
  </rfmt>
  <rfmt sheetId="1" sqref="A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6" start="0" length="0">
    <dxf>
      <font>
        <sz val="11"/>
        <color theme="1"/>
        <name val="Calibri"/>
        <scheme val="none"/>
      </font>
    </dxf>
  </rfmt>
  <rfmt sheetId="1" sqref="AM46" start="0" length="0">
    <dxf>
      <font>
        <sz val="11"/>
        <color theme="1"/>
        <name val="Calibri"/>
        <scheme val="none"/>
      </font>
      <numFmt numFmtId="1" formatCode="0"/>
    </dxf>
  </rfmt>
  <rfmt sheetId="1" sqref="AN46" start="0" length="0">
    <dxf>
      <font>
        <sz val="11"/>
        <color theme="1"/>
        <name val="Calibri"/>
        <scheme val="none"/>
      </font>
      <numFmt numFmtId="1" formatCode="0"/>
    </dxf>
  </rfmt>
  <rfmt sheetId="1" sqref="AO46" start="0" length="0">
    <dxf>
      <font>
        <sz val="11"/>
        <color theme="1"/>
        <name val="Calibri"/>
        <scheme val="none"/>
      </font>
    </dxf>
  </rfmt>
  <rfmt sheetId="1" sqref="AP46" start="0" length="0">
    <dxf>
      <font>
        <sz val="11"/>
        <color theme="1"/>
        <name val="Calibri"/>
        <scheme val="none"/>
      </font>
    </dxf>
  </rfmt>
  <rfmt sheetId="1" sqref="AQ46" start="0" length="0">
    <dxf>
      <font>
        <sz val="11"/>
        <color theme="1"/>
        <name val="Calibri"/>
        <scheme val="none"/>
      </font>
      <numFmt numFmtId="164" formatCode="_-* #,##0_-;\-* #,##0_-;_-* &quot;-&quot;??_-;_-@_-"/>
    </dxf>
  </rfmt>
  <rfmt sheetId="1" sqref="AR46" start="0" length="0">
    <dxf>
      <font>
        <sz val="11"/>
        <color theme="1"/>
        <name val="Calibri"/>
        <scheme val="none"/>
      </font>
      <numFmt numFmtId="164" formatCode="_-* #,##0_-;\-* #,##0_-;_-* &quot;-&quot;??_-;_-@_-"/>
    </dxf>
  </rfmt>
  <rfmt sheetId="1" sqref="AS46" start="0" length="0">
    <dxf>
      <font>
        <sz val="11"/>
        <color theme="1"/>
        <name val="Calibri"/>
        <scheme val="none"/>
      </font>
      <numFmt numFmtId="164" formatCode="_-* #,##0_-;\-* #,##0_-;_-* &quot;-&quot;??_-;_-@_-"/>
    </dxf>
  </rfmt>
  <rfmt sheetId="1" sqref="AT46" start="0" length="0">
    <dxf>
      <font>
        <sz val="11"/>
        <color theme="1"/>
        <name val="Calibri"/>
        <scheme val="none"/>
      </font>
      <numFmt numFmtId="164" formatCode="_-* #,##0_-;\-* #,##0_-;_-* &quot;-&quot;??_-;_-@_-"/>
    </dxf>
  </rfmt>
  <rfmt sheetId="1" sqref="AU46" start="0" length="0">
    <dxf>
      <font>
        <sz val="11"/>
        <color theme="1"/>
        <name val="Calibri"/>
        <scheme val="none"/>
      </font>
    </dxf>
  </rfmt>
  <rfmt sheetId="1" sqref="AV46" start="0" length="0">
    <dxf>
      <font>
        <sz val="11"/>
        <color theme="1"/>
        <name val="Calibri"/>
        <scheme val="none"/>
      </font>
    </dxf>
  </rfmt>
  <rfmt sheetId="1" sqref="AW46" start="0" length="0">
    <dxf>
      <font>
        <sz val="11"/>
        <color theme="1"/>
        <name val="Calibri"/>
        <scheme val="none"/>
      </font>
    </dxf>
  </rfmt>
  <rfmt sheetId="1" sqref="AX46" start="0" length="0">
    <dxf>
      <font>
        <sz val="11"/>
        <color theme="1"/>
        <name val="Calibri"/>
        <scheme val="none"/>
      </font>
    </dxf>
  </rfmt>
  <rfmt sheetId="1" sqref="AY46" start="0" length="0">
    <dxf>
      <font>
        <sz val="11"/>
        <color theme="1"/>
        <name val="Calibri"/>
        <scheme val="none"/>
      </font>
    </dxf>
  </rfmt>
  <rfmt sheetId="1" sqref="A46:XFD46" start="0" length="0">
    <dxf>
      <font>
        <sz val="11"/>
        <color theme="1"/>
        <name val="Calibri"/>
        <scheme val="none"/>
      </font>
    </dxf>
  </rfmt>
  <rfmt sheetId="1" sqref="A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7" start="0" length="0">
    <dxf>
      <font>
        <sz val="11"/>
        <color theme="1"/>
        <name val="Calibri"/>
        <scheme val="none"/>
      </font>
    </dxf>
  </rfmt>
  <rfmt sheetId="1" sqref="AM47" start="0" length="0">
    <dxf>
      <font>
        <sz val="11"/>
        <color theme="1"/>
        <name val="Calibri"/>
        <scheme val="none"/>
      </font>
      <numFmt numFmtId="1" formatCode="0"/>
    </dxf>
  </rfmt>
  <rfmt sheetId="1" sqref="AN47" start="0" length="0">
    <dxf>
      <font>
        <sz val="11"/>
        <color theme="1"/>
        <name val="Calibri"/>
        <scheme val="none"/>
      </font>
      <numFmt numFmtId="1" formatCode="0"/>
    </dxf>
  </rfmt>
  <rfmt sheetId="1" sqref="AO47" start="0" length="0">
    <dxf>
      <font>
        <sz val="11"/>
        <color theme="1"/>
        <name val="Calibri"/>
        <scheme val="none"/>
      </font>
    </dxf>
  </rfmt>
  <rfmt sheetId="1" sqref="AP47" start="0" length="0">
    <dxf>
      <font>
        <sz val="11"/>
        <color theme="1"/>
        <name val="Calibri"/>
        <scheme val="none"/>
      </font>
    </dxf>
  </rfmt>
  <rfmt sheetId="1" sqref="AQ47" start="0" length="0">
    <dxf>
      <font>
        <sz val="11"/>
        <color theme="1"/>
        <name val="Calibri"/>
        <scheme val="none"/>
      </font>
      <numFmt numFmtId="164" formatCode="_-* #,##0_-;\-* #,##0_-;_-* &quot;-&quot;??_-;_-@_-"/>
    </dxf>
  </rfmt>
  <rfmt sheetId="1" sqref="AR47" start="0" length="0">
    <dxf>
      <font>
        <sz val="11"/>
        <color theme="1"/>
        <name val="Calibri"/>
        <scheme val="none"/>
      </font>
      <numFmt numFmtId="164" formatCode="_-* #,##0_-;\-* #,##0_-;_-* &quot;-&quot;??_-;_-@_-"/>
    </dxf>
  </rfmt>
  <rfmt sheetId="1" sqref="AS47" start="0" length="0">
    <dxf>
      <font>
        <sz val="11"/>
        <color theme="1"/>
        <name val="Calibri"/>
        <scheme val="none"/>
      </font>
      <numFmt numFmtId="164" formatCode="_-* #,##0_-;\-* #,##0_-;_-* &quot;-&quot;??_-;_-@_-"/>
    </dxf>
  </rfmt>
  <rfmt sheetId="1" sqref="AT47" start="0" length="0">
    <dxf>
      <font>
        <sz val="11"/>
        <color theme="1"/>
        <name val="Calibri"/>
        <scheme val="none"/>
      </font>
      <numFmt numFmtId="164" formatCode="_-* #,##0_-;\-* #,##0_-;_-* &quot;-&quot;??_-;_-@_-"/>
    </dxf>
  </rfmt>
  <rfmt sheetId="1" sqref="AU47" start="0" length="0">
    <dxf>
      <font>
        <sz val="11"/>
        <color theme="1"/>
        <name val="Calibri"/>
        <scheme val="none"/>
      </font>
    </dxf>
  </rfmt>
  <rfmt sheetId="1" sqref="AV47" start="0" length="0">
    <dxf>
      <font>
        <sz val="11"/>
        <color theme="1"/>
        <name val="Calibri"/>
        <scheme val="none"/>
      </font>
    </dxf>
  </rfmt>
  <rfmt sheetId="1" sqref="AW47" start="0" length="0">
    <dxf>
      <font>
        <sz val="11"/>
        <color theme="1"/>
        <name val="Calibri"/>
        <scheme val="none"/>
      </font>
    </dxf>
  </rfmt>
  <rfmt sheetId="1" sqref="AX47" start="0" length="0">
    <dxf>
      <font>
        <sz val="11"/>
        <color theme="1"/>
        <name val="Calibri"/>
        <scheme val="none"/>
      </font>
    </dxf>
  </rfmt>
  <rfmt sheetId="1" sqref="AY47" start="0" length="0">
    <dxf>
      <font>
        <sz val="11"/>
        <color theme="1"/>
        <name val="Calibri"/>
        <scheme val="none"/>
      </font>
    </dxf>
  </rfmt>
  <rfmt sheetId="1" sqref="A47:XFD47" start="0" length="0">
    <dxf>
      <font>
        <sz val="11"/>
        <color theme="1"/>
        <name val="Calibri"/>
        <scheme val="none"/>
      </font>
    </dxf>
  </rfmt>
  <rfmt sheetId="1" sqref="A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8" start="0" length="0">
    <dxf>
      <font>
        <sz val="11"/>
        <color theme="1"/>
        <name val="Calibri"/>
        <scheme val="none"/>
      </font>
    </dxf>
  </rfmt>
  <rfmt sheetId="1" sqref="AM48" start="0" length="0">
    <dxf>
      <font>
        <sz val="11"/>
        <color theme="1"/>
        <name val="Calibri"/>
        <scheme val="none"/>
      </font>
      <numFmt numFmtId="1" formatCode="0"/>
    </dxf>
  </rfmt>
  <rfmt sheetId="1" sqref="AN48" start="0" length="0">
    <dxf>
      <font>
        <sz val="11"/>
        <color theme="1"/>
        <name val="Calibri"/>
        <scheme val="none"/>
      </font>
      <numFmt numFmtId="1" formatCode="0"/>
    </dxf>
  </rfmt>
  <rfmt sheetId="1" sqref="AO48" start="0" length="0">
    <dxf>
      <font>
        <sz val="11"/>
        <color theme="1"/>
        <name val="Calibri"/>
        <scheme val="none"/>
      </font>
    </dxf>
  </rfmt>
  <rfmt sheetId="1" sqref="AP48" start="0" length="0">
    <dxf>
      <font>
        <sz val="11"/>
        <color theme="1"/>
        <name val="Calibri"/>
        <scheme val="none"/>
      </font>
    </dxf>
  </rfmt>
  <rfmt sheetId="1" sqref="AQ48" start="0" length="0">
    <dxf>
      <font>
        <sz val="11"/>
        <color theme="1"/>
        <name val="Calibri"/>
        <scheme val="none"/>
      </font>
      <numFmt numFmtId="164" formatCode="_-* #,##0_-;\-* #,##0_-;_-* &quot;-&quot;??_-;_-@_-"/>
    </dxf>
  </rfmt>
  <rfmt sheetId="1" sqref="AR48" start="0" length="0">
    <dxf>
      <font>
        <sz val="11"/>
        <color theme="1"/>
        <name val="Calibri"/>
        <scheme val="none"/>
      </font>
      <numFmt numFmtId="164" formatCode="_-* #,##0_-;\-* #,##0_-;_-* &quot;-&quot;??_-;_-@_-"/>
    </dxf>
  </rfmt>
  <rfmt sheetId="1" sqref="AS48" start="0" length="0">
    <dxf>
      <font>
        <sz val="11"/>
        <color theme="1"/>
        <name val="Calibri"/>
        <scheme val="none"/>
      </font>
      <numFmt numFmtId="164" formatCode="_-* #,##0_-;\-* #,##0_-;_-* &quot;-&quot;??_-;_-@_-"/>
    </dxf>
  </rfmt>
  <rfmt sheetId="1" sqref="AT48" start="0" length="0">
    <dxf>
      <font>
        <sz val="11"/>
        <color theme="1"/>
        <name val="Calibri"/>
        <scheme val="none"/>
      </font>
      <numFmt numFmtId="164" formatCode="_-* #,##0_-;\-* #,##0_-;_-* &quot;-&quot;??_-;_-@_-"/>
    </dxf>
  </rfmt>
  <rfmt sheetId="1" sqref="AU48" start="0" length="0">
    <dxf>
      <font>
        <sz val="11"/>
        <color theme="1"/>
        <name val="Calibri"/>
        <scheme val="none"/>
      </font>
    </dxf>
  </rfmt>
  <rfmt sheetId="1" sqref="AV48" start="0" length="0">
    <dxf>
      <font>
        <sz val="11"/>
        <color theme="1"/>
        <name val="Calibri"/>
        <scheme val="none"/>
      </font>
    </dxf>
  </rfmt>
  <rfmt sheetId="1" sqref="AW48" start="0" length="0">
    <dxf>
      <font>
        <sz val="11"/>
        <color theme="1"/>
        <name val="Calibri"/>
        <scheme val="none"/>
      </font>
    </dxf>
  </rfmt>
  <rfmt sheetId="1" sqref="AX48" start="0" length="0">
    <dxf>
      <font>
        <sz val="11"/>
        <color theme="1"/>
        <name val="Calibri"/>
        <scheme val="none"/>
      </font>
    </dxf>
  </rfmt>
  <rfmt sheetId="1" sqref="AY48" start="0" length="0">
    <dxf>
      <font>
        <sz val="11"/>
        <color theme="1"/>
        <name val="Calibri"/>
        <scheme val="none"/>
      </font>
    </dxf>
  </rfmt>
  <rfmt sheetId="1" sqref="A48:XFD48" start="0" length="0">
    <dxf>
      <font>
        <sz val="11"/>
        <color theme="1"/>
        <name val="Calibri"/>
        <scheme val="none"/>
      </font>
    </dxf>
  </rfmt>
  <rfmt sheetId="1" sqref="A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9" start="0" length="0">
    <dxf>
      <font>
        <sz val="11"/>
        <color theme="1"/>
        <name val="Calibri"/>
        <scheme val="none"/>
      </font>
    </dxf>
  </rfmt>
  <rfmt sheetId="1" sqref="AM49" start="0" length="0">
    <dxf>
      <font>
        <sz val="11"/>
        <color theme="1"/>
        <name val="Calibri"/>
        <scheme val="none"/>
      </font>
      <numFmt numFmtId="1" formatCode="0"/>
    </dxf>
  </rfmt>
  <rfmt sheetId="1" sqref="AN49" start="0" length="0">
    <dxf>
      <font>
        <sz val="11"/>
        <color theme="1"/>
        <name val="Calibri"/>
        <scheme val="none"/>
      </font>
      <numFmt numFmtId="1" formatCode="0"/>
    </dxf>
  </rfmt>
  <rfmt sheetId="1" sqref="AO49" start="0" length="0">
    <dxf>
      <font>
        <sz val="11"/>
        <color theme="1"/>
        <name val="Calibri"/>
        <scheme val="none"/>
      </font>
    </dxf>
  </rfmt>
  <rfmt sheetId="1" sqref="AP49" start="0" length="0">
    <dxf>
      <font>
        <sz val="11"/>
        <color theme="1"/>
        <name val="Calibri"/>
        <scheme val="none"/>
      </font>
    </dxf>
  </rfmt>
  <rfmt sheetId="1" sqref="AQ49" start="0" length="0">
    <dxf>
      <font>
        <sz val="11"/>
        <color theme="1"/>
        <name val="Calibri"/>
        <scheme val="none"/>
      </font>
      <numFmt numFmtId="164" formatCode="_-* #,##0_-;\-* #,##0_-;_-* &quot;-&quot;??_-;_-@_-"/>
    </dxf>
  </rfmt>
  <rfmt sheetId="1" sqref="AR49" start="0" length="0">
    <dxf>
      <font>
        <sz val="11"/>
        <color theme="1"/>
        <name val="Calibri"/>
        <scheme val="none"/>
      </font>
      <numFmt numFmtId="164" formatCode="_-* #,##0_-;\-* #,##0_-;_-* &quot;-&quot;??_-;_-@_-"/>
    </dxf>
  </rfmt>
  <rfmt sheetId="1" sqref="AS49" start="0" length="0">
    <dxf>
      <font>
        <sz val="11"/>
        <color theme="1"/>
        <name val="Calibri"/>
        <scheme val="none"/>
      </font>
      <numFmt numFmtId="164" formatCode="_-* #,##0_-;\-* #,##0_-;_-* &quot;-&quot;??_-;_-@_-"/>
    </dxf>
  </rfmt>
  <rfmt sheetId="1" sqref="AT49" start="0" length="0">
    <dxf>
      <font>
        <sz val="11"/>
        <color theme="1"/>
        <name val="Calibri"/>
        <scheme val="none"/>
      </font>
      <numFmt numFmtId="164" formatCode="_-* #,##0_-;\-* #,##0_-;_-* &quot;-&quot;??_-;_-@_-"/>
    </dxf>
  </rfmt>
  <rfmt sheetId="1" sqref="AU49" start="0" length="0">
    <dxf>
      <font>
        <sz val="11"/>
        <color theme="1"/>
        <name val="Calibri"/>
        <scheme val="none"/>
      </font>
    </dxf>
  </rfmt>
  <rfmt sheetId="1" sqref="AV49" start="0" length="0">
    <dxf>
      <font>
        <sz val="11"/>
        <color theme="1"/>
        <name val="Calibri"/>
        <scheme val="none"/>
      </font>
    </dxf>
  </rfmt>
  <rfmt sheetId="1" sqref="AW49" start="0" length="0">
    <dxf>
      <font>
        <sz val="11"/>
        <color theme="1"/>
        <name val="Calibri"/>
        <scheme val="none"/>
      </font>
    </dxf>
  </rfmt>
  <rfmt sheetId="1" sqref="AX49" start="0" length="0">
    <dxf>
      <font>
        <sz val="11"/>
        <color theme="1"/>
        <name val="Calibri"/>
        <scheme val="none"/>
      </font>
    </dxf>
  </rfmt>
  <rfmt sheetId="1" sqref="AY49" start="0" length="0">
    <dxf>
      <font>
        <sz val="11"/>
        <color theme="1"/>
        <name val="Calibri"/>
        <scheme val="none"/>
      </font>
    </dxf>
  </rfmt>
  <rfmt sheetId="1" sqref="A49:XFD49" start="0" length="0">
    <dxf>
      <font>
        <sz val="11"/>
        <color theme="1"/>
        <name val="Calibri"/>
        <scheme val="none"/>
      </font>
    </dxf>
  </rfmt>
  <rfmt sheetId="1" sqref="A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0" start="0" length="0">
    <dxf>
      <font>
        <sz val="11"/>
        <color theme="1"/>
        <name val="Calibri"/>
        <scheme val="none"/>
      </font>
    </dxf>
  </rfmt>
  <rfmt sheetId="1" sqref="AM50" start="0" length="0">
    <dxf>
      <font>
        <sz val="11"/>
        <color theme="1"/>
        <name val="Calibri"/>
        <scheme val="none"/>
      </font>
      <numFmt numFmtId="1" formatCode="0"/>
    </dxf>
  </rfmt>
  <rfmt sheetId="1" sqref="AN50" start="0" length="0">
    <dxf>
      <font>
        <sz val="11"/>
        <color theme="1"/>
        <name val="Calibri"/>
        <scheme val="none"/>
      </font>
      <numFmt numFmtId="1" formatCode="0"/>
    </dxf>
  </rfmt>
  <rfmt sheetId="1" sqref="AO50" start="0" length="0">
    <dxf>
      <font>
        <sz val="11"/>
        <color theme="1"/>
        <name val="Calibri"/>
        <scheme val="none"/>
      </font>
    </dxf>
  </rfmt>
  <rfmt sheetId="1" sqref="AP50" start="0" length="0">
    <dxf>
      <font>
        <sz val="11"/>
        <color theme="1"/>
        <name val="Calibri"/>
        <scheme val="none"/>
      </font>
    </dxf>
  </rfmt>
  <rfmt sheetId="1" sqref="AQ50" start="0" length="0">
    <dxf>
      <font>
        <sz val="11"/>
        <color theme="1"/>
        <name val="Calibri"/>
        <scheme val="none"/>
      </font>
      <numFmt numFmtId="164" formatCode="_-* #,##0_-;\-* #,##0_-;_-* &quot;-&quot;??_-;_-@_-"/>
    </dxf>
  </rfmt>
  <rfmt sheetId="1" sqref="AR50" start="0" length="0">
    <dxf>
      <font>
        <sz val="11"/>
        <color theme="1"/>
        <name val="Calibri"/>
        <scheme val="none"/>
      </font>
      <numFmt numFmtId="164" formatCode="_-* #,##0_-;\-* #,##0_-;_-* &quot;-&quot;??_-;_-@_-"/>
    </dxf>
  </rfmt>
  <rfmt sheetId="1" sqref="AS50" start="0" length="0">
    <dxf>
      <font>
        <sz val="11"/>
        <color theme="1"/>
        <name val="Calibri"/>
        <scheme val="none"/>
      </font>
      <numFmt numFmtId="164" formatCode="_-* #,##0_-;\-* #,##0_-;_-* &quot;-&quot;??_-;_-@_-"/>
    </dxf>
  </rfmt>
  <rfmt sheetId="1" sqref="AT50" start="0" length="0">
    <dxf>
      <font>
        <sz val="11"/>
        <color theme="1"/>
        <name val="Calibri"/>
        <scheme val="none"/>
      </font>
      <numFmt numFmtId="164" formatCode="_-* #,##0_-;\-* #,##0_-;_-* &quot;-&quot;??_-;_-@_-"/>
    </dxf>
  </rfmt>
  <rfmt sheetId="1" sqref="AU50" start="0" length="0">
    <dxf>
      <font>
        <sz val="11"/>
        <color theme="1"/>
        <name val="Calibri"/>
        <scheme val="none"/>
      </font>
    </dxf>
  </rfmt>
  <rfmt sheetId="1" sqref="AV50" start="0" length="0">
    <dxf>
      <font>
        <sz val="11"/>
        <color theme="1"/>
        <name val="Calibri"/>
        <scheme val="none"/>
      </font>
    </dxf>
  </rfmt>
  <rfmt sheetId="1" sqref="AW50" start="0" length="0">
    <dxf>
      <font>
        <sz val="11"/>
        <color theme="1"/>
        <name val="Calibri"/>
        <scheme val="none"/>
      </font>
    </dxf>
  </rfmt>
  <rfmt sheetId="1" sqref="AX50" start="0" length="0">
    <dxf>
      <font>
        <sz val="11"/>
        <color theme="1"/>
        <name val="Calibri"/>
        <scheme val="none"/>
      </font>
    </dxf>
  </rfmt>
  <rfmt sheetId="1" sqref="AY50" start="0" length="0">
    <dxf>
      <font>
        <sz val="11"/>
        <color theme="1"/>
        <name val="Calibri"/>
        <scheme val="none"/>
      </font>
    </dxf>
  </rfmt>
  <rfmt sheetId="1" sqref="A50:XFD50" start="0" length="0">
    <dxf>
      <font>
        <sz val="11"/>
        <color theme="1"/>
        <name val="Calibri"/>
        <scheme val="none"/>
      </font>
    </dxf>
  </rfmt>
  <rfmt sheetId="1" sqref="A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1" start="0" length="0">
    <dxf>
      <font>
        <sz val="11"/>
        <color theme="1"/>
        <name val="Calibri"/>
        <scheme val="none"/>
      </font>
    </dxf>
  </rfmt>
  <rfmt sheetId="1" sqref="AM51" start="0" length="0">
    <dxf>
      <font>
        <sz val="11"/>
        <color theme="1"/>
        <name val="Calibri"/>
        <scheme val="none"/>
      </font>
      <numFmt numFmtId="1" formatCode="0"/>
    </dxf>
  </rfmt>
  <rfmt sheetId="1" sqref="AN51" start="0" length="0">
    <dxf>
      <font>
        <sz val="11"/>
        <color theme="1"/>
        <name val="Calibri"/>
        <scheme val="none"/>
      </font>
      <numFmt numFmtId="1" formatCode="0"/>
    </dxf>
  </rfmt>
  <rfmt sheetId="1" sqref="AO51" start="0" length="0">
    <dxf>
      <font>
        <sz val="11"/>
        <color theme="1"/>
        <name val="Calibri"/>
        <scheme val="none"/>
      </font>
    </dxf>
  </rfmt>
  <rfmt sheetId="1" sqref="AP51" start="0" length="0">
    <dxf>
      <font>
        <sz val="11"/>
        <color theme="1"/>
        <name val="Calibri"/>
        <scheme val="none"/>
      </font>
    </dxf>
  </rfmt>
  <rfmt sheetId="1" sqref="AQ51" start="0" length="0">
    <dxf>
      <font>
        <sz val="11"/>
        <color theme="1"/>
        <name val="Calibri"/>
        <scheme val="none"/>
      </font>
      <numFmt numFmtId="164" formatCode="_-* #,##0_-;\-* #,##0_-;_-* &quot;-&quot;??_-;_-@_-"/>
    </dxf>
  </rfmt>
  <rfmt sheetId="1" sqref="AR51" start="0" length="0">
    <dxf>
      <font>
        <sz val="11"/>
        <color theme="1"/>
        <name val="Calibri"/>
        <scheme val="none"/>
      </font>
      <numFmt numFmtId="164" formatCode="_-* #,##0_-;\-* #,##0_-;_-* &quot;-&quot;??_-;_-@_-"/>
    </dxf>
  </rfmt>
  <rfmt sheetId="1" sqref="AS51" start="0" length="0">
    <dxf>
      <font>
        <sz val="11"/>
        <color theme="1"/>
        <name val="Calibri"/>
        <scheme val="none"/>
      </font>
      <numFmt numFmtId="164" formatCode="_-* #,##0_-;\-* #,##0_-;_-* &quot;-&quot;??_-;_-@_-"/>
    </dxf>
  </rfmt>
  <rfmt sheetId="1" sqref="AT51" start="0" length="0">
    <dxf>
      <font>
        <sz val="11"/>
        <color theme="1"/>
        <name val="Calibri"/>
        <scheme val="none"/>
      </font>
      <numFmt numFmtId="164" formatCode="_-* #,##0_-;\-* #,##0_-;_-* &quot;-&quot;??_-;_-@_-"/>
    </dxf>
  </rfmt>
  <rfmt sheetId="1" sqref="AU51" start="0" length="0">
    <dxf>
      <font>
        <sz val="11"/>
        <color theme="1"/>
        <name val="Calibri"/>
        <scheme val="none"/>
      </font>
    </dxf>
  </rfmt>
  <rfmt sheetId="1" sqref="AV51" start="0" length="0">
    <dxf>
      <font>
        <sz val="11"/>
        <color theme="1"/>
        <name val="Calibri"/>
        <scheme val="none"/>
      </font>
    </dxf>
  </rfmt>
  <rfmt sheetId="1" sqref="AW51" start="0" length="0">
    <dxf>
      <font>
        <sz val="11"/>
        <color theme="1"/>
        <name val="Calibri"/>
        <scheme val="none"/>
      </font>
    </dxf>
  </rfmt>
  <rfmt sheetId="1" sqref="AX51" start="0" length="0">
    <dxf>
      <font>
        <sz val="11"/>
        <color theme="1"/>
        <name val="Calibri"/>
        <scheme val="none"/>
      </font>
    </dxf>
  </rfmt>
  <rfmt sheetId="1" sqref="AY51" start="0" length="0">
    <dxf>
      <font>
        <sz val="11"/>
        <color theme="1"/>
        <name val="Calibri"/>
        <scheme val="none"/>
      </font>
    </dxf>
  </rfmt>
  <rfmt sheetId="1" sqref="A51:XFD51" start="0" length="0">
    <dxf>
      <font>
        <sz val="11"/>
        <color theme="1"/>
        <name val="Calibri"/>
        <scheme val="none"/>
      </font>
    </dxf>
  </rfmt>
  <rfmt sheetId="1" sqref="A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2" start="0" length="0">
    <dxf>
      <font>
        <sz val="11"/>
        <color theme="1"/>
        <name val="Calibri"/>
        <scheme val="none"/>
      </font>
    </dxf>
  </rfmt>
  <rfmt sheetId="1" sqref="AM52" start="0" length="0">
    <dxf>
      <font>
        <sz val="11"/>
        <color theme="1"/>
        <name val="Calibri"/>
        <scheme val="none"/>
      </font>
      <numFmt numFmtId="1" formatCode="0"/>
    </dxf>
  </rfmt>
  <rfmt sheetId="1" sqref="AN52" start="0" length="0">
    <dxf>
      <font>
        <sz val="11"/>
        <color theme="1"/>
        <name val="Calibri"/>
        <scheme val="none"/>
      </font>
      <numFmt numFmtId="1" formatCode="0"/>
    </dxf>
  </rfmt>
  <rfmt sheetId="1" sqref="AO52" start="0" length="0">
    <dxf>
      <font>
        <sz val="11"/>
        <color theme="1"/>
        <name val="Calibri"/>
        <scheme val="none"/>
      </font>
    </dxf>
  </rfmt>
  <rfmt sheetId="1" sqref="AP52" start="0" length="0">
    <dxf>
      <font>
        <sz val="11"/>
        <color theme="1"/>
        <name val="Calibri"/>
        <scheme val="none"/>
      </font>
    </dxf>
  </rfmt>
  <rfmt sheetId="1" sqref="AQ52" start="0" length="0">
    <dxf>
      <font>
        <sz val="11"/>
        <color theme="1"/>
        <name val="Calibri"/>
        <scheme val="none"/>
      </font>
      <numFmt numFmtId="164" formatCode="_-* #,##0_-;\-* #,##0_-;_-* &quot;-&quot;??_-;_-@_-"/>
    </dxf>
  </rfmt>
  <rfmt sheetId="1" sqref="AR52" start="0" length="0">
    <dxf>
      <font>
        <sz val="11"/>
        <color theme="1"/>
        <name val="Calibri"/>
        <scheme val="none"/>
      </font>
      <numFmt numFmtId="164" formatCode="_-* #,##0_-;\-* #,##0_-;_-* &quot;-&quot;??_-;_-@_-"/>
    </dxf>
  </rfmt>
  <rfmt sheetId="1" sqref="AS52" start="0" length="0">
    <dxf>
      <font>
        <sz val="11"/>
        <color theme="1"/>
        <name val="Calibri"/>
        <scheme val="none"/>
      </font>
      <numFmt numFmtId="164" formatCode="_-* #,##0_-;\-* #,##0_-;_-* &quot;-&quot;??_-;_-@_-"/>
    </dxf>
  </rfmt>
  <rfmt sheetId="1" sqref="AT52" start="0" length="0">
    <dxf>
      <font>
        <sz val="11"/>
        <color theme="1"/>
        <name val="Calibri"/>
        <scheme val="none"/>
      </font>
      <numFmt numFmtId="164" formatCode="_-* #,##0_-;\-* #,##0_-;_-* &quot;-&quot;??_-;_-@_-"/>
    </dxf>
  </rfmt>
  <rfmt sheetId="1" sqref="AU52" start="0" length="0">
    <dxf>
      <font>
        <sz val="11"/>
        <color theme="1"/>
        <name val="Calibri"/>
        <scheme val="none"/>
      </font>
    </dxf>
  </rfmt>
  <rfmt sheetId="1" sqref="AV52" start="0" length="0">
    <dxf>
      <font>
        <sz val="11"/>
        <color theme="1"/>
        <name val="Calibri"/>
        <scheme val="none"/>
      </font>
    </dxf>
  </rfmt>
  <rfmt sheetId="1" sqref="AW52" start="0" length="0">
    <dxf>
      <font>
        <sz val="11"/>
        <color theme="1"/>
        <name val="Calibri"/>
        <scheme val="none"/>
      </font>
    </dxf>
  </rfmt>
  <rfmt sheetId="1" sqref="AX52" start="0" length="0">
    <dxf>
      <font>
        <sz val="11"/>
        <color theme="1"/>
        <name val="Calibri"/>
        <scheme val="none"/>
      </font>
    </dxf>
  </rfmt>
  <rfmt sheetId="1" sqref="AY52" start="0" length="0">
    <dxf>
      <font>
        <sz val="11"/>
        <color theme="1"/>
        <name val="Calibri"/>
        <scheme val="none"/>
      </font>
    </dxf>
  </rfmt>
  <rfmt sheetId="1" sqref="A52:XFD52" start="0" length="0">
    <dxf>
      <font>
        <sz val="11"/>
        <color theme="1"/>
        <name val="Calibri"/>
        <scheme val="none"/>
      </font>
    </dxf>
  </rfmt>
  <rfmt sheetId="1" sqref="A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3" start="0" length="0">
    <dxf>
      <font>
        <sz val="11"/>
        <color theme="1"/>
        <name val="Calibri"/>
        <scheme val="none"/>
      </font>
    </dxf>
  </rfmt>
  <rfmt sheetId="1" sqref="AM53" start="0" length="0">
    <dxf>
      <font>
        <sz val="11"/>
        <color theme="1"/>
        <name val="Calibri"/>
        <scheme val="none"/>
      </font>
      <numFmt numFmtId="1" formatCode="0"/>
    </dxf>
  </rfmt>
  <rfmt sheetId="1" sqref="AN53" start="0" length="0">
    <dxf>
      <font>
        <sz val="11"/>
        <color theme="1"/>
        <name val="Calibri"/>
        <scheme val="none"/>
      </font>
      <numFmt numFmtId="1" formatCode="0"/>
    </dxf>
  </rfmt>
  <rfmt sheetId="1" sqref="AO53" start="0" length="0">
    <dxf>
      <font>
        <sz val="11"/>
        <color theme="1"/>
        <name val="Calibri"/>
        <scheme val="none"/>
      </font>
    </dxf>
  </rfmt>
  <rfmt sheetId="1" sqref="AP53" start="0" length="0">
    <dxf>
      <font>
        <sz val="11"/>
        <color theme="1"/>
        <name val="Calibri"/>
        <scheme val="none"/>
      </font>
    </dxf>
  </rfmt>
  <rfmt sheetId="1" sqref="AQ53" start="0" length="0">
    <dxf>
      <font>
        <sz val="11"/>
        <color theme="1"/>
        <name val="Calibri"/>
        <scheme val="none"/>
      </font>
      <numFmt numFmtId="164" formatCode="_-* #,##0_-;\-* #,##0_-;_-* &quot;-&quot;??_-;_-@_-"/>
    </dxf>
  </rfmt>
  <rfmt sheetId="1" sqref="AR53" start="0" length="0">
    <dxf>
      <font>
        <sz val="11"/>
        <color theme="1"/>
        <name val="Calibri"/>
        <scheme val="none"/>
      </font>
      <numFmt numFmtId="164" formatCode="_-* #,##0_-;\-* #,##0_-;_-* &quot;-&quot;??_-;_-@_-"/>
    </dxf>
  </rfmt>
  <rfmt sheetId="1" sqref="AS53" start="0" length="0">
    <dxf>
      <font>
        <sz val="11"/>
        <color theme="1"/>
        <name val="Calibri"/>
        <scheme val="none"/>
      </font>
      <numFmt numFmtId="164" formatCode="_-* #,##0_-;\-* #,##0_-;_-* &quot;-&quot;??_-;_-@_-"/>
    </dxf>
  </rfmt>
  <rfmt sheetId="1" sqref="AT53" start="0" length="0">
    <dxf>
      <font>
        <sz val="11"/>
        <color theme="1"/>
        <name val="Calibri"/>
        <scheme val="none"/>
      </font>
      <numFmt numFmtId="164" formatCode="_-* #,##0_-;\-* #,##0_-;_-* &quot;-&quot;??_-;_-@_-"/>
    </dxf>
  </rfmt>
  <rfmt sheetId="1" sqref="AU53" start="0" length="0">
    <dxf>
      <font>
        <sz val="11"/>
        <color theme="1"/>
        <name val="Calibri"/>
        <scheme val="none"/>
      </font>
    </dxf>
  </rfmt>
  <rfmt sheetId="1" sqref="AV53" start="0" length="0">
    <dxf>
      <font>
        <sz val="11"/>
        <color theme="1"/>
        <name val="Calibri"/>
        <scheme val="none"/>
      </font>
    </dxf>
  </rfmt>
  <rfmt sheetId="1" sqref="AW53" start="0" length="0">
    <dxf>
      <font>
        <sz val="11"/>
        <color theme="1"/>
        <name val="Calibri"/>
        <scheme val="none"/>
      </font>
    </dxf>
  </rfmt>
  <rfmt sheetId="1" sqref="AX53" start="0" length="0">
    <dxf>
      <font>
        <sz val="11"/>
        <color theme="1"/>
        <name val="Calibri"/>
        <scheme val="none"/>
      </font>
    </dxf>
  </rfmt>
  <rfmt sheetId="1" sqref="AY53" start="0" length="0">
    <dxf>
      <font>
        <sz val="11"/>
        <color theme="1"/>
        <name val="Calibri"/>
        <scheme val="none"/>
      </font>
    </dxf>
  </rfmt>
  <rfmt sheetId="1" sqref="A53:XFD53" start="0" length="0">
    <dxf>
      <font>
        <sz val="11"/>
        <color theme="1"/>
        <name val="Calibri"/>
        <scheme val="none"/>
      </font>
    </dxf>
  </rfmt>
  <rfmt sheetId="1" sqref="A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4" start="0" length="0">
    <dxf>
      <font>
        <sz val="11"/>
        <color theme="1"/>
        <name val="Calibri"/>
        <scheme val="none"/>
      </font>
    </dxf>
  </rfmt>
  <rfmt sheetId="1" sqref="AM54" start="0" length="0">
    <dxf>
      <font>
        <sz val="11"/>
        <color theme="1"/>
        <name val="Calibri"/>
        <scheme val="none"/>
      </font>
      <numFmt numFmtId="1" formatCode="0"/>
    </dxf>
  </rfmt>
  <rfmt sheetId="1" sqref="AN54" start="0" length="0">
    <dxf>
      <font>
        <sz val="11"/>
        <color theme="1"/>
        <name val="Calibri"/>
        <scheme val="none"/>
      </font>
      <numFmt numFmtId="1" formatCode="0"/>
    </dxf>
  </rfmt>
  <rfmt sheetId="1" sqref="AO54" start="0" length="0">
    <dxf>
      <font>
        <sz val="11"/>
        <color theme="1"/>
        <name val="Calibri"/>
        <scheme val="none"/>
      </font>
    </dxf>
  </rfmt>
  <rfmt sheetId="1" sqref="AP54" start="0" length="0">
    <dxf>
      <font>
        <sz val="11"/>
        <color theme="1"/>
        <name val="Calibri"/>
        <scheme val="none"/>
      </font>
    </dxf>
  </rfmt>
  <rfmt sheetId="1" sqref="AQ54" start="0" length="0">
    <dxf>
      <font>
        <sz val="11"/>
        <color theme="1"/>
        <name val="Calibri"/>
        <scheme val="none"/>
      </font>
      <numFmt numFmtId="164" formatCode="_-* #,##0_-;\-* #,##0_-;_-* &quot;-&quot;??_-;_-@_-"/>
    </dxf>
  </rfmt>
  <rfmt sheetId="1" sqref="AR54" start="0" length="0">
    <dxf>
      <font>
        <sz val="11"/>
        <color theme="1"/>
        <name val="Calibri"/>
        <scheme val="none"/>
      </font>
      <numFmt numFmtId="164" formatCode="_-* #,##0_-;\-* #,##0_-;_-* &quot;-&quot;??_-;_-@_-"/>
    </dxf>
  </rfmt>
  <rfmt sheetId="1" sqref="AS54" start="0" length="0">
    <dxf>
      <font>
        <sz val="11"/>
        <color theme="1"/>
        <name val="Calibri"/>
        <scheme val="none"/>
      </font>
      <numFmt numFmtId="164" formatCode="_-* #,##0_-;\-* #,##0_-;_-* &quot;-&quot;??_-;_-@_-"/>
    </dxf>
  </rfmt>
  <rfmt sheetId="1" sqref="AT54" start="0" length="0">
    <dxf>
      <font>
        <sz val="11"/>
        <color theme="1"/>
        <name val="Calibri"/>
        <scheme val="none"/>
      </font>
      <numFmt numFmtId="164" formatCode="_-* #,##0_-;\-* #,##0_-;_-* &quot;-&quot;??_-;_-@_-"/>
    </dxf>
  </rfmt>
  <rfmt sheetId="1" sqref="AU54" start="0" length="0">
    <dxf>
      <font>
        <sz val="11"/>
        <color theme="1"/>
        <name val="Calibri"/>
        <scheme val="none"/>
      </font>
    </dxf>
  </rfmt>
  <rfmt sheetId="1" sqref="AV54" start="0" length="0">
    <dxf>
      <font>
        <sz val="11"/>
        <color theme="1"/>
        <name val="Calibri"/>
        <scheme val="none"/>
      </font>
    </dxf>
  </rfmt>
  <rfmt sheetId="1" sqref="AW54" start="0" length="0">
    <dxf>
      <font>
        <sz val="11"/>
        <color theme="1"/>
        <name val="Calibri"/>
        <scheme val="none"/>
      </font>
    </dxf>
  </rfmt>
  <rfmt sheetId="1" sqref="AX54" start="0" length="0">
    <dxf>
      <font>
        <sz val="11"/>
        <color theme="1"/>
        <name val="Calibri"/>
        <scheme val="none"/>
      </font>
    </dxf>
  </rfmt>
  <rfmt sheetId="1" sqref="AY54" start="0" length="0">
    <dxf>
      <font>
        <sz val="11"/>
        <color theme="1"/>
        <name val="Calibri"/>
        <scheme val="none"/>
      </font>
    </dxf>
  </rfmt>
  <rfmt sheetId="1" sqref="A54:XFD54" start="0" length="0">
    <dxf>
      <font>
        <sz val="11"/>
        <color theme="1"/>
        <name val="Calibri"/>
        <scheme val="none"/>
      </font>
    </dxf>
  </rfmt>
  <rfmt sheetId="1" sqref="A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5" start="0" length="0">
    <dxf>
      <font>
        <sz val="11"/>
        <color theme="1"/>
        <name val="Calibri"/>
        <scheme val="none"/>
      </font>
    </dxf>
  </rfmt>
  <rfmt sheetId="1" sqref="AM55" start="0" length="0">
    <dxf>
      <font>
        <sz val="11"/>
        <color theme="1"/>
        <name val="Calibri"/>
        <scheme val="none"/>
      </font>
      <numFmt numFmtId="1" formatCode="0"/>
    </dxf>
  </rfmt>
  <rfmt sheetId="1" sqref="AN55" start="0" length="0">
    <dxf>
      <font>
        <sz val="11"/>
        <color theme="1"/>
        <name val="Calibri"/>
        <scheme val="none"/>
      </font>
      <numFmt numFmtId="1" formatCode="0"/>
    </dxf>
  </rfmt>
  <rfmt sheetId="1" sqref="AO55" start="0" length="0">
    <dxf>
      <font>
        <sz val="11"/>
        <color theme="1"/>
        <name val="Calibri"/>
        <scheme val="none"/>
      </font>
    </dxf>
  </rfmt>
  <rfmt sheetId="1" sqref="AP55" start="0" length="0">
    <dxf>
      <font>
        <sz val="11"/>
        <color theme="1"/>
        <name val="Calibri"/>
        <scheme val="none"/>
      </font>
    </dxf>
  </rfmt>
  <rfmt sheetId="1" sqref="AQ55" start="0" length="0">
    <dxf>
      <font>
        <sz val="11"/>
        <color theme="1"/>
        <name val="Calibri"/>
        <scheme val="none"/>
      </font>
      <numFmt numFmtId="164" formatCode="_-* #,##0_-;\-* #,##0_-;_-* &quot;-&quot;??_-;_-@_-"/>
    </dxf>
  </rfmt>
  <rfmt sheetId="1" sqref="AR55" start="0" length="0">
    <dxf>
      <font>
        <sz val="11"/>
        <color theme="1"/>
        <name val="Calibri"/>
        <scheme val="none"/>
      </font>
      <numFmt numFmtId="164" formatCode="_-* #,##0_-;\-* #,##0_-;_-* &quot;-&quot;??_-;_-@_-"/>
    </dxf>
  </rfmt>
  <rfmt sheetId="1" sqref="AS55" start="0" length="0">
    <dxf>
      <font>
        <sz val="11"/>
        <color theme="1"/>
        <name val="Calibri"/>
        <scheme val="none"/>
      </font>
      <numFmt numFmtId="164" formatCode="_-* #,##0_-;\-* #,##0_-;_-* &quot;-&quot;??_-;_-@_-"/>
    </dxf>
  </rfmt>
  <rfmt sheetId="1" sqref="AT55" start="0" length="0">
    <dxf>
      <font>
        <sz val="11"/>
        <color theme="1"/>
        <name val="Calibri"/>
        <scheme val="none"/>
      </font>
      <numFmt numFmtId="164" formatCode="_-* #,##0_-;\-* #,##0_-;_-* &quot;-&quot;??_-;_-@_-"/>
    </dxf>
  </rfmt>
  <rfmt sheetId="1" sqref="AU55" start="0" length="0">
    <dxf>
      <font>
        <sz val="11"/>
        <color theme="1"/>
        <name val="Calibri"/>
        <scheme val="none"/>
      </font>
    </dxf>
  </rfmt>
  <rfmt sheetId="1" sqref="AV55" start="0" length="0">
    <dxf>
      <font>
        <sz val="11"/>
        <color theme="1"/>
        <name val="Calibri"/>
        <scheme val="none"/>
      </font>
    </dxf>
  </rfmt>
  <rfmt sheetId="1" sqref="AW55" start="0" length="0">
    <dxf>
      <font>
        <sz val="11"/>
        <color theme="1"/>
        <name val="Calibri"/>
        <scheme val="none"/>
      </font>
    </dxf>
  </rfmt>
  <rfmt sheetId="1" sqref="AX55" start="0" length="0">
    <dxf>
      <font>
        <sz val="11"/>
        <color theme="1"/>
        <name val="Calibri"/>
        <scheme val="none"/>
      </font>
    </dxf>
  </rfmt>
  <rfmt sheetId="1" sqref="AY55" start="0" length="0">
    <dxf>
      <font>
        <sz val="11"/>
        <color theme="1"/>
        <name val="Calibri"/>
        <scheme val="none"/>
      </font>
    </dxf>
  </rfmt>
  <rfmt sheetId="1" sqref="A55:XFD55" start="0" length="0">
    <dxf>
      <font>
        <sz val="11"/>
        <color theme="1"/>
        <name val="Calibri"/>
        <scheme val="none"/>
      </font>
    </dxf>
  </rfmt>
  <rfmt sheetId="1" sqref="A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6" start="0" length="0">
    <dxf>
      <font>
        <sz val="11"/>
        <color theme="1"/>
        <name val="Calibri"/>
        <scheme val="none"/>
      </font>
    </dxf>
  </rfmt>
  <rfmt sheetId="1" sqref="AM56" start="0" length="0">
    <dxf>
      <font>
        <sz val="11"/>
        <color theme="1"/>
        <name val="Calibri"/>
        <scheme val="none"/>
      </font>
      <numFmt numFmtId="1" formatCode="0"/>
    </dxf>
  </rfmt>
  <rfmt sheetId="1" sqref="AN56" start="0" length="0">
    <dxf>
      <font>
        <sz val="11"/>
        <color theme="1"/>
        <name val="Calibri"/>
        <scheme val="none"/>
      </font>
      <numFmt numFmtId="1" formatCode="0"/>
    </dxf>
  </rfmt>
  <rfmt sheetId="1" sqref="AO56" start="0" length="0">
    <dxf>
      <font>
        <sz val="11"/>
        <color theme="1"/>
        <name val="Calibri"/>
        <scheme val="none"/>
      </font>
    </dxf>
  </rfmt>
  <rfmt sheetId="1" sqref="AP56" start="0" length="0">
    <dxf>
      <font>
        <sz val="11"/>
        <color theme="1"/>
        <name val="Calibri"/>
        <scheme val="none"/>
      </font>
    </dxf>
  </rfmt>
  <rfmt sheetId="1" sqref="AQ56" start="0" length="0">
    <dxf>
      <font>
        <sz val="11"/>
        <color theme="1"/>
        <name val="Calibri"/>
        <scheme val="none"/>
      </font>
      <numFmt numFmtId="164" formatCode="_-* #,##0_-;\-* #,##0_-;_-* &quot;-&quot;??_-;_-@_-"/>
    </dxf>
  </rfmt>
  <rfmt sheetId="1" sqref="AR56" start="0" length="0">
    <dxf>
      <font>
        <sz val="11"/>
        <color theme="1"/>
        <name val="Calibri"/>
        <scheme val="none"/>
      </font>
      <numFmt numFmtId="164" formatCode="_-* #,##0_-;\-* #,##0_-;_-* &quot;-&quot;??_-;_-@_-"/>
    </dxf>
  </rfmt>
  <rfmt sheetId="1" sqref="AS56" start="0" length="0">
    <dxf>
      <font>
        <sz val="11"/>
        <color theme="1"/>
        <name val="Calibri"/>
        <scheme val="none"/>
      </font>
      <numFmt numFmtId="164" formatCode="_-* #,##0_-;\-* #,##0_-;_-* &quot;-&quot;??_-;_-@_-"/>
    </dxf>
  </rfmt>
  <rfmt sheetId="1" sqref="AT56" start="0" length="0">
    <dxf>
      <font>
        <sz val="11"/>
        <color theme="1"/>
        <name val="Calibri"/>
        <scheme val="none"/>
      </font>
      <numFmt numFmtId="164" formatCode="_-* #,##0_-;\-* #,##0_-;_-* &quot;-&quot;??_-;_-@_-"/>
    </dxf>
  </rfmt>
  <rfmt sheetId="1" sqref="AU56" start="0" length="0">
    <dxf>
      <font>
        <sz val="11"/>
        <color theme="1"/>
        <name val="Calibri"/>
        <scheme val="none"/>
      </font>
    </dxf>
  </rfmt>
  <rfmt sheetId="1" sqref="AV56" start="0" length="0">
    <dxf>
      <font>
        <sz val="11"/>
        <color theme="1"/>
        <name val="Calibri"/>
        <scheme val="none"/>
      </font>
    </dxf>
  </rfmt>
  <rfmt sheetId="1" sqref="AW56" start="0" length="0">
    <dxf>
      <font>
        <sz val="11"/>
        <color theme="1"/>
        <name val="Calibri"/>
        <scheme val="none"/>
      </font>
    </dxf>
  </rfmt>
  <rfmt sheetId="1" sqref="AX56" start="0" length="0">
    <dxf>
      <font>
        <sz val="11"/>
        <color theme="1"/>
        <name val="Calibri"/>
        <scheme val="none"/>
      </font>
    </dxf>
  </rfmt>
  <rfmt sheetId="1" sqref="AY56" start="0" length="0">
    <dxf>
      <font>
        <sz val="11"/>
        <color theme="1"/>
        <name val="Calibri"/>
        <scheme val="none"/>
      </font>
    </dxf>
  </rfmt>
  <rfmt sheetId="1" sqref="A56:XFD56" start="0" length="0">
    <dxf>
      <font>
        <sz val="11"/>
        <color theme="1"/>
        <name val="Calibri"/>
        <scheme val="none"/>
      </font>
    </dxf>
  </rfmt>
  <rfmt sheetId="1" sqref="A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7" start="0" length="0">
    <dxf>
      <font>
        <sz val="11"/>
        <color theme="1"/>
        <name val="Calibri"/>
        <scheme val="none"/>
      </font>
    </dxf>
  </rfmt>
  <rfmt sheetId="1" sqref="AM57" start="0" length="0">
    <dxf>
      <font>
        <sz val="11"/>
        <color theme="1"/>
        <name val="Calibri"/>
        <scheme val="none"/>
      </font>
      <numFmt numFmtId="1" formatCode="0"/>
    </dxf>
  </rfmt>
  <rfmt sheetId="1" sqref="AN57" start="0" length="0">
    <dxf>
      <font>
        <sz val="11"/>
        <color theme="1"/>
        <name val="Calibri"/>
        <scheme val="none"/>
      </font>
      <numFmt numFmtId="1" formatCode="0"/>
    </dxf>
  </rfmt>
  <rfmt sheetId="1" sqref="AO57" start="0" length="0">
    <dxf>
      <font>
        <sz val="11"/>
        <color theme="1"/>
        <name val="Calibri"/>
        <scheme val="none"/>
      </font>
    </dxf>
  </rfmt>
  <rfmt sheetId="1" sqref="AP57" start="0" length="0">
    <dxf>
      <font>
        <sz val="11"/>
        <color theme="1"/>
        <name val="Calibri"/>
        <scheme val="none"/>
      </font>
    </dxf>
  </rfmt>
  <rfmt sheetId="1" sqref="AQ57" start="0" length="0">
    <dxf>
      <font>
        <sz val="11"/>
        <color theme="1"/>
        <name val="Calibri"/>
        <scheme val="none"/>
      </font>
      <numFmt numFmtId="164" formatCode="_-* #,##0_-;\-* #,##0_-;_-* &quot;-&quot;??_-;_-@_-"/>
    </dxf>
  </rfmt>
  <rfmt sheetId="1" sqref="AR57" start="0" length="0">
    <dxf>
      <font>
        <sz val="11"/>
        <color theme="1"/>
        <name val="Calibri"/>
        <scheme val="none"/>
      </font>
      <numFmt numFmtId="164" formatCode="_-* #,##0_-;\-* #,##0_-;_-* &quot;-&quot;??_-;_-@_-"/>
    </dxf>
  </rfmt>
  <rfmt sheetId="1" sqref="AS57" start="0" length="0">
    <dxf>
      <font>
        <sz val="11"/>
        <color theme="1"/>
        <name val="Calibri"/>
        <scheme val="none"/>
      </font>
      <numFmt numFmtId="164" formatCode="_-* #,##0_-;\-* #,##0_-;_-* &quot;-&quot;??_-;_-@_-"/>
    </dxf>
  </rfmt>
  <rfmt sheetId="1" sqref="AT57" start="0" length="0">
    <dxf>
      <font>
        <sz val="11"/>
        <color theme="1"/>
        <name val="Calibri"/>
        <scheme val="none"/>
      </font>
      <numFmt numFmtId="164" formatCode="_-* #,##0_-;\-* #,##0_-;_-* &quot;-&quot;??_-;_-@_-"/>
    </dxf>
  </rfmt>
  <rfmt sheetId="1" sqref="AU57" start="0" length="0">
    <dxf>
      <font>
        <sz val="11"/>
        <color theme="1"/>
        <name val="Calibri"/>
        <scheme val="none"/>
      </font>
    </dxf>
  </rfmt>
  <rfmt sheetId="1" sqref="AV57" start="0" length="0">
    <dxf>
      <font>
        <sz val="11"/>
        <color theme="1"/>
        <name val="Calibri"/>
        <scheme val="none"/>
      </font>
    </dxf>
  </rfmt>
  <rfmt sheetId="1" sqref="AW57" start="0" length="0">
    <dxf>
      <font>
        <sz val="11"/>
        <color theme="1"/>
        <name val="Calibri"/>
        <scheme val="none"/>
      </font>
    </dxf>
  </rfmt>
  <rfmt sheetId="1" sqref="AX57" start="0" length="0">
    <dxf>
      <font>
        <sz val="11"/>
        <color theme="1"/>
        <name val="Calibri"/>
        <scheme val="none"/>
      </font>
    </dxf>
  </rfmt>
  <rfmt sheetId="1" sqref="AY57" start="0" length="0">
    <dxf>
      <font>
        <sz val="11"/>
        <color theme="1"/>
        <name val="Calibri"/>
        <scheme val="none"/>
      </font>
    </dxf>
  </rfmt>
  <rfmt sheetId="1" sqref="A57:XFD57" start="0" length="0">
    <dxf>
      <font>
        <sz val="11"/>
        <color theme="1"/>
        <name val="Calibri"/>
        <scheme val="none"/>
      </font>
    </dxf>
  </rfmt>
  <rfmt sheetId="1" sqref="A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8" start="0" length="0">
    <dxf>
      <font>
        <sz val="11"/>
        <color theme="1"/>
        <name val="Calibri"/>
        <scheme val="none"/>
      </font>
    </dxf>
  </rfmt>
  <rfmt sheetId="1" sqref="AM58" start="0" length="0">
    <dxf>
      <font>
        <sz val="11"/>
        <color theme="1"/>
        <name val="Calibri"/>
        <scheme val="none"/>
      </font>
      <numFmt numFmtId="1" formatCode="0"/>
    </dxf>
  </rfmt>
  <rfmt sheetId="1" sqref="AN58" start="0" length="0">
    <dxf>
      <font>
        <sz val="11"/>
        <color theme="1"/>
        <name val="Calibri"/>
        <scheme val="none"/>
      </font>
      <numFmt numFmtId="1" formatCode="0"/>
    </dxf>
  </rfmt>
  <rfmt sheetId="1" sqref="AO58" start="0" length="0">
    <dxf>
      <font>
        <sz val="11"/>
        <color theme="1"/>
        <name val="Calibri"/>
        <scheme val="none"/>
      </font>
    </dxf>
  </rfmt>
  <rfmt sheetId="1" sqref="AP58" start="0" length="0">
    <dxf>
      <font>
        <sz val="11"/>
        <color theme="1"/>
        <name val="Calibri"/>
        <scheme val="none"/>
      </font>
    </dxf>
  </rfmt>
  <rfmt sheetId="1" sqref="AQ58" start="0" length="0">
    <dxf>
      <font>
        <sz val="11"/>
        <color theme="1"/>
        <name val="Calibri"/>
        <scheme val="none"/>
      </font>
      <numFmt numFmtId="164" formatCode="_-* #,##0_-;\-* #,##0_-;_-* &quot;-&quot;??_-;_-@_-"/>
    </dxf>
  </rfmt>
  <rfmt sheetId="1" sqref="AR58" start="0" length="0">
    <dxf>
      <font>
        <sz val="11"/>
        <color theme="1"/>
        <name val="Calibri"/>
        <scheme val="none"/>
      </font>
      <numFmt numFmtId="164" formatCode="_-* #,##0_-;\-* #,##0_-;_-* &quot;-&quot;??_-;_-@_-"/>
    </dxf>
  </rfmt>
  <rfmt sheetId="1" sqref="AS58" start="0" length="0">
    <dxf>
      <font>
        <sz val="11"/>
        <color theme="1"/>
        <name val="Calibri"/>
        <scheme val="none"/>
      </font>
      <numFmt numFmtId="164" formatCode="_-* #,##0_-;\-* #,##0_-;_-* &quot;-&quot;??_-;_-@_-"/>
    </dxf>
  </rfmt>
  <rfmt sheetId="1" sqref="AT58" start="0" length="0">
    <dxf>
      <font>
        <sz val="11"/>
        <color theme="1"/>
        <name val="Calibri"/>
        <scheme val="none"/>
      </font>
      <numFmt numFmtId="164" formatCode="_-* #,##0_-;\-* #,##0_-;_-* &quot;-&quot;??_-;_-@_-"/>
    </dxf>
  </rfmt>
  <rfmt sheetId="1" sqref="AU58" start="0" length="0">
    <dxf>
      <font>
        <sz val="11"/>
        <color theme="1"/>
        <name val="Calibri"/>
        <scheme val="none"/>
      </font>
    </dxf>
  </rfmt>
  <rfmt sheetId="1" sqref="AV58" start="0" length="0">
    <dxf>
      <font>
        <sz val="11"/>
        <color theme="1"/>
        <name val="Calibri"/>
        <scheme val="none"/>
      </font>
    </dxf>
  </rfmt>
  <rfmt sheetId="1" sqref="AW58" start="0" length="0">
    <dxf>
      <font>
        <sz val="11"/>
        <color theme="1"/>
        <name val="Calibri"/>
        <scheme val="none"/>
      </font>
    </dxf>
  </rfmt>
  <rfmt sheetId="1" sqref="AX58" start="0" length="0">
    <dxf>
      <font>
        <sz val="11"/>
        <color theme="1"/>
        <name val="Calibri"/>
        <scheme val="none"/>
      </font>
    </dxf>
  </rfmt>
  <rfmt sheetId="1" sqref="AY58" start="0" length="0">
    <dxf>
      <font>
        <sz val="11"/>
        <color theme="1"/>
        <name val="Calibri"/>
        <scheme val="none"/>
      </font>
    </dxf>
  </rfmt>
  <rfmt sheetId="1" sqref="A58:XFD58" start="0" length="0">
    <dxf>
      <font>
        <sz val="11"/>
        <color theme="1"/>
        <name val="Calibri"/>
        <scheme val="none"/>
      </font>
    </dxf>
  </rfmt>
  <rfmt sheetId="1" sqref="A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9" start="0" length="0">
    <dxf>
      <font>
        <sz val="11"/>
        <color theme="1"/>
        <name val="Calibri"/>
        <scheme val="none"/>
      </font>
    </dxf>
  </rfmt>
  <rfmt sheetId="1" sqref="AM59" start="0" length="0">
    <dxf>
      <font>
        <sz val="11"/>
        <color theme="1"/>
        <name val="Calibri"/>
        <scheme val="none"/>
      </font>
      <numFmt numFmtId="1" formatCode="0"/>
    </dxf>
  </rfmt>
  <rfmt sheetId="1" sqref="AN59" start="0" length="0">
    <dxf>
      <font>
        <sz val="11"/>
        <color theme="1"/>
        <name val="Calibri"/>
        <scheme val="none"/>
      </font>
      <numFmt numFmtId="1" formatCode="0"/>
    </dxf>
  </rfmt>
  <rfmt sheetId="1" sqref="AO59" start="0" length="0">
    <dxf>
      <font>
        <sz val="11"/>
        <color theme="1"/>
        <name val="Calibri"/>
        <scheme val="none"/>
      </font>
    </dxf>
  </rfmt>
  <rfmt sheetId="1" sqref="AP59" start="0" length="0">
    <dxf>
      <font>
        <sz val="11"/>
        <color theme="1"/>
        <name val="Calibri"/>
        <scheme val="none"/>
      </font>
    </dxf>
  </rfmt>
  <rfmt sheetId="1" sqref="AQ59" start="0" length="0">
    <dxf>
      <font>
        <sz val="11"/>
        <color theme="1"/>
        <name val="Calibri"/>
        <scheme val="none"/>
      </font>
      <numFmt numFmtId="164" formatCode="_-* #,##0_-;\-* #,##0_-;_-* &quot;-&quot;??_-;_-@_-"/>
    </dxf>
  </rfmt>
  <rfmt sheetId="1" sqref="AR59" start="0" length="0">
    <dxf>
      <font>
        <sz val="11"/>
        <color theme="1"/>
        <name val="Calibri"/>
        <scheme val="none"/>
      </font>
      <numFmt numFmtId="164" formatCode="_-* #,##0_-;\-* #,##0_-;_-* &quot;-&quot;??_-;_-@_-"/>
    </dxf>
  </rfmt>
  <rfmt sheetId="1" sqref="AS59" start="0" length="0">
    <dxf>
      <font>
        <sz val="11"/>
        <color theme="1"/>
        <name val="Calibri"/>
        <scheme val="none"/>
      </font>
      <numFmt numFmtId="164" formatCode="_-* #,##0_-;\-* #,##0_-;_-* &quot;-&quot;??_-;_-@_-"/>
    </dxf>
  </rfmt>
  <rfmt sheetId="1" sqref="AT59" start="0" length="0">
    <dxf>
      <font>
        <sz val="11"/>
        <color theme="1"/>
        <name val="Calibri"/>
        <scheme val="none"/>
      </font>
      <numFmt numFmtId="164" formatCode="_-* #,##0_-;\-* #,##0_-;_-* &quot;-&quot;??_-;_-@_-"/>
    </dxf>
  </rfmt>
  <rfmt sheetId="1" sqref="AU59" start="0" length="0">
    <dxf>
      <font>
        <sz val="11"/>
        <color theme="1"/>
        <name val="Calibri"/>
        <scheme val="none"/>
      </font>
    </dxf>
  </rfmt>
  <rfmt sheetId="1" sqref="AV59" start="0" length="0">
    <dxf>
      <font>
        <sz val="11"/>
        <color theme="1"/>
        <name val="Calibri"/>
        <scheme val="none"/>
      </font>
    </dxf>
  </rfmt>
  <rfmt sheetId="1" sqref="AW59" start="0" length="0">
    <dxf>
      <font>
        <sz val="11"/>
        <color theme="1"/>
        <name val="Calibri"/>
        <scheme val="none"/>
      </font>
    </dxf>
  </rfmt>
  <rfmt sheetId="1" sqref="AX59" start="0" length="0">
    <dxf>
      <font>
        <sz val="11"/>
        <color theme="1"/>
        <name val="Calibri"/>
        <scheme val="none"/>
      </font>
    </dxf>
  </rfmt>
  <rfmt sheetId="1" sqref="AY59" start="0" length="0">
    <dxf>
      <font>
        <sz val="11"/>
        <color theme="1"/>
        <name val="Calibri"/>
        <scheme val="none"/>
      </font>
    </dxf>
  </rfmt>
  <rfmt sheetId="1" sqref="A59:XFD59" start="0" length="0">
    <dxf>
      <font>
        <sz val="11"/>
        <color theme="1"/>
        <name val="Calibri"/>
        <scheme val="none"/>
      </font>
    </dxf>
  </rfmt>
  <rfmt sheetId="1" sqref="A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0" start="0" length="0">
    <dxf>
      <font>
        <sz val="11"/>
        <color theme="1"/>
        <name val="Calibri"/>
        <scheme val="none"/>
      </font>
    </dxf>
  </rfmt>
  <rfmt sheetId="1" sqref="AM60" start="0" length="0">
    <dxf>
      <font>
        <sz val="11"/>
        <color theme="1"/>
        <name val="Calibri"/>
        <scheme val="none"/>
      </font>
      <numFmt numFmtId="1" formatCode="0"/>
    </dxf>
  </rfmt>
  <rfmt sheetId="1" sqref="AN60" start="0" length="0">
    <dxf>
      <font>
        <sz val="11"/>
        <color theme="1"/>
        <name val="Calibri"/>
        <scheme val="none"/>
      </font>
      <numFmt numFmtId="1" formatCode="0"/>
    </dxf>
  </rfmt>
  <rfmt sheetId="1" sqref="AO60" start="0" length="0">
    <dxf>
      <font>
        <sz val="11"/>
        <color theme="1"/>
        <name val="Calibri"/>
        <scheme val="none"/>
      </font>
    </dxf>
  </rfmt>
  <rfmt sheetId="1" sqref="AP60" start="0" length="0">
    <dxf>
      <font>
        <sz val="11"/>
        <color theme="1"/>
        <name val="Calibri"/>
        <scheme val="none"/>
      </font>
    </dxf>
  </rfmt>
  <rfmt sheetId="1" sqref="AQ60" start="0" length="0">
    <dxf>
      <font>
        <sz val="11"/>
        <color theme="1"/>
        <name val="Calibri"/>
        <scheme val="none"/>
      </font>
      <numFmt numFmtId="164" formatCode="_-* #,##0_-;\-* #,##0_-;_-* &quot;-&quot;??_-;_-@_-"/>
    </dxf>
  </rfmt>
  <rfmt sheetId="1" sqref="AR60" start="0" length="0">
    <dxf>
      <font>
        <sz val="11"/>
        <color theme="1"/>
        <name val="Calibri"/>
        <scheme val="none"/>
      </font>
      <numFmt numFmtId="164" formatCode="_-* #,##0_-;\-* #,##0_-;_-* &quot;-&quot;??_-;_-@_-"/>
    </dxf>
  </rfmt>
  <rfmt sheetId="1" sqref="AS60" start="0" length="0">
    <dxf>
      <font>
        <sz val="11"/>
        <color theme="1"/>
        <name val="Calibri"/>
        <scheme val="none"/>
      </font>
      <numFmt numFmtId="164" formatCode="_-* #,##0_-;\-* #,##0_-;_-* &quot;-&quot;??_-;_-@_-"/>
    </dxf>
  </rfmt>
  <rfmt sheetId="1" sqref="AT60" start="0" length="0">
    <dxf>
      <font>
        <sz val="11"/>
        <color theme="1"/>
        <name val="Calibri"/>
        <scheme val="none"/>
      </font>
      <numFmt numFmtId="164" formatCode="_-* #,##0_-;\-* #,##0_-;_-* &quot;-&quot;??_-;_-@_-"/>
    </dxf>
  </rfmt>
  <rfmt sheetId="1" sqref="AU60" start="0" length="0">
    <dxf>
      <font>
        <sz val="11"/>
        <color theme="1"/>
        <name val="Calibri"/>
        <scheme val="none"/>
      </font>
    </dxf>
  </rfmt>
  <rfmt sheetId="1" sqref="AV60" start="0" length="0">
    <dxf>
      <font>
        <sz val="11"/>
        <color theme="1"/>
        <name val="Calibri"/>
        <scheme val="none"/>
      </font>
    </dxf>
  </rfmt>
  <rfmt sheetId="1" sqref="AW60" start="0" length="0">
    <dxf>
      <font>
        <sz val="11"/>
        <color theme="1"/>
        <name val="Calibri"/>
        <scheme val="none"/>
      </font>
    </dxf>
  </rfmt>
  <rfmt sheetId="1" sqref="AX60" start="0" length="0">
    <dxf>
      <font>
        <sz val="11"/>
        <color theme="1"/>
        <name val="Calibri"/>
        <scheme val="none"/>
      </font>
    </dxf>
  </rfmt>
  <rfmt sheetId="1" sqref="AY60" start="0" length="0">
    <dxf>
      <font>
        <sz val="11"/>
        <color theme="1"/>
        <name val="Calibri"/>
        <scheme val="none"/>
      </font>
    </dxf>
  </rfmt>
  <rfmt sheetId="1" sqref="A60:XFD60" start="0" length="0">
    <dxf>
      <font>
        <sz val="11"/>
        <color theme="1"/>
        <name val="Calibri"/>
        <scheme val="none"/>
      </font>
    </dxf>
  </rfmt>
  <rfmt sheetId="1" sqref="A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1" start="0" length="0">
    <dxf>
      <font>
        <sz val="11"/>
        <color theme="1"/>
        <name val="Calibri"/>
        <scheme val="none"/>
      </font>
    </dxf>
  </rfmt>
  <rfmt sheetId="1" sqref="AM61" start="0" length="0">
    <dxf>
      <font>
        <sz val="11"/>
        <color theme="1"/>
        <name val="Calibri"/>
        <scheme val="none"/>
      </font>
      <numFmt numFmtId="1" formatCode="0"/>
    </dxf>
  </rfmt>
  <rfmt sheetId="1" sqref="AN61" start="0" length="0">
    <dxf>
      <font>
        <sz val="11"/>
        <color theme="1"/>
        <name val="Calibri"/>
        <scheme val="none"/>
      </font>
      <numFmt numFmtId="1" formatCode="0"/>
    </dxf>
  </rfmt>
  <rfmt sheetId="1" sqref="AO61" start="0" length="0">
    <dxf>
      <font>
        <sz val="11"/>
        <color theme="1"/>
        <name val="Calibri"/>
        <scheme val="none"/>
      </font>
    </dxf>
  </rfmt>
  <rfmt sheetId="1" sqref="AP61" start="0" length="0">
    <dxf>
      <font>
        <sz val="11"/>
        <color theme="1"/>
        <name val="Calibri"/>
        <scheme val="none"/>
      </font>
    </dxf>
  </rfmt>
  <rfmt sheetId="1" sqref="AQ61" start="0" length="0">
    <dxf>
      <font>
        <sz val="11"/>
        <color theme="1"/>
        <name val="Calibri"/>
        <scheme val="none"/>
      </font>
      <numFmt numFmtId="164" formatCode="_-* #,##0_-;\-* #,##0_-;_-* &quot;-&quot;??_-;_-@_-"/>
    </dxf>
  </rfmt>
  <rfmt sheetId="1" sqref="AR61" start="0" length="0">
    <dxf>
      <font>
        <sz val="11"/>
        <color theme="1"/>
        <name val="Calibri"/>
        <scheme val="none"/>
      </font>
      <numFmt numFmtId="164" formatCode="_-* #,##0_-;\-* #,##0_-;_-* &quot;-&quot;??_-;_-@_-"/>
    </dxf>
  </rfmt>
  <rfmt sheetId="1" sqref="AS61" start="0" length="0">
    <dxf>
      <font>
        <sz val="11"/>
        <color theme="1"/>
        <name val="Calibri"/>
        <scheme val="none"/>
      </font>
      <numFmt numFmtId="164" formatCode="_-* #,##0_-;\-* #,##0_-;_-* &quot;-&quot;??_-;_-@_-"/>
    </dxf>
  </rfmt>
  <rfmt sheetId="1" sqref="AT61" start="0" length="0">
    <dxf>
      <font>
        <sz val="11"/>
        <color theme="1"/>
        <name val="Calibri"/>
        <scheme val="none"/>
      </font>
      <numFmt numFmtId="164" formatCode="_-* #,##0_-;\-* #,##0_-;_-* &quot;-&quot;??_-;_-@_-"/>
    </dxf>
  </rfmt>
  <rfmt sheetId="1" sqref="AU61" start="0" length="0">
    <dxf>
      <font>
        <sz val="11"/>
        <color theme="1"/>
        <name val="Calibri"/>
        <scheme val="none"/>
      </font>
    </dxf>
  </rfmt>
  <rfmt sheetId="1" sqref="AV61" start="0" length="0">
    <dxf>
      <font>
        <sz val="11"/>
        <color theme="1"/>
        <name val="Calibri"/>
        <scheme val="none"/>
      </font>
    </dxf>
  </rfmt>
  <rfmt sheetId="1" sqref="AW61" start="0" length="0">
    <dxf>
      <font>
        <sz val="11"/>
        <color theme="1"/>
        <name val="Calibri"/>
        <scheme val="none"/>
      </font>
    </dxf>
  </rfmt>
  <rfmt sheetId="1" sqref="AX61" start="0" length="0">
    <dxf>
      <font>
        <sz val="11"/>
        <color theme="1"/>
        <name val="Calibri"/>
        <scheme val="none"/>
      </font>
    </dxf>
  </rfmt>
  <rfmt sheetId="1" sqref="AY61" start="0" length="0">
    <dxf>
      <font>
        <sz val="11"/>
        <color theme="1"/>
        <name val="Calibri"/>
        <scheme val="none"/>
      </font>
    </dxf>
  </rfmt>
  <rfmt sheetId="1" sqref="A61:XFD61" start="0" length="0">
    <dxf>
      <font>
        <sz val="11"/>
        <color theme="1"/>
        <name val="Calibri"/>
        <scheme val="none"/>
      </font>
    </dxf>
  </rfmt>
  <rfmt sheetId="1" sqref="A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2" start="0" length="0">
    <dxf>
      <font>
        <sz val="11"/>
        <color theme="1"/>
        <name val="Calibri"/>
        <scheme val="none"/>
      </font>
    </dxf>
  </rfmt>
  <rfmt sheetId="1" sqref="AM62" start="0" length="0">
    <dxf>
      <font>
        <sz val="11"/>
        <color theme="1"/>
        <name val="Calibri"/>
        <scheme val="none"/>
      </font>
      <numFmt numFmtId="1" formatCode="0"/>
    </dxf>
  </rfmt>
  <rfmt sheetId="1" sqref="AN62" start="0" length="0">
    <dxf>
      <font>
        <sz val="11"/>
        <color theme="1"/>
        <name val="Calibri"/>
        <scheme val="none"/>
      </font>
      <numFmt numFmtId="1" formatCode="0"/>
    </dxf>
  </rfmt>
  <rfmt sheetId="1" sqref="AO62" start="0" length="0">
    <dxf>
      <font>
        <sz val="11"/>
        <color theme="1"/>
        <name val="Calibri"/>
        <scheme val="none"/>
      </font>
    </dxf>
  </rfmt>
  <rfmt sheetId="1" sqref="AP62" start="0" length="0">
    <dxf>
      <font>
        <sz val="11"/>
        <color theme="1"/>
        <name val="Calibri"/>
        <scheme val="none"/>
      </font>
    </dxf>
  </rfmt>
  <rfmt sheetId="1" sqref="AQ62" start="0" length="0">
    <dxf>
      <font>
        <sz val="11"/>
        <color theme="1"/>
        <name val="Calibri"/>
        <scheme val="none"/>
      </font>
      <numFmt numFmtId="164" formatCode="_-* #,##0_-;\-* #,##0_-;_-* &quot;-&quot;??_-;_-@_-"/>
    </dxf>
  </rfmt>
  <rfmt sheetId="1" sqref="AR62" start="0" length="0">
    <dxf>
      <font>
        <sz val="11"/>
        <color theme="1"/>
        <name val="Calibri"/>
        <scheme val="none"/>
      </font>
      <numFmt numFmtId="164" formatCode="_-* #,##0_-;\-* #,##0_-;_-* &quot;-&quot;??_-;_-@_-"/>
    </dxf>
  </rfmt>
  <rfmt sheetId="1" sqref="AS62" start="0" length="0">
    <dxf>
      <font>
        <sz val="11"/>
        <color theme="1"/>
        <name val="Calibri"/>
        <scheme val="none"/>
      </font>
      <numFmt numFmtId="164" formatCode="_-* #,##0_-;\-* #,##0_-;_-* &quot;-&quot;??_-;_-@_-"/>
    </dxf>
  </rfmt>
  <rfmt sheetId="1" sqref="AT62" start="0" length="0">
    <dxf>
      <font>
        <sz val="11"/>
        <color theme="1"/>
        <name val="Calibri"/>
        <scheme val="none"/>
      </font>
      <numFmt numFmtId="164" formatCode="_-* #,##0_-;\-* #,##0_-;_-* &quot;-&quot;??_-;_-@_-"/>
    </dxf>
  </rfmt>
  <rfmt sheetId="1" sqref="AU62" start="0" length="0">
    <dxf>
      <font>
        <sz val="11"/>
        <color theme="1"/>
        <name val="Calibri"/>
        <scheme val="none"/>
      </font>
    </dxf>
  </rfmt>
  <rfmt sheetId="1" sqref="AV62" start="0" length="0">
    <dxf>
      <font>
        <sz val="11"/>
        <color theme="1"/>
        <name val="Calibri"/>
        <scheme val="none"/>
      </font>
    </dxf>
  </rfmt>
  <rfmt sheetId="1" sqref="AW62" start="0" length="0">
    <dxf>
      <font>
        <sz val="11"/>
        <color theme="1"/>
        <name val="Calibri"/>
        <scheme val="none"/>
      </font>
    </dxf>
  </rfmt>
  <rfmt sheetId="1" sqref="AX62" start="0" length="0">
    <dxf>
      <font>
        <sz val="11"/>
        <color theme="1"/>
        <name val="Calibri"/>
        <scheme val="none"/>
      </font>
    </dxf>
  </rfmt>
  <rfmt sheetId="1" sqref="AY62" start="0" length="0">
    <dxf>
      <font>
        <sz val="11"/>
        <color theme="1"/>
        <name val="Calibri"/>
        <scheme val="none"/>
      </font>
    </dxf>
  </rfmt>
  <rfmt sheetId="1" sqref="A62:XFD62" start="0" length="0">
    <dxf>
      <font>
        <sz val="11"/>
        <color theme="1"/>
        <name val="Calibri"/>
        <scheme val="none"/>
      </font>
    </dxf>
  </rfmt>
  <rfmt sheetId="1" sqref="A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3" start="0" length="0">
    <dxf>
      <font>
        <sz val="11"/>
        <color theme="1"/>
        <name val="Calibri"/>
        <scheme val="none"/>
      </font>
    </dxf>
  </rfmt>
  <rfmt sheetId="1" sqref="AM63" start="0" length="0">
    <dxf>
      <font>
        <sz val="11"/>
        <color theme="1"/>
        <name val="Calibri"/>
        <scheme val="none"/>
      </font>
      <numFmt numFmtId="1" formatCode="0"/>
    </dxf>
  </rfmt>
  <rfmt sheetId="1" sqref="AN63" start="0" length="0">
    <dxf>
      <font>
        <sz val="11"/>
        <color theme="1"/>
        <name val="Calibri"/>
        <scheme val="none"/>
      </font>
      <numFmt numFmtId="1" formatCode="0"/>
    </dxf>
  </rfmt>
  <rfmt sheetId="1" sqref="AO63" start="0" length="0">
    <dxf>
      <font>
        <sz val="11"/>
        <color theme="1"/>
        <name val="Calibri"/>
        <scheme val="none"/>
      </font>
    </dxf>
  </rfmt>
  <rfmt sheetId="1" sqref="AP63" start="0" length="0">
    <dxf>
      <font>
        <sz val="11"/>
        <color theme="1"/>
        <name val="Calibri"/>
        <scheme val="none"/>
      </font>
    </dxf>
  </rfmt>
  <rfmt sheetId="1" sqref="AQ63" start="0" length="0">
    <dxf>
      <font>
        <sz val="11"/>
        <color theme="1"/>
        <name val="Calibri"/>
        <scheme val="none"/>
      </font>
      <numFmt numFmtId="164" formatCode="_-* #,##0_-;\-* #,##0_-;_-* &quot;-&quot;??_-;_-@_-"/>
    </dxf>
  </rfmt>
  <rfmt sheetId="1" sqref="AR63" start="0" length="0">
    <dxf>
      <font>
        <sz val="11"/>
        <color theme="1"/>
        <name val="Calibri"/>
        <scheme val="none"/>
      </font>
      <numFmt numFmtId="164" formatCode="_-* #,##0_-;\-* #,##0_-;_-* &quot;-&quot;??_-;_-@_-"/>
    </dxf>
  </rfmt>
  <rfmt sheetId="1" sqref="AS63" start="0" length="0">
    <dxf>
      <font>
        <sz val="11"/>
        <color theme="1"/>
        <name val="Calibri"/>
        <scheme val="none"/>
      </font>
      <numFmt numFmtId="164" formatCode="_-* #,##0_-;\-* #,##0_-;_-* &quot;-&quot;??_-;_-@_-"/>
    </dxf>
  </rfmt>
  <rfmt sheetId="1" sqref="AT63" start="0" length="0">
    <dxf>
      <font>
        <sz val="11"/>
        <color theme="1"/>
        <name val="Calibri"/>
        <scheme val="none"/>
      </font>
      <numFmt numFmtId="164" formatCode="_-* #,##0_-;\-* #,##0_-;_-* &quot;-&quot;??_-;_-@_-"/>
    </dxf>
  </rfmt>
  <rfmt sheetId="1" sqref="AU63" start="0" length="0">
    <dxf>
      <font>
        <sz val="11"/>
        <color theme="1"/>
        <name val="Calibri"/>
        <scheme val="none"/>
      </font>
    </dxf>
  </rfmt>
  <rfmt sheetId="1" sqref="AV63" start="0" length="0">
    <dxf>
      <font>
        <sz val="11"/>
        <color theme="1"/>
        <name val="Calibri"/>
        <scheme val="none"/>
      </font>
    </dxf>
  </rfmt>
  <rfmt sheetId="1" sqref="AW63" start="0" length="0">
    <dxf>
      <font>
        <sz val="11"/>
        <color theme="1"/>
        <name val="Calibri"/>
        <scheme val="none"/>
      </font>
    </dxf>
  </rfmt>
  <rfmt sheetId="1" sqref="AX63" start="0" length="0">
    <dxf>
      <font>
        <sz val="11"/>
        <color theme="1"/>
        <name val="Calibri"/>
        <scheme val="none"/>
      </font>
    </dxf>
  </rfmt>
  <rfmt sheetId="1" sqref="AY63" start="0" length="0">
    <dxf>
      <font>
        <sz val="11"/>
        <color theme="1"/>
        <name val="Calibri"/>
        <scheme val="none"/>
      </font>
    </dxf>
  </rfmt>
  <rfmt sheetId="1" sqref="A63:XFD63" start="0" length="0">
    <dxf>
      <font>
        <sz val="11"/>
        <color theme="1"/>
        <name val="Calibri"/>
        <scheme val="none"/>
      </font>
    </dxf>
  </rfmt>
  <rfmt sheetId="1" sqref="A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4" start="0" length="0">
    <dxf>
      <font>
        <sz val="11"/>
        <color theme="1"/>
        <name val="Calibri"/>
        <scheme val="none"/>
      </font>
    </dxf>
  </rfmt>
  <rfmt sheetId="1" sqref="AM64" start="0" length="0">
    <dxf>
      <font>
        <sz val="11"/>
        <color theme="1"/>
        <name val="Calibri"/>
        <scheme val="none"/>
      </font>
      <numFmt numFmtId="1" formatCode="0"/>
    </dxf>
  </rfmt>
  <rfmt sheetId="1" sqref="AN64" start="0" length="0">
    <dxf>
      <font>
        <sz val="11"/>
        <color theme="1"/>
        <name val="Calibri"/>
        <scheme val="none"/>
      </font>
      <numFmt numFmtId="1" formatCode="0"/>
    </dxf>
  </rfmt>
  <rfmt sheetId="1" sqref="AO64" start="0" length="0">
    <dxf>
      <font>
        <sz val="11"/>
        <color theme="1"/>
        <name val="Calibri"/>
        <scheme val="none"/>
      </font>
    </dxf>
  </rfmt>
  <rfmt sheetId="1" sqref="AP64" start="0" length="0">
    <dxf>
      <font>
        <sz val="11"/>
        <color theme="1"/>
        <name val="Calibri"/>
        <scheme val="none"/>
      </font>
    </dxf>
  </rfmt>
  <rfmt sheetId="1" sqref="AQ64" start="0" length="0">
    <dxf>
      <font>
        <sz val="11"/>
        <color theme="1"/>
        <name val="Calibri"/>
        <scheme val="none"/>
      </font>
      <numFmt numFmtId="164" formatCode="_-* #,##0_-;\-* #,##0_-;_-* &quot;-&quot;??_-;_-@_-"/>
    </dxf>
  </rfmt>
  <rfmt sheetId="1" sqref="AR64" start="0" length="0">
    <dxf>
      <font>
        <sz val="11"/>
        <color theme="1"/>
        <name val="Calibri"/>
        <scheme val="none"/>
      </font>
      <numFmt numFmtId="164" formatCode="_-* #,##0_-;\-* #,##0_-;_-* &quot;-&quot;??_-;_-@_-"/>
    </dxf>
  </rfmt>
  <rfmt sheetId="1" sqref="AS64" start="0" length="0">
    <dxf>
      <font>
        <sz val="11"/>
        <color theme="1"/>
        <name val="Calibri"/>
        <scheme val="none"/>
      </font>
      <numFmt numFmtId="164" formatCode="_-* #,##0_-;\-* #,##0_-;_-* &quot;-&quot;??_-;_-@_-"/>
    </dxf>
  </rfmt>
  <rfmt sheetId="1" sqref="AT64" start="0" length="0">
    <dxf>
      <font>
        <sz val="11"/>
        <color theme="1"/>
        <name val="Calibri"/>
        <scheme val="none"/>
      </font>
      <numFmt numFmtId="164" formatCode="_-* #,##0_-;\-* #,##0_-;_-* &quot;-&quot;??_-;_-@_-"/>
    </dxf>
  </rfmt>
  <rfmt sheetId="1" sqref="AU64" start="0" length="0">
    <dxf>
      <font>
        <sz val="11"/>
        <color theme="1"/>
        <name val="Calibri"/>
        <scheme val="none"/>
      </font>
    </dxf>
  </rfmt>
  <rfmt sheetId="1" sqref="AV64" start="0" length="0">
    <dxf>
      <font>
        <sz val="11"/>
        <color theme="1"/>
        <name val="Calibri"/>
        <scheme val="none"/>
      </font>
    </dxf>
  </rfmt>
  <rfmt sheetId="1" sqref="AW64" start="0" length="0">
    <dxf>
      <font>
        <sz val="11"/>
        <color theme="1"/>
        <name val="Calibri"/>
        <scheme val="none"/>
      </font>
    </dxf>
  </rfmt>
  <rfmt sheetId="1" sqref="AX64" start="0" length="0">
    <dxf>
      <font>
        <sz val="11"/>
        <color theme="1"/>
        <name val="Calibri"/>
        <scheme val="none"/>
      </font>
    </dxf>
  </rfmt>
  <rfmt sheetId="1" sqref="AY64" start="0" length="0">
    <dxf>
      <font>
        <sz val="11"/>
        <color theme="1"/>
        <name val="Calibri"/>
        <scheme val="none"/>
      </font>
    </dxf>
  </rfmt>
  <rfmt sheetId="1" sqref="A64:XFD64" start="0" length="0">
    <dxf>
      <font>
        <sz val="11"/>
        <color theme="1"/>
        <name val="Calibri"/>
        <scheme val="none"/>
      </font>
    </dxf>
  </rfmt>
  <rfmt sheetId="1" sqref="A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5" start="0" length="0">
    <dxf>
      <font>
        <sz val="11"/>
        <color theme="1"/>
        <name val="Calibri"/>
        <scheme val="none"/>
      </font>
    </dxf>
  </rfmt>
  <rfmt sheetId="1" sqref="AM65" start="0" length="0">
    <dxf>
      <font>
        <sz val="11"/>
        <color theme="1"/>
        <name val="Calibri"/>
        <scheme val="none"/>
      </font>
      <numFmt numFmtId="1" formatCode="0"/>
    </dxf>
  </rfmt>
  <rfmt sheetId="1" sqref="AN65" start="0" length="0">
    <dxf>
      <font>
        <sz val="11"/>
        <color theme="1"/>
        <name val="Calibri"/>
        <scheme val="none"/>
      </font>
      <numFmt numFmtId="1" formatCode="0"/>
    </dxf>
  </rfmt>
  <rfmt sheetId="1" sqref="AO65" start="0" length="0">
    <dxf>
      <font>
        <sz val="11"/>
        <color theme="1"/>
        <name val="Calibri"/>
        <scheme val="none"/>
      </font>
    </dxf>
  </rfmt>
  <rfmt sheetId="1" sqref="AP65" start="0" length="0">
    <dxf>
      <font>
        <sz val="11"/>
        <color theme="1"/>
        <name val="Calibri"/>
        <scheme val="none"/>
      </font>
    </dxf>
  </rfmt>
  <rfmt sheetId="1" sqref="AQ65" start="0" length="0">
    <dxf>
      <font>
        <sz val="11"/>
        <color theme="1"/>
        <name val="Calibri"/>
        <scheme val="none"/>
      </font>
      <numFmt numFmtId="164" formatCode="_-* #,##0_-;\-* #,##0_-;_-* &quot;-&quot;??_-;_-@_-"/>
    </dxf>
  </rfmt>
  <rfmt sheetId="1" sqref="AR65" start="0" length="0">
    <dxf>
      <font>
        <sz val="11"/>
        <color theme="1"/>
        <name val="Calibri"/>
        <scheme val="none"/>
      </font>
      <numFmt numFmtId="164" formatCode="_-* #,##0_-;\-* #,##0_-;_-* &quot;-&quot;??_-;_-@_-"/>
    </dxf>
  </rfmt>
  <rfmt sheetId="1" sqref="AS65" start="0" length="0">
    <dxf>
      <font>
        <sz val="11"/>
        <color theme="1"/>
        <name val="Calibri"/>
        <scheme val="none"/>
      </font>
      <numFmt numFmtId="164" formatCode="_-* #,##0_-;\-* #,##0_-;_-* &quot;-&quot;??_-;_-@_-"/>
    </dxf>
  </rfmt>
  <rfmt sheetId="1" sqref="AT65" start="0" length="0">
    <dxf>
      <font>
        <sz val="11"/>
        <color theme="1"/>
        <name val="Calibri"/>
        <scheme val="none"/>
      </font>
      <numFmt numFmtId="164" formatCode="_-* #,##0_-;\-* #,##0_-;_-* &quot;-&quot;??_-;_-@_-"/>
    </dxf>
  </rfmt>
  <rfmt sheetId="1" sqref="AU65" start="0" length="0">
    <dxf>
      <font>
        <sz val="11"/>
        <color theme="1"/>
        <name val="Calibri"/>
        <scheme val="none"/>
      </font>
    </dxf>
  </rfmt>
  <rfmt sheetId="1" sqref="AV65" start="0" length="0">
    <dxf>
      <font>
        <sz val="11"/>
        <color theme="1"/>
        <name val="Calibri"/>
        <scheme val="none"/>
      </font>
    </dxf>
  </rfmt>
  <rfmt sheetId="1" sqref="AW65" start="0" length="0">
    <dxf>
      <font>
        <sz val="11"/>
        <color theme="1"/>
        <name val="Calibri"/>
        <scheme val="none"/>
      </font>
    </dxf>
  </rfmt>
  <rfmt sheetId="1" sqref="AX65" start="0" length="0">
    <dxf>
      <font>
        <sz val="11"/>
        <color theme="1"/>
        <name val="Calibri"/>
        <scheme val="none"/>
      </font>
    </dxf>
  </rfmt>
  <rfmt sheetId="1" sqref="AY65" start="0" length="0">
    <dxf>
      <font>
        <sz val="11"/>
        <color theme="1"/>
        <name val="Calibri"/>
        <scheme val="none"/>
      </font>
    </dxf>
  </rfmt>
  <rfmt sheetId="1" sqref="A65:XFD65" start="0" length="0">
    <dxf>
      <font>
        <sz val="11"/>
        <color theme="1"/>
        <name val="Calibri"/>
        <scheme val="none"/>
      </font>
    </dxf>
  </rfmt>
  <rfmt sheetId="1" sqref="A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6" start="0" length="0">
    <dxf>
      <font>
        <sz val="11"/>
        <color theme="1"/>
        <name val="Calibri"/>
        <scheme val="none"/>
      </font>
    </dxf>
  </rfmt>
  <rfmt sheetId="1" sqref="AM66" start="0" length="0">
    <dxf>
      <font>
        <sz val="11"/>
        <color theme="1"/>
        <name val="Calibri"/>
        <scheme val="none"/>
      </font>
      <numFmt numFmtId="1" formatCode="0"/>
    </dxf>
  </rfmt>
  <rfmt sheetId="1" sqref="AN66" start="0" length="0">
    <dxf>
      <font>
        <sz val="11"/>
        <color theme="1"/>
        <name val="Calibri"/>
        <scheme val="none"/>
      </font>
      <numFmt numFmtId="1" formatCode="0"/>
    </dxf>
  </rfmt>
  <rfmt sheetId="1" sqref="AO66" start="0" length="0">
    <dxf>
      <font>
        <sz val="11"/>
        <color theme="1"/>
        <name val="Calibri"/>
        <scheme val="none"/>
      </font>
    </dxf>
  </rfmt>
  <rfmt sheetId="1" sqref="AP66" start="0" length="0">
    <dxf>
      <font>
        <sz val="11"/>
        <color theme="1"/>
        <name val="Calibri"/>
        <scheme val="none"/>
      </font>
    </dxf>
  </rfmt>
  <rfmt sheetId="1" sqref="AQ66" start="0" length="0">
    <dxf>
      <font>
        <sz val="11"/>
        <color theme="1"/>
        <name val="Calibri"/>
        <scheme val="none"/>
      </font>
      <numFmt numFmtId="164" formatCode="_-* #,##0_-;\-* #,##0_-;_-* &quot;-&quot;??_-;_-@_-"/>
    </dxf>
  </rfmt>
  <rfmt sheetId="1" sqref="AR66" start="0" length="0">
    <dxf>
      <font>
        <sz val="11"/>
        <color theme="1"/>
        <name val="Calibri"/>
        <scheme val="none"/>
      </font>
      <numFmt numFmtId="164" formatCode="_-* #,##0_-;\-* #,##0_-;_-* &quot;-&quot;??_-;_-@_-"/>
    </dxf>
  </rfmt>
  <rfmt sheetId="1" sqref="AS66" start="0" length="0">
    <dxf>
      <font>
        <sz val="11"/>
        <color theme="1"/>
        <name val="Calibri"/>
        <scheme val="none"/>
      </font>
      <numFmt numFmtId="164" formatCode="_-* #,##0_-;\-* #,##0_-;_-* &quot;-&quot;??_-;_-@_-"/>
    </dxf>
  </rfmt>
  <rfmt sheetId="1" sqref="AT66" start="0" length="0">
    <dxf>
      <font>
        <sz val="11"/>
        <color theme="1"/>
        <name val="Calibri"/>
        <scheme val="none"/>
      </font>
      <numFmt numFmtId="164" formatCode="_-* #,##0_-;\-* #,##0_-;_-* &quot;-&quot;??_-;_-@_-"/>
    </dxf>
  </rfmt>
  <rfmt sheetId="1" sqref="AU66" start="0" length="0">
    <dxf>
      <font>
        <sz val="11"/>
        <color theme="1"/>
        <name val="Calibri"/>
        <scheme val="none"/>
      </font>
    </dxf>
  </rfmt>
  <rfmt sheetId="1" sqref="AV66" start="0" length="0">
    <dxf>
      <font>
        <sz val="11"/>
        <color theme="1"/>
        <name val="Calibri"/>
        <scheme val="none"/>
      </font>
    </dxf>
  </rfmt>
  <rfmt sheetId="1" sqref="AW66" start="0" length="0">
    <dxf>
      <font>
        <sz val="11"/>
        <color theme="1"/>
        <name val="Calibri"/>
        <scheme val="none"/>
      </font>
    </dxf>
  </rfmt>
  <rfmt sheetId="1" sqref="AX66" start="0" length="0">
    <dxf>
      <font>
        <sz val="11"/>
        <color theme="1"/>
        <name val="Calibri"/>
        <scheme val="none"/>
      </font>
    </dxf>
  </rfmt>
  <rfmt sheetId="1" sqref="AY66" start="0" length="0">
    <dxf>
      <font>
        <sz val="11"/>
        <color theme="1"/>
        <name val="Calibri"/>
        <scheme val="none"/>
      </font>
    </dxf>
  </rfmt>
  <rfmt sheetId="1" sqref="A66:XFD66" start="0" length="0">
    <dxf>
      <font>
        <sz val="11"/>
        <color theme="1"/>
        <name val="Calibri"/>
        <scheme val="none"/>
      </font>
    </dxf>
  </rfmt>
  <rfmt sheetId="1" sqref="A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7" start="0" length="0">
    <dxf>
      <font>
        <sz val="11"/>
        <color theme="1"/>
        <name val="Calibri"/>
        <scheme val="none"/>
      </font>
    </dxf>
  </rfmt>
  <rfmt sheetId="1" sqref="AM67" start="0" length="0">
    <dxf>
      <font>
        <sz val="11"/>
        <color theme="1"/>
        <name val="Calibri"/>
        <scheme val="none"/>
      </font>
      <numFmt numFmtId="1" formatCode="0"/>
    </dxf>
  </rfmt>
  <rfmt sheetId="1" sqref="AN67" start="0" length="0">
    <dxf>
      <font>
        <sz val="11"/>
        <color theme="1"/>
        <name val="Calibri"/>
        <scheme val="none"/>
      </font>
      <numFmt numFmtId="1" formatCode="0"/>
    </dxf>
  </rfmt>
  <rfmt sheetId="1" sqref="AO67" start="0" length="0">
    <dxf>
      <font>
        <sz val="11"/>
        <color theme="1"/>
        <name val="Calibri"/>
        <scheme val="none"/>
      </font>
    </dxf>
  </rfmt>
  <rfmt sheetId="1" sqref="AP67" start="0" length="0">
    <dxf>
      <font>
        <sz val="11"/>
        <color theme="1"/>
        <name val="Calibri"/>
        <scheme val="none"/>
      </font>
    </dxf>
  </rfmt>
  <rfmt sheetId="1" sqref="AQ67" start="0" length="0">
    <dxf>
      <font>
        <sz val="11"/>
        <color theme="1"/>
        <name val="Calibri"/>
        <scheme val="none"/>
      </font>
      <numFmt numFmtId="164" formatCode="_-* #,##0_-;\-* #,##0_-;_-* &quot;-&quot;??_-;_-@_-"/>
    </dxf>
  </rfmt>
  <rfmt sheetId="1" sqref="AR67" start="0" length="0">
    <dxf>
      <font>
        <sz val="11"/>
        <color theme="1"/>
        <name val="Calibri"/>
        <scheme val="none"/>
      </font>
      <numFmt numFmtId="164" formatCode="_-* #,##0_-;\-* #,##0_-;_-* &quot;-&quot;??_-;_-@_-"/>
    </dxf>
  </rfmt>
  <rfmt sheetId="1" sqref="AS67" start="0" length="0">
    <dxf>
      <font>
        <sz val="11"/>
        <color theme="1"/>
        <name val="Calibri"/>
        <scheme val="none"/>
      </font>
      <numFmt numFmtId="164" formatCode="_-* #,##0_-;\-* #,##0_-;_-* &quot;-&quot;??_-;_-@_-"/>
    </dxf>
  </rfmt>
  <rfmt sheetId="1" sqref="AT67" start="0" length="0">
    <dxf>
      <font>
        <sz val="11"/>
        <color theme="1"/>
        <name val="Calibri"/>
        <scheme val="none"/>
      </font>
      <numFmt numFmtId="164" formatCode="_-* #,##0_-;\-* #,##0_-;_-* &quot;-&quot;??_-;_-@_-"/>
    </dxf>
  </rfmt>
  <rfmt sheetId="1" sqref="AU67" start="0" length="0">
    <dxf>
      <font>
        <sz val="11"/>
        <color theme="1"/>
        <name val="Calibri"/>
        <scheme val="none"/>
      </font>
    </dxf>
  </rfmt>
  <rfmt sheetId="1" sqref="AV67" start="0" length="0">
    <dxf>
      <font>
        <sz val="11"/>
        <color theme="1"/>
        <name val="Calibri"/>
        <scheme val="none"/>
      </font>
    </dxf>
  </rfmt>
  <rfmt sheetId="1" sqref="AW67" start="0" length="0">
    <dxf>
      <font>
        <sz val="11"/>
        <color theme="1"/>
        <name val="Calibri"/>
        <scheme val="none"/>
      </font>
    </dxf>
  </rfmt>
  <rfmt sheetId="1" sqref="AX67" start="0" length="0">
    <dxf>
      <font>
        <sz val="11"/>
        <color theme="1"/>
        <name val="Calibri"/>
        <scheme val="none"/>
      </font>
    </dxf>
  </rfmt>
  <rfmt sheetId="1" sqref="AY67" start="0" length="0">
    <dxf>
      <font>
        <sz val="11"/>
        <color theme="1"/>
        <name val="Calibri"/>
        <scheme val="none"/>
      </font>
    </dxf>
  </rfmt>
  <rfmt sheetId="1" sqref="A67:XFD67" start="0" length="0">
    <dxf>
      <font>
        <sz val="11"/>
        <color theme="1"/>
        <name val="Calibri"/>
        <scheme val="none"/>
      </font>
    </dxf>
  </rfmt>
  <rfmt sheetId="1" sqref="A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8" start="0" length="0">
    <dxf>
      <font>
        <sz val="11"/>
        <color theme="1"/>
        <name val="Calibri"/>
        <scheme val="none"/>
      </font>
    </dxf>
  </rfmt>
  <rfmt sheetId="1" sqref="AM68" start="0" length="0">
    <dxf>
      <font>
        <sz val="11"/>
        <color theme="1"/>
        <name val="Calibri"/>
        <scheme val="none"/>
      </font>
      <numFmt numFmtId="1" formatCode="0"/>
    </dxf>
  </rfmt>
  <rfmt sheetId="1" sqref="AN68" start="0" length="0">
    <dxf>
      <font>
        <sz val="11"/>
        <color theme="1"/>
        <name val="Calibri"/>
        <scheme val="none"/>
      </font>
      <numFmt numFmtId="1" formatCode="0"/>
    </dxf>
  </rfmt>
  <rfmt sheetId="1" sqref="AO68" start="0" length="0">
    <dxf>
      <font>
        <sz val="11"/>
        <color theme="1"/>
        <name val="Calibri"/>
        <scheme val="none"/>
      </font>
    </dxf>
  </rfmt>
  <rfmt sheetId="1" sqref="AP68" start="0" length="0">
    <dxf>
      <font>
        <sz val="11"/>
        <color theme="1"/>
        <name val="Calibri"/>
        <scheme val="none"/>
      </font>
    </dxf>
  </rfmt>
  <rfmt sheetId="1" sqref="AQ68" start="0" length="0">
    <dxf>
      <font>
        <sz val="11"/>
        <color theme="1"/>
        <name val="Calibri"/>
        <scheme val="none"/>
      </font>
      <numFmt numFmtId="164" formatCode="_-* #,##0_-;\-* #,##0_-;_-* &quot;-&quot;??_-;_-@_-"/>
    </dxf>
  </rfmt>
  <rfmt sheetId="1" sqref="AR68" start="0" length="0">
    <dxf>
      <font>
        <sz val="11"/>
        <color theme="1"/>
        <name val="Calibri"/>
        <scheme val="none"/>
      </font>
      <numFmt numFmtId="164" formatCode="_-* #,##0_-;\-* #,##0_-;_-* &quot;-&quot;??_-;_-@_-"/>
    </dxf>
  </rfmt>
  <rfmt sheetId="1" sqref="AS68" start="0" length="0">
    <dxf>
      <font>
        <sz val="11"/>
        <color theme="1"/>
        <name val="Calibri"/>
        <scheme val="none"/>
      </font>
      <numFmt numFmtId="164" formatCode="_-* #,##0_-;\-* #,##0_-;_-* &quot;-&quot;??_-;_-@_-"/>
    </dxf>
  </rfmt>
  <rfmt sheetId="1" sqref="AT68" start="0" length="0">
    <dxf>
      <font>
        <sz val="11"/>
        <color theme="1"/>
        <name val="Calibri"/>
        <scheme val="none"/>
      </font>
      <numFmt numFmtId="164" formatCode="_-* #,##0_-;\-* #,##0_-;_-* &quot;-&quot;??_-;_-@_-"/>
    </dxf>
  </rfmt>
  <rfmt sheetId="1" sqref="AU68" start="0" length="0">
    <dxf>
      <font>
        <sz val="11"/>
        <color theme="1"/>
        <name val="Calibri"/>
        <scheme val="none"/>
      </font>
    </dxf>
  </rfmt>
  <rfmt sheetId="1" sqref="AV68" start="0" length="0">
    <dxf>
      <font>
        <sz val="11"/>
        <color theme="1"/>
        <name val="Calibri"/>
        <scheme val="none"/>
      </font>
    </dxf>
  </rfmt>
  <rfmt sheetId="1" sqref="AW68" start="0" length="0">
    <dxf>
      <font>
        <sz val="11"/>
        <color theme="1"/>
        <name val="Calibri"/>
        <scheme val="none"/>
      </font>
    </dxf>
  </rfmt>
  <rfmt sheetId="1" sqref="AX68" start="0" length="0">
    <dxf>
      <font>
        <sz val="11"/>
        <color theme="1"/>
        <name val="Calibri"/>
        <scheme val="none"/>
      </font>
    </dxf>
  </rfmt>
  <rfmt sheetId="1" sqref="AY68" start="0" length="0">
    <dxf>
      <font>
        <sz val="11"/>
        <color theme="1"/>
        <name val="Calibri"/>
        <scheme val="none"/>
      </font>
    </dxf>
  </rfmt>
  <rfmt sheetId="1" sqref="A68:XFD68" start="0" length="0">
    <dxf>
      <font>
        <sz val="11"/>
        <color theme="1"/>
        <name val="Calibri"/>
        <scheme val="none"/>
      </font>
    </dxf>
  </rfmt>
  <rfmt sheetId="1" sqref="A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9" start="0" length="0">
    <dxf>
      <font>
        <sz val="11"/>
        <color theme="1"/>
        <name val="Calibri"/>
        <scheme val="none"/>
      </font>
    </dxf>
  </rfmt>
  <rfmt sheetId="1" sqref="AM69" start="0" length="0">
    <dxf>
      <font>
        <sz val="11"/>
        <color theme="1"/>
        <name val="Calibri"/>
        <scheme val="none"/>
      </font>
      <numFmt numFmtId="1" formatCode="0"/>
    </dxf>
  </rfmt>
  <rfmt sheetId="1" sqref="AN69" start="0" length="0">
    <dxf>
      <font>
        <sz val="11"/>
        <color theme="1"/>
        <name val="Calibri"/>
        <scheme val="none"/>
      </font>
      <numFmt numFmtId="1" formatCode="0"/>
    </dxf>
  </rfmt>
  <rfmt sheetId="1" sqref="AO69" start="0" length="0">
    <dxf>
      <font>
        <sz val="11"/>
        <color theme="1"/>
        <name val="Calibri"/>
        <scheme val="none"/>
      </font>
    </dxf>
  </rfmt>
  <rfmt sheetId="1" sqref="AP69" start="0" length="0">
    <dxf>
      <font>
        <sz val="11"/>
        <color theme="1"/>
        <name val="Calibri"/>
        <scheme val="none"/>
      </font>
    </dxf>
  </rfmt>
  <rfmt sheetId="1" sqref="AQ69" start="0" length="0">
    <dxf>
      <font>
        <sz val="11"/>
        <color theme="1"/>
        <name val="Calibri"/>
        <scheme val="none"/>
      </font>
      <numFmt numFmtId="164" formatCode="_-* #,##0_-;\-* #,##0_-;_-* &quot;-&quot;??_-;_-@_-"/>
    </dxf>
  </rfmt>
  <rfmt sheetId="1" sqref="AR69" start="0" length="0">
    <dxf>
      <font>
        <sz val="11"/>
        <color theme="1"/>
        <name val="Calibri"/>
        <scheme val="none"/>
      </font>
      <numFmt numFmtId="164" formatCode="_-* #,##0_-;\-* #,##0_-;_-* &quot;-&quot;??_-;_-@_-"/>
    </dxf>
  </rfmt>
  <rfmt sheetId="1" sqref="AS69" start="0" length="0">
    <dxf>
      <font>
        <sz val="11"/>
        <color theme="1"/>
        <name val="Calibri"/>
        <scheme val="none"/>
      </font>
      <numFmt numFmtId="164" formatCode="_-* #,##0_-;\-* #,##0_-;_-* &quot;-&quot;??_-;_-@_-"/>
    </dxf>
  </rfmt>
  <rfmt sheetId="1" sqref="AT69" start="0" length="0">
    <dxf>
      <font>
        <sz val="11"/>
        <color theme="1"/>
        <name val="Calibri"/>
        <scheme val="none"/>
      </font>
      <numFmt numFmtId="164" formatCode="_-* #,##0_-;\-* #,##0_-;_-* &quot;-&quot;??_-;_-@_-"/>
    </dxf>
  </rfmt>
  <rfmt sheetId="1" sqref="AU69" start="0" length="0">
    <dxf>
      <font>
        <sz val="11"/>
        <color theme="1"/>
        <name val="Calibri"/>
        <scheme val="none"/>
      </font>
    </dxf>
  </rfmt>
  <rfmt sheetId="1" sqref="AV69" start="0" length="0">
    <dxf>
      <font>
        <sz val="11"/>
        <color theme="1"/>
        <name val="Calibri"/>
        <scheme val="none"/>
      </font>
    </dxf>
  </rfmt>
  <rfmt sheetId="1" sqref="AW69" start="0" length="0">
    <dxf>
      <font>
        <sz val="11"/>
        <color theme="1"/>
        <name val="Calibri"/>
        <scheme val="none"/>
      </font>
    </dxf>
  </rfmt>
  <rfmt sheetId="1" sqref="AX69" start="0" length="0">
    <dxf>
      <font>
        <sz val="11"/>
        <color theme="1"/>
        <name val="Calibri"/>
        <scheme val="none"/>
      </font>
    </dxf>
  </rfmt>
  <rfmt sheetId="1" sqref="AY69" start="0" length="0">
    <dxf>
      <font>
        <sz val="11"/>
        <color theme="1"/>
        <name val="Calibri"/>
        <scheme val="none"/>
      </font>
    </dxf>
  </rfmt>
  <rfmt sheetId="1" sqref="A69:XFD69" start="0" length="0">
    <dxf>
      <font>
        <sz val="11"/>
        <color theme="1"/>
        <name val="Calibri"/>
        <scheme val="none"/>
      </font>
    </dxf>
  </rfmt>
  <rfmt sheetId="1" sqref="A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7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7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70" start="0" length="0">
    <dxf>
      <font>
        <sz val="11"/>
        <color theme="1"/>
        <name val="Calibri"/>
        <scheme val="none"/>
      </font>
    </dxf>
  </rfmt>
  <rfmt sheetId="1" sqref="AM70" start="0" length="0">
    <dxf>
      <font>
        <sz val="11"/>
        <color theme="1"/>
        <name val="Calibri"/>
        <scheme val="none"/>
      </font>
      <numFmt numFmtId="1" formatCode="0"/>
    </dxf>
  </rfmt>
  <rfmt sheetId="1" sqref="AN70" start="0" length="0">
    <dxf>
      <font>
        <sz val="11"/>
        <color theme="1"/>
        <name val="Calibri"/>
        <scheme val="none"/>
      </font>
      <numFmt numFmtId="1" formatCode="0"/>
    </dxf>
  </rfmt>
  <rfmt sheetId="1" sqref="AO70" start="0" length="0">
    <dxf>
      <font>
        <sz val="11"/>
        <color theme="1"/>
        <name val="Calibri"/>
        <scheme val="none"/>
      </font>
    </dxf>
  </rfmt>
  <rfmt sheetId="1" sqref="AP70" start="0" length="0">
    <dxf>
      <font>
        <sz val="11"/>
        <color theme="1"/>
        <name val="Calibri"/>
        <scheme val="none"/>
      </font>
    </dxf>
  </rfmt>
  <rfmt sheetId="1" sqref="AQ70" start="0" length="0">
    <dxf>
      <font>
        <sz val="11"/>
        <color theme="1"/>
        <name val="Calibri"/>
        <scheme val="none"/>
      </font>
      <numFmt numFmtId="164" formatCode="_-* #,##0_-;\-* #,##0_-;_-* &quot;-&quot;??_-;_-@_-"/>
    </dxf>
  </rfmt>
  <rfmt sheetId="1" sqref="AR70" start="0" length="0">
    <dxf>
      <font>
        <sz val="11"/>
        <color theme="1"/>
        <name val="Calibri"/>
        <scheme val="none"/>
      </font>
      <numFmt numFmtId="164" formatCode="_-* #,##0_-;\-* #,##0_-;_-* &quot;-&quot;??_-;_-@_-"/>
    </dxf>
  </rfmt>
  <rfmt sheetId="1" sqref="AS70" start="0" length="0">
    <dxf>
      <font>
        <sz val="11"/>
        <color theme="1"/>
        <name val="Calibri"/>
        <scheme val="none"/>
      </font>
      <numFmt numFmtId="164" formatCode="_-* #,##0_-;\-* #,##0_-;_-* &quot;-&quot;??_-;_-@_-"/>
    </dxf>
  </rfmt>
  <rfmt sheetId="1" sqref="AT70" start="0" length="0">
    <dxf>
      <font>
        <sz val="11"/>
        <color theme="1"/>
        <name val="Calibri"/>
        <scheme val="none"/>
      </font>
      <numFmt numFmtId="164" formatCode="_-* #,##0_-;\-* #,##0_-;_-* &quot;-&quot;??_-;_-@_-"/>
    </dxf>
  </rfmt>
  <rfmt sheetId="1" sqref="AU70" start="0" length="0">
    <dxf>
      <font>
        <sz val="11"/>
        <color theme="1"/>
        <name val="Calibri"/>
        <scheme val="none"/>
      </font>
    </dxf>
  </rfmt>
  <rfmt sheetId="1" sqref="AV70" start="0" length="0">
    <dxf>
      <font>
        <sz val="11"/>
        <color theme="1"/>
        <name val="Calibri"/>
        <scheme val="none"/>
      </font>
    </dxf>
  </rfmt>
  <rfmt sheetId="1" sqref="AW70" start="0" length="0">
    <dxf>
      <font>
        <sz val="11"/>
        <color theme="1"/>
        <name val="Calibri"/>
        <scheme val="none"/>
      </font>
    </dxf>
  </rfmt>
  <rfmt sheetId="1" sqref="AX70" start="0" length="0">
    <dxf>
      <font>
        <sz val="11"/>
        <color theme="1"/>
        <name val="Calibri"/>
        <scheme val="none"/>
      </font>
    </dxf>
  </rfmt>
  <rfmt sheetId="1" sqref="AY70" start="0" length="0">
    <dxf>
      <font>
        <sz val="11"/>
        <color theme="1"/>
        <name val="Calibri"/>
        <scheme val="none"/>
      </font>
    </dxf>
  </rfmt>
  <rfmt sheetId="1" sqref="A70:XFD70" start="0" length="0">
    <dxf>
      <font>
        <sz val="11"/>
        <color theme="1"/>
        <name val="Calibri"/>
        <scheme val="none"/>
      </font>
    </dxf>
  </rfmt>
  <rfmt sheetId="1" sqref="A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7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7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71" start="0" length="0">
    <dxf>
      <font>
        <sz val="11"/>
        <color theme="1"/>
        <name val="Calibri"/>
        <scheme val="none"/>
      </font>
    </dxf>
  </rfmt>
  <rfmt sheetId="1" sqref="AM71" start="0" length="0">
    <dxf>
      <font>
        <sz val="11"/>
        <color theme="1"/>
        <name val="Calibri"/>
        <scheme val="none"/>
      </font>
      <numFmt numFmtId="1" formatCode="0"/>
    </dxf>
  </rfmt>
  <rfmt sheetId="1" sqref="AN71" start="0" length="0">
    <dxf>
      <font>
        <sz val="11"/>
        <color theme="1"/>
        <name val="Calibri"/>
        <scheme val="none"/>
      </font>
      <numFmt numFmtId="1" formatCode="0"/>
    </dxf>
  </rfmt>
  <rfmt sheetId="1" sqref="AO71" start="0" length="0">
    <dxf>
      <font>
        <sz val="11"/>
        <color theme="1"/>
        <name val="Calibri"/>
        <scheme val="none"/>
      </font>
    </dxf>
  </rfmt>
  <rfmt sheetId="1" sqref="AP71" start="0" length="0">
    <dxf>
      <font>
        <sz val="11"/>
        <color theme="1"/>
        <name val="Calibri"/>
        <scheme val="none"/>
      </font>
    </dxf>
  </rfmt>
  <rfmt sheetId="1" sqref="AQ71" start="0" length="0">
    <dxf>
      <font>
        <sz val="11"/>
        <color theme="1"/>
        <name val="Calibri"/>
        <scheme val="none"/>
      </font>
      <numFmt numFmtId="164" formatCode="_-* #,##0_-;\-* #,##0_-;_-* &quot;-&quot;??_-;_-@_-"/>
    </dxf>
  </rfmt>
  <rfmt sheetId="1" sqref="AR71" start="0" length="0">
    <dxf>
      <font>
        <sz val="11"/>
        <color theme="1"/>
        <name val="Calibri"/>
        <scheme val="none"/>
      </font>
      <numFmt numFmtId="164" formatCode="_-* #,##0_-;\-* #,##0_-;_-* &quot;-&quot;??_-;_-@_-"/>
    </dxf>
  </rfmt>
  <rfmt sheetId="1" sqref="AS71" start="0" length="0">
    <dxf>
      <font>
        <sz val="11"/>
        <color theme="1"/>
        <name val="Calibri"/>
        <scheme val="none"/>
      </font>
      <numFmt numFmtId="164" formatCode="_-* #,##0_-;\-* #,##0_-;_-* &quot;-&quot;??_-;_-@_-"/>
    </dxf>
  </rfmt>
  <rfmt sheetId="1" sqref="AT71" start="0" length="0">
    <dxf>
      <font>
        <sz val="11"/>
        <color theme="1"/>
        <name val="Calibri"/>
        <scheme val="none"/>
      </font>
      <numFmt numFmtId="164" formatCode="_-* #,##0_-;\-* #,##0_-;_-* &quot;-&quot;??_-;_-@_-"/>
    </dxf>
  </rfmt>
  <rfmt sheetId="1" sqref="AU71" start="0" length="0">
    <dxf>
      <font>
        <sz val="11"/>
        <color theme="1"/>
        <name val="Calibri"/>
        <scheme val="none"/>
      </font>
    </dxf>
  </rfmt>
  <rfmt sheetId="1" sqref="AV71" start="0" length="0">
    <dxf>
      <font>
        <sz val="11"/>
        <color theme="1"/>
        <name val="Calibri"/>
        <scheme val="none"/>
      </font>
    </dxf>
  </rfmt>
  <rfmt sheetId="1" sqref="AW71" start="0" length="0">
    <dxf>
      <font>
        <sz val="11"/>
        <color theme="1"/>
        <name val="Calibri"/>
        <scheme val="none"/>
      </font>
    </dxf>
  </rfmt>
  <rfmt sheetId="1" sqref="AX71" start="0" length="0">
    <dxf>
      <font>
        <sz val="11"/>
        <color theme="1"/>
        <name val="Calibri"/>
        <scheme val="none"/>
      </font>
    </dxf>
  </rfmt>
  <rfmt sheetId="1" sqref="AY71" start="0" length="0">
    <dxf>
      <font>
        <sz val="11"/>
        <color theme="1"/>
        <name val="Calibri"/>
        <scheme val="none"/>
      </font>
    </dxf>
  </rfmt>
  <rfmt sheetId="1" sqref="A71:XFD71" start="0" length="0">
    <dxf>
      <font>
        <sz val="11"/>
        <color theme="1"/>
        <name val="Calibri"/>
        <scheme val="none"/>
      </font>
    </dxf>
  </rfmt>
  <rfmt sheetId="1" sqref="A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7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7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72" start="0" length="0">
    <dxf>
      <font>
        <sz val="11"/>
        <color theme="1"/>
        <name val="Calibri"/>
        <scheme val="none"/>
      </font>
    </dxf>
  </rfmt>
  <rfmt sheetId="1" sqref="AM72" start="0" length="0">
    <dxf>
      <font>
        <sz val="11"/>
        <color theme="1"/>
        <name val="Calibri"/>
        <scheme val="none"/>
      </font>
      <numFmt numFmtId="1" formatCode="0"/>
    </dxf>
  </rfmt>
  <rfmt sheetId="1" sqref="AN72" start="0" length="0">
    <dxf>
      <font>
        <sz val="11"/>
        <color theme="1"/>
        <name val="Calibri"/>
        <scheme val="none"/>
      </font>
      <numFmt numFmtId="1" formatCode="0"/>
    </dxf>
  </rfmt>
  <rfmt sheetId="1" sqref="AO72" start="0" length="0">
    <dxf>
      <font>
        <sz val="11"/>
        <color theme="1"/>
        <name val="Calibri"/>
        <scheme val="none"/>
      </font>
    </dxf>
  </rfmt>
  <rfmt sheetId="1" sqref="AP72" start="0" length="0">
    <dxf>
      <font>
        <sz val="11"/>
        <color theme="1"/>
        <name val="Calibri"/>
        <scheme val="none"/>
      </font>
    </dxf>
  </rfmt>
  <rfmt sheetId="1" sqref="AQ72" start="0" length="0">
    <dxf>
      <font>
        <sz val="11"/>
        <color theme="1"/>
        <name val="Calibri"/>
        <scheme val="none"/>
      </font>
      <numFmt numFmtId="164" formatCode="_-* #,##0_-;\-* #,##0_-;_-* &quot;-&quot;??_-;_-@_-"/>
    </dxf>
  </rfmt>
  <rfmt sheetId="1" sqref="AR72" start="0" length="0">
    <dxf>
      <font>
        <sz val="11"/>
        <color theme="1"/>
        <name val="Calibri"/>
        <scheme val="none"/>
      </font>
      <numFmt numFmtId="164" formatCode="_-* #,##0_-;\-* #,##0_-;_-* &quot;-&quot;??_-;_-@_-"/>
    </dxf>
  </rfmt>
  <rfmt sheetId="1" sqref="AS72" start="0" length="0">
    <dxf>
      <font>
        <sz val="11"/>
        <color theme="1"/>
        <name val="Calibri"/>
        <scheme val="none"/>
      </font>
      <numFmt numFmtId="164" formatCode="_-* #,##0_-;\-* #,##0_-;_-* &quot;-&quot;??_-;_-@_-"/>
    </dxf>
  </rfmt>
  <rfmt sheetId="1" sqref="AT72" start="0" length="0">
    <dxf>
      <font>
        <sz val="11"/>
        <color theme="1"/>
        <name val="Calibri"/>
        <scheme val="none"/>
      </font>
      <numFmt numFmtId="164" formatCode="_-* #,##0_-;\-* #,##0_-;_-* &quot;-&quot;??_-;_-@_-"/>
    </dxf>
  </rfmt>
  <rfmt sheetId="1" sqref="AU72" start="0" length="0">
    <dxf>
      <font>
        <sz val="11"/>
        <color theme="1"/>
        <name val="Calibri"/>
        <scheme val="none"/>
      </font>
    </dxf>
  </rfmt>
  <rfmt sheetId="1" sqref="AV72" start="0" length="0">
    <dxf>
      <font>
        <sz val="11"/>
        <color theme="1"/>
        <name val="Calibri"/>
        <scheme val="none"/>
      </font>
    </dxf>
  </rfmt>
  <rfmt sheetId="1" sqref="AW72" start="0" length="0">
    <dxf>
      <font>
        <sz val="11"/>
        <color theme="1"/>
        <name val="Calibri"/>
        <scheme val="none"/>
      </font>
    </dxf>
  </rfmt>
  <rfmt sheetId="1" sqref="AX72" start="0" length="0">
    <dxf>
      <font>
        <sz val="11"/>
        <color theme="1"/>
        <name val="Calibri"/>
        <scheme val="none"/>
      </font>
    </dxf>
  </rfmt>
  <rfmt sheetId="1" sqref="AY72" start="0" length="0">
    <dxf>
      <font>
        <sz val="11"/>
        <color theme="1"/>
        <name val="Calibri"/>
        <scheme val="none"/>
      </font>
    </dxf>
  </rfmt>
  <rfmt sheetId="1" sqref="A72:XFD72" start="0" length="0">
    <dxf>
      <font>
        <sz val="11"/>
        <color theme="1"/>
        <name val="Calibri"/>
        <scheme val="none"/>
      </font>
    </dxf>
  </rfmt>
  <rfmt sheetId="1" sqref="A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7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7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73" start="0" length="0">
    <dxf>
      <font>
        <sz val="11"/>
        <color theme="1"/>
        <name val="Calibri"/>
        <scheme val="none"/>
      </font>
    </dxf>
  </rfmt>
  <rfmt sheetId="1" sqref="AM73" start="0" length="0">
    <dxf>
      <font>
        <sz val="11"/>
        <color theme="1"/>
        <name val="Calibri"/>
        <scheme val="none"/>
      </font>
      <numFmt numFmtId="1" formatCode="0"/>
    </dxf>
  </rfmt>
  <rfmt sheetId="1" sqref="AN73" start="0" length="0">
    <dxf>
      <font>
        <sz val="11"/>
        <color theme="1"/>
        <name val="Calibri"/>
        <scheme val="none"/>
      </font>
      <numFmt numFmtId="1" formatCode="0"/>
    </dxf>
  </rfmt>
  <rfmt sheetId="1" sqref="AO73" start="0" length="0">
    <dxf>
      <font>
        <sz val="11"/>
        <color theme="1"/>
        <name val="Calibri"/>
        <scheme val="none"/>
      </font>
    </dxf>
  </rfmt>
  <rfmt sheetId="1" sqref="AP73" start="0" length="0">
    <dxf>
      <font>
        <sz val="11"/>
        <color theme="1"/>
        <name val="Calibri"/>
        <scheme val="none"/>
      </font>
    </dxf>
  </rfmt>
  <rfmt sheetId="1" sqref="AQ73" start="0" length="0">
    <dxf>
      <font>
        <sz val="11"/>
        <color theme="1"/>
        <name val="Calibri"/>
        <scheme val="none"/>
      </font>
      <numFmt numFmtId="164" formatCode="_-* #,##0_-;\-* #,##0_-;_-* &quot;-&quot;??_-;_-@_-"/>
    </dxf>
  </rfmt>
  <rfmt sheetId="1" sqref="AR73" start="0" length="0">
    <dxf>
      <font>
        <sz val="11"/>
        <color theme="1"/>
        <name val="Calibri"/>
        <scheme val="none"/>
      </font>
      <numFmt numFmtId="164" formatCode="_-* #,##0_-;\-* #,##0_-;_-* &quot;-&quot;??_-;_-@_-"/>
    </dxf>
  </rfmt>
  <rfmt sheetId="1" sqref="AS73" start="0" length="0">
    <dxf>
      <font>
        <sz val="11"/>
        <color theme="1"/>
        <name val="Calibri"/>
        <scheme val="none"/>
      </font>
      <numFmt numFmtId="164" formatCode="_-* #,##0_-;\-* #,##0_-;_-* &quot;-&quot;??_-;_-@_-"/>
    </dxf>
  </rfmt>
  <rfmt sheetId="1" sqref="AT73" start="0" length="0">
    <dxf>
      <font>
        <sz val="11"/>
        <color theme="1"/>
        <name val="Calibri"/>
        <scheme val="none"/>
      </font>
      <numFmt numFmtId="164" formatCode="_-* #,##0_-;\-* #,##0_-;_-* &quot;-&quot;??_-;_-@_-"/>
    </dxf>
  </rfmt>
  <rfmt sheetId="1" sqref="AU73" start="0" length="0">
    <dxf>
      <font>
        <sz val="11"/>
        <color theme="1"/>
        <name val="Calibri"/>
        <scheme val="none"/>
      </font>
    </dxf>
  </rfmt>
  <rfmt sheetId="1" sqref="AV73" start="0" length="0">
    <dxf>
      <font>
        <sz val="11"/>
        <color theme="1"/>
        <name val="Calibri"/>
        <scheme val="none"/>
      </font>
    </dxf>
  </rfmt>
  <rfmt sheetId="1" sqref="AW73" start="0" length="0">
    <dxf>
      <font>
        <sz val="11"/>
        <color theme="1"/>
        <name val="Calibri"/>
        <scheme val="none"/>
      </font>
    </dxf>
  </rfmt>
  <rfmt sheetId="1" sqref="AX73" start="0" length="0">
    <dxf>
      <font>
        <sz val="11"/>
        <color theme="1"/>
        <name val="Calibri"/>
        <scheme val="none"/>
      </font>
    </dxf>
  </rfmt>
  <rfmt sheetId="1" sqref="AY73" start="0" length="0">
    <dxf>
      <font>
        <sz val="11"/>
        <color theme="1"/>
        <name val="Calibri"/>
        <scheme val="none"/>
      </font>
    </dxf>
  </rfmt>
  <rfmt sheetId="1" sqref="A73:XFD73" start="0" length="0">
    <dxf>
      <font>
        <sz val="11"/>
        <color theme="1"/>
        <name val="Calibri"/>
        <scheme val="none"/>
      </font>
    </dxf>
  </rfmt>
  <rfmt sheetId="1" sqref="A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7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7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74" start="0" length="0">
    <dxf>
      <font>
        <sz val="11"/>
        <color theme="1"/>
        <name val="Calibri"/>
        <scheme val="none"/>
      </font>
    </dxf>
  </rfmt>
  <rfmt sheetId="1" sqref="AM74" start="0" length="0">
    <dxf>
      <font>
        <sz val="11"/>
        <color theme="1"/>
        <name val="Calibri"/>
        <scheme val="none"/>
      </font>
      <numFmt numFmtId="1" formatCode="0"/>
    </dxf>
  </rfmt>
  <rfmt sheetId="1" sqref="AN74" start="0" length="0">
    <dxf>
      <font>
        <sz val="11"/>
        <color theme="1"/>
        <name val="Calibri"/>
        <scheme val="none"/>
      </font>
      <numFmt numFmtId="1" formatCode="0"/>
    </dxf>
  </rfmt>
  <rfmt sheetId="1" sqref="AO74" start="0" length="0">
    <dxf>
      <font>
        <sz val="11"/>
        <color theme="1"/>
        <name val="Calibri"/>
        <scheme val="none"/>
      </font>
    </dxf>
  </rfmt>
  <rfmt sheetId="1" sqref="AP74" start="0" length="0">
    <dxf>
      <font>
        <sz val="11"/>
        <color theme="1"/>
        <name val="Calibri"/>
        <scheme val="none"/>
      </font>
    </dxf>
  </rfmt>
  <rfmt sheetId="1" sqref="AQ74" start="0" length="0">
    <dxf>
      <font>
        <sz val="11"/>
        <color theme="1"/>
        <name val="Calibri"/>
        <scheme val="none"/>
      </font>
      <numFmt numFmtId="164" formatCode="_-* #,##0_-;\-* #,##0_-;_-* &quot;-&quot;??_-;_-@_-"/>
    </dxf>
  </rfmt>
  <rfmt sheetId="1" sqref="AR74" start="0" length="0">
    <dxf>
      <font>
        <sz val="11"/>
        <color theme="1"/>
        <name val="Calibri"/>
        <scheme val="none"/>
      </font>
      <numFmt numFmtId="164" formatCode="_-* #,##0_-;\-* #,##0_-;_-* &quot;-&quot;??_-;_-@_-"/>
    </dxf>
  </rfmt>
  <rfmt sheetId="1" sqref="AS74" start="0" length="0">
    <dxf>
      <font>
        <sz val="11"/>
        <color theme="1"/>
        <name val="Calibri"/>
        <scheme val="none"/>
      </font>
      <numFmt numFmtId="164" formatCode="_-* #,##0_-;\-* #,##0_-;_-* &quot;-&quot;??_-;_-@_-"/>
    </dxf>
  </rfmt>
  <rfmt sheetId="1" sqref="AT74" start="0" length="0">
    <dxf>
      <font>
        <sz val="11"/>
        <color theme="1"/>
        <name val="Calibri"/>
        <scheme val="none"/>
      </font>
      <numFmt numFmtId="164" formatCode="_-* #,##0_-;\-* #,##0_-;_-* &quot;-&quot;??_-;_-@_-"/>
    </dxf>
  </rfmt>
  <rfmt sheetId="1" sqref="AU74" start="0" length="0">
    <dxf>
      <font>
        <sz val="11"/>
        <color theme="1"/>
        <name val="Calibri"/>
        <scheme val="none"/>
      </font>
    </dxf>
  </rfmt>
  <rfmt sheetId="1" sqref="AV74" start="0" length="0">
    <dxf>
      <font>
        <sz val="11"/>
        <color theme="1"/>
        <name val="Calibri"/>
        <scheme val="none"/>
      </font>
    </dxf>
  </rfmt>
  <rfmt sheetId="1" sqref="AW74" start="0" length="0">
    <dxf>
      <font>
        <sz val="11"/>
        <color theme="1"/>
        <name val="Calibri"/>
        <scheme val="none"/>
      </font>
    </dxf>
  </rfmt>
  <rfmt sheetId="1" sqref="AX74" start="0" length="0">
    <dxf>
      <font>
        <sz val="11"/>
        <color theme="1"/>
        <name val="Calibri"/>
        <scheme val="none"/>
      </font>
    </dxf>
  </rfmt>
  <rfmt sheetId="1" sqref="AY74" start="0" length="0">
    <dxf>
      <font>
        <sz val="11"/>
        <color theme="1"/>
        <name val="Calibri"/>
        <scheme val="none"/>
      </font>
    </dxf>
  </rfmt>
  <rfmt sheetId="1" sqref="A74:XFD74" start="0" length="0">
    <dxf>
      <font>
        <sz val="11"/>
        <color theme="1"/>
        <name val="Calibri"/>
        <scheme val="none"/>
      </font>
    </dxf>
  </rfmt>
  <rfmt sheetId="1" sqref="A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7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7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75" start="0" length="0">
    <dxf>
      <font>
        <sz val="11"/>
        <color theme="1"/>
        <name val="Calibri"/>
        <scheme val="none"/>
      </font>
    </dxf>
  </rfmt>
  <rfmt sheetId="1" sqref="AM75" start="0" length="0">
    <dxf>
      <font>
        <sz val="11"/>
        <color theme="1"/>
        <name val="Calibri"/>
        <scheme val="none"/>
      </font>
      <numFmt numFmtId="1" formatCode="0"/>
    </dxf>
  </rfmt>
  <rfmt sheetId="1" sqref="AN75" start="0" length="0">
    <dxf>
      <font>
        <sz val="11"/>
        <color theme="1"/>
        <name val="Calibri"/>
        <scheme val="none"/>
      </font>
      <numFmt numFmtId="1" formatCode="0"/>
    </dxf>
  </rfmt>
  <rfmt sheetId="1" sqref="AO75" start="0" length="0">
    <dxf>
      <font>
        <sz val="11"/>
        <color theme="1"/>
        <name val="Calibri"/>
        <scheme val="none"/>
      </font>
    </dxf>
  </rfmt>
  <rfmt sheetId="1" sqref="AP75" start="0" length="0">
    <dxf>
      <font>
        <sz val="11"/>
        <color theme="1"/>
        <name val="Calibri"/>
        <scheme val="none"/>
      </font>
    </dxf>
  </rfmt>
  <rfmt sheetId="1" sqref="AQ75" start="0" length="0">
    <dxf>
      <font>
        <sz val="11"/>
        <color theme="1"/>
        <name val="Calibri"/>
        <scheme val="none"/>
      </font>
      <numFmt numFmtId="164" formatCode="_-* #,##0_-;\-* #,##0_-;_-* &quot;-&quot;??_-;_-@_-"/>
    </dxf>
  </rfmt>
  <rfmt sheetId="1" sqref="AR75" start="0" length="0">
    <dxf>
      <font>
        <sz val="11"/>
        <color theme="1"/>
        <name val="Calibri"/>
        <scheme val="none"/>
      </font>
      <numFmt numFmtId="164" formatCode="_-* #,##0_-;\-* #,##0_-;_-* &quot;-&quot;??_-;_-@_-"/>
    </dxf>
  </rfmt>
  <rfmt sheetId="1" sqref="AS75" start="0" length="0">
    <dxf>
      <font>
        <sz val="11"/>
        <color theme="1"/>
        <name val="Calibri"/>
        <scheme val="none"/>
      </font>
      <numFmt numFmtId="164" formatCode="_-* #,##0_-;\-* #,##0_-;_-* &quot;-&quot;??_-;_-@_-"/>
    </dxf>
  </rfmt>
  <rfmt sheetId="1" sqref="AT75" start="0" length="0">
    <dxf>
      <font>
        <sz val="11"/>
        <color theme="1"/>
        <name val="Calibri"/>
        <scheme val="none"/>
      </font>
      <numFmt numFmtId="164" formatCode="_-* #,##0_-;\-* #,##0_-;_-* &quot;-&quot;??_-;_-@_-"/>
    </dxf>
  </rfmt>
  <rfmt sheetId="1" sqref="AU75" start="0" length="0">
    <dxf>
      <font>
        <sz val="11"/>
        <color theme="1"/>
        <name val="Calibri"/>
        <scheme val="none"/>
      </font>
    </dxf>
  </rfmt>
  <rfmt sheetId="1" sqref="AV75" start="0" length="0">
    <dxf>
      <font>
        <sz val="11"/>
        <color theme="1"/>
        <name val="Calibri"/>
        <scheme val="none"/>
      </font>
    </dxf>
  </rfmt>
  <rfmt sheetId="1" sqref="AW75" start="0" length="0">
    <dxf>
      <font>
        <sz val="11"/>
        <color theme="1"/>
        <name val="Calibri"/>
        <scheme val="none"/>
      </font>
    </dxf>
  </rfmt>
  <rfmt sheetId="1" sqref="AX75" start="0" length="0">
    <dxf>
      <font>
        <sz val="11"/>
        <color theme="1"/>
        <name val="Calibri"/>
        <scheme val="none"/>
      </font>
    </dxf>
  </rfmt>
  <rfmt sheetId="1" sqref="AY75" start="0" length="0">
    <dxf>
      <font>
        <sz val="11"/>
        <color theme="1"/>
        <name val="Calibri"/>
        <scheme val="none"/>
      </font>
    </dxf>
  </rfmt>
  <rfmt sheetId="1" sqref="A75:XFD75" start="0" length="0">
    <dxf>
      <font>
        <sz val="11"/>
        <color theme="1"/>
        <name val="Calibri"/>
        <scheme val="none"/>
      </font>
    </dxf>
  </rfmt>
  <rfmt sheetId="1" sqref="A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7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7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76" start="0" length="0">
    <dxf>
      <font>
        <sz val="11"/>
        <color theme="1"/>
        <name val="Calibri"/>
        <scheme val="none"/>
      </font>
    </dxf>
  </rfmt>
  <rfmt sheetId="1" sqref="AM76" start="0" length="0">
    <dxf>
      <font>
        <sz val="11"/>
        <color theme="1"/>
        <name val="Calibri"/>
        <scheme val="none"/>
      </font>
      <numFmt numFmtId="1" formatCode="0"/>
    </dxf>
  </rfmt>
  <rfmt sheetId="1" sqref="AN76" start="0" length="0">
    <dxf>
      <font>
        <sz val="11"/>
        <color theme="1"/>
        <name val="Calibri"/>
        <scheme val="none"/>
      </font>
      <numFmt numFmtId="1" formatCode="0"/>
    </dxf>
  </rfmt>
  <rfmt sheetId="1" sqref="AO76" start="0" length="0">
    <dxf>
      <font>
        <sz val="11"/>
        <color theme="1"/>
        <name val="Calibri"/>
        <scheme val="none"/>
      </font>
    </dxf>
  </rfmt>
  <rfmt sheetId="1" sqref="AP76" start="0" length="0">
    <dxf>
      <font>
        <sz val="11"/>
        <color theme="1"/>
        <name val="Calibri"/>
        <scheme val="none"/>
      </font>
    </dxf>
  </rfmt>
  <rfmt sheetId="1" sqref="AQ76" start="0" length="0">
    <dxf>
      <font>
        <sz val="11"/>
        <color theme="1"/>
        <name val="Calibri"/>
        <scheme val="none"/>
      </font>
      <numFmt numFmtId="164" formatCode="_-* #,##0_-;\-* #,##0_-;_-* &quot;-&quot;??_-;_-@_-"/>
    </dxf>
  </rfmt>
  <rfmt sheetId="1" sqref="AR76" start="0" length="0">
    <dxf>
      <font>
        <sz val="11"/>
        <color theme="1"/>
        <name val="Calibri"/>
        <scheme val="none"/>
      </font>
      <numFmt numFmtId="164" formatCode="_-* #,##0_-;\-* #,##0_-;_-* &quot;-&quot;??_-;_-@_-"/>
    </dxf>
  </rfmt>
  <rfmt sheetId="1" sqref="AS76" start="0" length="0">
    <dxf>
      <font>
        <sz val="11"/>
        <color theme="1"/>
        <name val="Calibri"/>
        <scheme val="none"/>
      </font>
      <numFmt numFmtId="164" formatCode="_-* #,##0_-;\-* #,##0_-;_-* &quot;-&quot;??_-;_-@_-"/>
    </dxf>
  </rfmt>
  <rfmt sheetId="1" sqref="AT76" start="0" length="0">
    <dxf>
      <font>
        <sz val="11"/>
        <color theme="1"/>
        <name val="Calibri"/>
        <scheme val="none"/>
      </font>
      <numFmt numFmtId="164" formatCode="_-* #,##0_-;\-* #,##0_-;_-* &quot;-&quot;??_-;_-@_-"/>
    </dxf>
  </rfmt>
  <rfmt sheetId="1" sqref="AU76" start="0" length="0">
    <dxf>
      <font>
        <sz val="11"/>
        <color theme="1"/>
        <name val="Calibri"/>
        <scheme val="none"/>
      </font>
    </dxf>
  </rfmt>
  <rfmt sheetId="1" sqref="AV76" start="0" length="0">
    <dxf>
      <font>
        <sz val="11"/>
        <color theme="1"/>
        <name val="Calibri"/>
        <scheme val="none"/>
      </font>
    </dxf>
  </rfmt>
  <rfmt sheetId="1" sqref="AW76" start="0" length="0">
    <dxf>
      <font>
        <sz val="11"/>
        <color theme="1"/>
        <name val="Calibri"/>
        <scheme val="none"/>
      </font>
    </dxf>
  </rfmt>
  <rfmt sheetId="1" sqref="AX76" start="0" length="0">
    <dxf>
      <font>
        <sz val="11"/>
        <color theme="1"/>
        <name val="Calibri"/>
        <scheme val="none"/>
      </font>
    </dxf>
  </rfmt>
  <rfmt sheetId="1" sqref="AY76" start="0" length="0">
    <dxf>
      <font>
        <sz val="11"/>
        <color theme="1"/>
        <name val="Calibri"/>
        <scheme val="none"/>
      </font>
    </dxf>
  </rfmt>
  <rfmt sheetId="1" sqref="A76:XFD76" start="0" length="0">
    <dxf>
      <font>
        <sz val="11"/>
        <color theme="1"/>
        <name val="Calibri"/>
        <scheme val="none"/>
      </font>
    </dxf>
  </rfmt>
  <rfmt sheetId="1" sqref="A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7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7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77" start="0" length="0">
    <dxf>
      <font>
        <sz val="11"/>
        <color theme="1"/>
        <name val="Calibri"/>
        <scheme val="none"/>
      </font>
    </dxf>
  </rfmt>
  <rfmt sheetId="1" sqref="AM77" start="0" length="0">
    <dxf>
      <font>
        <sz val="11"/>
        <color theme="1"/>
        <name val="Calibri"/>
        <scheme val="none"/>
      </font>
      <numFmt numFmtId="1" formatCode="0"/>
    </dxf>
  </rfmt>
  <rfmt sheetId="1" sqref="AN77" start="0" length="0">
    <dxf>
      <font>
        <sz val="11"/>
        <color theme="1"/>
        <name val="Calibri"/>
        <scheme val="none"/>
      </font>
      <numFmt numFmtId="1" formatCode="0"/>
    </dxf>
  </rfmt>
  <rfmt sheetId="1" sqref="AO77" start="0" length="0">
    <dxf>
      <font>
        <sz val="11"/>
        <color theme="1"/>
        <name val="Calibri"/>
        <scheme val="none"/>
      </font>
    </dxf>
  </rfmt>
  <rfmt sheetId="1" sqref="AP77" start="0" length="0">
    <dxf>
      <font>
        <sz val="11"/>
        <color theme="1"/>
        <name val="Calibri"/>
        <scheme val="none"/>
      </font>
    </dxf>
  </rfmt>
  <rfmt sheetId="1" sqref="AQ77" start="0" length="0">
    <dxf>
      <font>
        <sz val="11"/>
        <color theme="1"/>
        <name val="Calibri"/>
        <scheme val="none"/>
      </font>
      <numFmt numFmtId="164" formatCode="_-* #,##0_-;\-* #,##0_-;_-* &quot;-&quot;??_-;_-@_-"/>
    </dxf>
  </rfmt>
  <rfmt sheetId="1" sqref="AR77" start="0" length="0">
    <dxf>
      <font>
        <sz val="11"/>
        <color theme="1"/>
        <name val="Calibri"/>
        <scheme val="none"/>
      </font>
      <numFmt numFmtId="164" formatCode="_-* #,##0_-;\-* #,##0_-;_-* &quot;-&quot;??_-;_-@_-"/>
    </dxf>
  </rfmt>
  <rfmt sheetId="1" sqref="AS77" start="0" length="0">
    <dxf>
      <font>
        <sz val="11"/>
        <color theme="1"/>
        <name val="Calibri"/>
        <scheme val="none"/>
      </font>
      <numFmt numFmtId="164" formatCode="_-* #,##0_-;\-* #,##0_-;_-* &quot;-&quot;??_-;_-@_-"/>
    </dxf>
  </rfmt>
  <rfmt sheetId="1" sqref="AT77" start="0" length="0">
    <dxf>
      <font>
        <sz val="11"/>
        <color theme="1"/>
        <name val="Calibri"/>
        <scheme val="none"/>
      </font>
      <numFmt numFmtId="164" formatCode="_-* #,##0_-;\-* #,##0_-;_-* &quot;-&quot;??_-;_-@_-"/>
    </dxf>
  </rfmt>
  <rfmt sheetId="1" sqref="AU77" start="0" length="0">
    <dxf>
      <font>
        <sz val="11"/>
        <color theme="1"/>
        <name val="Calibri"/>
        <scheme val="none"/>
      </font>
    </dxf>
  </rfmt>
  <rfmt sheetId="1" sqref="AV77" start="0" length="0">
    <dxf>
      <font>
        <sz val="11"/>
        <color theme="1"/>
        <name val="Calibri"/>
        <scheme val="none"/>
      </font>
    </dxf>
  </rfmt>
  <rfmt sheetId="1" sqref="AW77" start="0" length="0">
    <dxf>
      <font>
        <sz val="11"/>
        <color theme="1"/>
        <name val="Calibri"/>
        <scheme val="none"/>
      </font>
    </dxf>
  </rfmt>
  <rfmt sheetId="1" sqref="AX77" start="0" length="0">
    <dxf>
      <font>
        <sz val="11"/>
        <color theme="1"/>
        <name val="Calibri"/>
        <scheme val="none"/>
      </font>
    </dxf>
  </rfmt>
  <rfmt sheetId="1" sqref="AY77" start="0" length="0">
    <dxf>
      <font>
        <sz val="11"/>
        <color theme="1"/>
        <name val="Calibri"/>
        <scheme val="none"/>
      </font>
    </dxf>
  </rfmt>
  <rfmt sheetId="1" sqref="A77:XFD77" start="0" length="0">
    <dxf>
      <font>
        <sz val="11"/>
        <color theme="1"/>
        <name val="Calibri"/>
        <scheme val="none"/>
      </font>
    </dxf>
  </rfmt>
  <rfmt sheetId="1" sqref="A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7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7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78" start="0" length="0">
    <dxf>
      <font>
        <sz val="11"/>
        <color theme="1"/>
        <name val="Calibri"/>
        <scheme val="none"/>
      </font>
    </dxf>
  </rfmt>
  <rfmt sheetId="1" sqref="AM78" start="0" length="0">
    <dxf>
      <font>
        <sz val="11"/>
        <color theme="1"/>
        <name val="Calibri"/>
        <scheme val="none"/>
      </font>
      <numFmt numFmtId="1" formatCode="0"/>
    </dxf>
  </rfmt>
  <rfmt sheetId="1" sqref="AN78" start="0" length="0">
    <dxf>
      <font>
        <sz val="11"/>
        <color theme="1"/>
        <name val="Calibri"/>
        <scheme val="none"/>
      </font>
      <numFmt numFmtId="1" formatCode="0"/>
    </dxf>
  </rfmt>
  <rfmt sheetId="1" sqref="AO78" start="0" length="0">
    <dxf>
      <font>
        <sz val="11"/>
        <color theme="1"/>
        <name val="Calibri"/>
        <scheme val="none"/>
      </font>
    </dxf>
  </rfmt>
  <rfmt sheetId="1" sqref="AP78" start="0" length="0">
    <dxf>
      <font>
        <sz val="11"/>
        <color theme="1"/>
        <name val="Calibri"/>
        <scheme val="none"/>
      </font>
    </dxf>
  </rfmt>
  <rfmt sheetId="1" sqref="AQ78" start="0" length="0">
    <dxf>
      <font>
        <sz val="11"/>
        <color theme="1"/>
        <name val="Calibri"/>
        <scheme val="none"/>
      </font>
      <numFmt numFmtId="164" formatCode="_-* #,##0_-;\-* #,##0_-;_-* &quot;-&quot;??_-;_-@_-"/>
    </dxf>
  </rfmt>
  <rfmt sheetId="1" sqref="AR78" start="0" length="0">
    <dxf>
      <font>
        <sz val="11"/>
        <color theme="1"/>
        <name val="Calibri"/>
        <scheme val="none"/>
      </font>
      <numFmt numFmtId="164" formatCode="_-* #,##0_-;\-* #,##0_-;_-* &quot;-&quot;??_-;_-@_-"/>
    </dxf>
  </rfmt>
  <rfmt sheetId="1" sqref="AS78" start="0" length="0">
    <dxf>
      <font>
        <sz val="11"/>
        <color theme="1"/>
        <name val="Calibri"/>
        <scheme val="none"/>
      </font>
      <numFmt numFmtId="164" formatCode="_-* #,##0_-;\-* #,##0_-;_-* &quot;-&quot;??_-;_-@_-"/>
    </dxf>
  </rfmt>
  <rfmt sheetId="1" sqref="AT78" start="0" length="0">
    <dxf>
      <font>
        <sz val="11"/>
        <color theme="1"/>
        <name val="Calibri"/>
        <scheme val="none"/>
      </font>
      <numFmt numFmtId="164" formatCode="_-* #,##0_-;\-* #,##0_-;_-* &quot;-&quot;??_-;_-@_-"/>
    </dxf>
  </rfmt>
  <rfmt sheetId="1" sqref="AU78" start="0" length="0">
    <dxf>
      <font>
        <sz val="11"/>
        <color theme="1"/>
        <name val="Calibri"/>
        <scheme val="none"/>
      </font>
    </dxf>
  </rfmt>
  <rfmt sheetId="1" sqref="AV78" start="0" length="0">
    <dxf>
      <font>
        <sz val="11"/>
        <color theme="1"/>
        <name val="Calibri"/>
        <scheme val="none"/>
      </font>
    </dxf>
  </rfmt>
  <rfmt sheetId="1" sqref="AW78" start="0" length="0">
    <dxf>
      <font>
        <sz val="11"/>
        <color theme="1"/>
        <name val="Calibri"/>
        <scheme val="none"/>
      </font>
    </dxf>
  </rfmt>
  <rfmt sheetId="1" sqref="AX78" start="0" length="0">
    <dxf>
      <font>
        <sz val="11"/>
        <color theme="1"/>
        <name val="Calibri"/>
        <scheme val="none"/>
      </font>
    </dxf>
  </rfmt>
  <rfmt sheetId="1" sqref="AY78" start="0" length="0">
    <dxf>
      <font>
        <sz val="11"/>
        <color theme="1"/>
        <name val="Calibri"/>
        <scheme val="none"/>
      </font>
    </dxf>
  </rfmt>
  <rfmt sheetId="1" sqref="A78:XFD78" start="0" length="0">
    <dxf>
      <font>
        <sz val="11"/>
        <color theme="1"/>
        <name val="Calibri"/>
        <scheme val="none"/>
      </font>
    </dxf>
  </rfmt>
  <rfmt sheetId="1" sqref="A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7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7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79" start="0" length="0">
    <dxf>
      <font>
        <sz val="11"/>
        <color theme="1"/>
        <name val="Calibri"/>
        <scheme val="none"/>
      </font>
    </dxf>
  </rfmt>
  <rfmt sheetId="1" sqref="AM79" start="0" length="0">
    <dxf>
      <font>
        <sz val="11"/>
        <color theme="1"/>
        <name val="Calibri"/>
        <scheme val="none"/>
      </font>
      <numFmt numFmtId="1" formatCode="0"/>
    </dxf>
  </rfmt>
  <rfmt sheetId="1" sqref="AN79" start="0" length="0">
    <dxf>
      <font>
        <sz val="11"/>
        <color theme="1"/>
        <name val="Calibri"/>
        <scheme val="none"/>
      </font>
      <numFmt numFmtId="1" formatCode="0"/>
    </dxf>
  </rfmt>
  <rfmt sheetId="1" sqref="AO79" start="0" length="0">
    <dxf>
      <font>
        <sz val="11"/>
        <color theme="1"/>
        <name val="Calibri"/>
        <scheme val="none"/>
      </font>
    </dxf>
  </rfmt>
  <rfmt sheetId="1" sqref="AP79" start="0" length="0">
    <dxf>
      <font>
        <sz val="11"/>
        <color theme="1"/>
        <name val="Calibri"/>
        <scheme val="none"/>
      </font>
    </dxf>
  </rfmt>
  <rfmt sheetId="1" sqref="AQ79" start="0" length="0">
    <dxf>
      <font>
        <sz val="11"/>
        <color theme="1"/>
        <name val="Calibri"/>
        <scheme val="none"/>
      </font>
      <numFmt numFmtId="164" formatCode="_-* #,##0_-;\-* #,##0_-;_-* &quot;-&quot;??_-;_-@_-"/>
    </dxf>
  </rfmt>
  <rfmt sheetId="1" sqref="AR79" start="0" length="0">
    <dxf>
      <font>
        <sz val="11"/>
        <color theme="1"/>
        <name val="Calibri"/>
        <scheme val="none"/>
      </font>
      <numFmt numFmtId="164" formatCode="_-* #,##0_-;\-* #,##0_-;_-* &quot;-&quot;??_-;_-@_-"/>
    </dxf>
  </rfmt>
  <rfmt sheetId="1" sqref="AS79" start="0" length="0">
    <dxf>
      <font>
        <sz val="11"/>
        <color theme="1"/>
        <name val="Calibri"/>
        <scheme val="none"/>
      </font>
      <numFmt numFmtId="164" formatCode="_-* #,##0_-;\-* #,##0_-;_-* &quot;-&quot;??_-;_-@_-"/>
    </dxf>
  </rfmt>
  <rfmt sheetId="1" sqref="AT79" start="0" length="0">
    <dxf>
      <font>
        <sz val="11"/>
        <color theme="1"/>
        <name val="Calibri"/>
        <scheme val="none"/>
      </font>
      <numFmt numFmtId="164" formatCode="_-* #,##0_-;\-* #,##0_-;_-* &quot;-&quot;??_-;_-@_-"/>
    </dxf>
  </rfmt>
  <rfmt sheetId="1" sqref="AU79" start="0" length="0">
    <dxf>
      <font>
        <sz val="11"/>
        <color theme="1"/>
        <name val="Calibri"/>
        <scheme val="none"/>
      </font>
    </dxf>
  </rfmt>
  <rfmt sheetId="1" sqref="AV79" start="0" length="0">
    <dxf>
      <font>
        <sz val="11"/>
        <color theme="1"/>
        <name val="Calibri"/>
        <scheme val="none"/>
      </font>
    </dxf>
  </rfmt>
  <rfmt sheetId="1" sqref="AW79" start="0" length="0">
    <dxf>
      <font>
        <sz val="11"/>
        <color theme="1"/>
        <name val="Calibri"/>
        <scheme val="none"/>
      </font>
    </dxf>
  </rfmt>
  <rfmt sheetId="1" sqref="AX79" start="0" length="0">
    <dxf>
      <font>
        <sz val="11"/>
        <color theme="1"/>
        <name val="Calibri"/>
        <scheme val="none"/>
      </font>
    </dxf>
  </rfmt>
  <rfmt sheetId="1" sqref="AY79" start="0" length="0">
    <dxf>
      <font>
        <sz val="11"/>
        <color theme="1"/>
        <name val="Calibri"/>
        <scheme val="none"/>
      </font>
    </dxf>
  </rfmt>
  <rfmt sheetId="1" sqref="A79:XFD79" start="0" length="0">
    <dxf>
      <font>
        <sz val="11"/>
        <color theme="1"/>
        <name val="Calibri"/>
        <scheme val="none"/>
      </font>
    </dxf>
  </rfmt>
  <rfmt sheetId="1" sqref="A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8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8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80" start="0" length="0">
    <dxf>
      <font>
        <sz val="11"/>
        <color theme="1"/>
        <name val="Calibri"/>
        <scheme val="none"/>
      </font>
    </dxf>
  </rfmt>
  <rfmt sheetId="1" sqref="AM80" start="0" length="0">
    <dxf>
      <font>
        <sz val="11"/>
        <color theme="1"/>
        <name val="Calibri"/>
        <scheme val="none"/>
      </font>
      <numFmt numFmtId="1" formatCode="0"/>
    </dxf>
  </rfmt>
  <rfmt sheetId="1" sqref="AN80" start="0" length="0">
    <dxf>
      <font>
        <sz val="11"/>
        <color theme="1"/>
        <name val="Calibri"/>
        <scheme val="none"/>
      </font>
      <numFmt numFmtId="1" formatCode="0"/>
    </dxf>
  </rfmt>
  <rfmt sheetId="1" sqref="AO80" start="0" length="0">
    <dxf>
      <font>
        <sz val="11"/>
        <color theme="1"/>
        <name val="Calibri"/>
        <scheme val="none"/>
      </font>
    </dxf>
  </rfmt>
  <rfmt sheetId="1" sqref="AP80" start="0" length="0">
    <dxf>
      <font>
        <sz val="11"/>
        <color theme="1"/>
        <name val="Calibri"/>
        <scheme val="none"/>
      </font>
    </dxf>
  </rfmt>
  <rfmt sheetId="1" sqref="AQ80" start="0" length="0">
    <dxf>
      <font>
        <sz val="11"/>
        <color theme="1"/>
        <name val="Calibri"/>
        <scheme val="none"/>
      </font>
      <numFmt numFmtId="164" formatCode="_-* #,##0_-;\-* #,##0_-;_-* &quot;-&quot;??_-;_-@_-"/>
    </dxf>
  </rfmt>
  <rfmt sheetId="1" sqref="AR80" start="0" length="0">
    <dxf>
      <font>
        <sz val="11"/>
        <color theme="1"/>
        <name val="Calibri"/>
        <scheme val="none"/>
      </font>
      <numFmt numFmtId="164" formatCode="_-* #,##0_-;\-* #,##0_-;_-* &quot;-&quot;??_-;_-@_-"/>
    </dxf>
  </rfmt>
  <rfmt sheetId="1" sqref="AS80" start="0" length="0">
    <dxf>
      <font>
        <sz val="11"/>
        <color theme="1"/>
        <name val="Calibri"/>
        <scheme val="none"/>
      </font>
      <numFmt numFmtId="164" formatCode="_-* #,##0_-;\-* #,##0_-;_-* &quot;-&quot;??_-;_-@_-"/>
    </dxf>
  </rfmt>
  <rfmt sheetId="1" sqref="AT80" start="0" length="0">
    <dxf>
      <font>
        <sz val="11"/>
        <color theme="1"/>
        <name val="Calibri"/>
        <scheme val="none"/>
      </font>
      <numFmt numFmtId="164" formatCode="_-* #,##0_-;\-* #,##0_-;_-* &quot;-&quot;??_-;_-@_-"/>
    </dxf>
  </rfmt>
  <rfmt sheetId="1" sqref="AU80" start="0" length="0">
    <dxf>
      <font>
        <sz val="11"/>
        <color theme="1"/>
        <name val="Calibri"/>
        <scheme val="none"/>
      </font>
    </dxf>
  </rfmt>
  <rfmt sheetId="1" sqref="AV80" start="0" length="0">
    <dxf>
      <font>
        <sz val="11"/>
        <color theme="1"/>
        <name val="Calibri"/>
        <scheme val="none"/>
      </font>
    </dxf>
  </rfmt>
  <rfmt sheetId="1" sqref="AW80" start="0" length="0">
    <dxf>
      <font>
        <sz val="11"/>
        <color theme="1"/>
        <name val="Calibri"/>
        <scheme val="none"/>
      </font>
    </dxf>
  </rfmt>
  <rfmt sheetId="1" sqref="AX80" start="0" length="0">
    <dxf>
      <font>
        <sz val="11"/>
        <color theme="1"/>
        <name val="Calibri"/>
        <scheme val="none"/>
      </font>
    </dxf>
  </rfmt>
  <rfmt sheetId="1" sqref="AY80" start="0" length="0">
    <dxf>
      <font>
        <sz val="11"/>
        <color theme="1"/>
        <name val="Calibri"/>
        <scheme val="none"/>
      </font>
    </dxf>
  </rfmt>
  <rfmt sheetId="1" sqref="A80:XFD80" start="0" length="0">
    <dxf>
      <font>
        <sz val="11"/>
        <color theme="1"/>
        <name val="Calibri"/>
        <scheme val="none"/>
      </font>
    </dxf>
  </rfmt>
  <rfmt sheetId="1" sqref="A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8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8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81" start="0" length="0">
    <dxf>
      <font>
        <sz val="11"/>
        <color theme="1"/>
        <name val="Calibri"/>
        <scheme val="none"/>
      </font>
    </dxf>
  </rfmt>
  <rfmt sheetId="1" sqref="AM81" start="0" length="0">
    <dxf>
      <font>
        <sz val="11"/>
        <color theme="1"/>
        <name val="Calibri"/>
        <scheme val="none"/>
      </font>
      <numFmt numFmtId="1" formatCode="0"/>
    </dxf>
  </rfmt>
  <rfmt sheetId="1" sqref="AN81" start="0" length="0">
    <dxf>
      <font>
        <sz val="11"/>
        <color theme="1"/>
        <name val="Calibri"/>
        <scheme val="none"/>
      </font>
      <numFmt numFmtId="1" formatCode="0"/>
    </dxf>
  </rfmt>
  <rfmt sheetId="1" sqref="AO81" start="0" length="0">
    <dxf>
      <font>
        <sz val="11"/>
        <color theme="1"/>
        <name val="Calibri"/>
        <scheme val="none"/>
      </font>
    </dxf>
  </rfmt>
  <rfmt sheetId="1" sqref="AP81" start="0" length="0">
    <dxf>
      <font>
        <sz val="11"/>
        <color theme="1"/>
        <name val="Calibri"/>
        <scheme val="none"/>
      </font>
    </dxf>
  </rfmt>
  <rfmt sheetId="1" sqref="AQ81" start="0" length="0">
    <dxf>
      <font>
        <sz val="11"/>
        <color theme="1"/>
        <name val="Calibri"/>
        <scheme val="none"/>
      </font>
      <numFmt numFmtId="164" formatCode="_-* #,##0_-;\-* #,##0_-;_-* &quot;-&quot;??_-;_-@_-"/>
    </dxf>
  </rfmt>
  <rfmt sheetId="1" sqref="AR81" start="0" length="0">
    <dxf>
      <font>
        <sz val="11"/>
        <color theme="1"/>
        <name val="Calibri"/>
        <scheme val="none"/>
      </font>
      <numFmt numFmtId="164" formatCode="_-* #,##0_-;\-* #,##0_-;_-* &quot;-&quot;??_-;_-@_-"/>
    </dxf>
  </rfmt>
  <rfmt sheetId="1" sqref="AS81" start="0" length="0">
    <dxf>
      <font>
        <sz val="11"/>
        <color theme="1"/>
        <name val="Calibri"/>
        <scheme val="none"/>
      </font>
      <numFmt numFmtId="164" formatCode="_-* #,##0_-;\-* #,##0_-;_-* &quot;-&quot;??_-;_-@_-"/>
    </dxf>
  </rfmt>
  <rfmt sheetId="1" sqref="AT81" start="0" length="0">
    <dxf>
      <font>
        <sz val="11"/>
        <color theme="1"/>
        <name val="Calibri"/>
        <scheme val="none"/>
      </font>
      <numFmt numFmtId="164" formatCode="_-* #,##0_-;\-* #,##0_-;_-* &quot;-&quot;??_-;_-@_-"/>
    </dxf>
  </rfmt>
  <rfmt sheetId="1" sqref="AU81" start="0" length="0">
    <dxf>
      <font>
        <sz val="11"/>
        <color theme="1"/>
        <name val="Calibri"/>
        <scheme val="none"/>
      </font>
    </dxf>
  </rfmt>
  <rfmt sheetId="1" sqref="AV81" start="0" length="0">
    <dxf>
      <font>
        <sz val="11"/>
        <color theme="1"/>
        <name val="Calibri"/>
        <scheme val="none"/>
      </font>
    </dxf>
  </rfmt>
  <rfmt sheetId="1" sqref="AW81" start="0" length="0">
    <dxf>
      <font>
        <sz val="11"/>
        <color theme="1"/>
        <name val="Calibri"/>
        <scheme val="none"/>
      </font>
    </dxf>
  </rfmt>
  <rfmt sheetId="1" sqref="AX81" start="0" length="0">
    <dxf>
      <font>
        <sz val="11"/>
        <color theme="1"/>
        <name val="Calibri"/>
        <scheme val="none"/>
      </font>
    </dxf>
  </rfmt>
  <rfmt sheetId="1" sqref="AY81" start="0" length="0">
    <dxf>
      <font>
        <sz val="11"/>
        <color theme="1"/>
        <name val="Calibri"/>
        <scheme val="none"/>
      </font>
    </dxf>
  </rfmt>
  <rfmt sheetId="1" sqref="A81:XFD81" start="0" length="0">
    <dxf>
      <font>
        <sz val="11"/>
        <color theme="1"/>
        <name val="Calibri"/>
        <scheme val="none"/>
      </font>
    </dxf>
  </rfmt>
  <rfmt sheetId="1" sqref="A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8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8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82" start="0" length="0">
    <dxf>
      <font>
        <sz val="11"/>
        <color theme="1"/>
        <name val="Calibri"/>
        <scheme val="none"/>
      </font>
    </dxf>
  </rfmt>
  <rfmt sheetId="1" sqref="AM82" start="0" length="0">
    <dxf>
      <font>
        <sz val="11"/>
        <color theme="1"/>
        <name val="Calibri"/>
        <scheme val="none"/>
      </font>
      <numFmt numFmtId="1" formatCode="0"/>
    </dxf>
  </rfmt>
  <rfmt sheetId="1" sqref="AN82" start="0" length="0">
    <dxf>
      <font>
        <sz val="11"/>
        <color theme="1"/>
        <name val="Calibri"/>
        <scheme val="none"/>
      </font>
      <numFmt numFmtId="1" formatCode="0"/>
    </dxf>
  </rfmt>
  <rfmt sheetId="1" sqref="AO82" start="0" length="0">
    <dxf>
      <font>
        <sz val="11"/>
        <color theme="1"/>
        <name val="Calibri"/>
        <scheme val="none"/>
      </font>
    </dxf>
  </rfmt>
  <rfmt sheetId="1" sqref="AP82" start="0" length="0">
    <dxf>
      <font>
        <sz val="11"/>
        <color theme="1"/>
        <name val="Calibri"/>
        <scheme val="none"/>
      </font>
    </dxf>
  </rfmt>
  <rfmt sheetId="1" sqref="AQ82" start="0" length="0">
    <dxf>
      <font>
        <sz val="11"/>
        <color theme="1"/>
        <name val="Calibri"/>
        <scheme val="none"/>
      </font>
      <numFmt numFmtId="164" formatCode="_-* #,##0_-;\-* #,##0_-;_-* &quot;-&quot;??_-;_-@_-"/>
    </dxf>
  </rfmt>
  <rfmt sheetId="1" sqref="AR82" start="0" length="0">
    <dxf>
      <font>
        <sz val="11"/>
        <color theme="1"/>
        <name val="Calibri"/>
        <scheme val="none"/>
      </font>
      <numFmt numFmtId="164" formatCode="_-* #,##0_-;\-* #,##0_-;_-* &quot;-&quot;??_-;_-@_-"/>
    </dxf>
  </rfmt>
  <rfmt sheetId="1" sqref="AS82" start="0" length="0">
    <dxf>
      <font>
        <sz val="11"/>
        <color theme="1"/>
        <name val="Calibri"/>
        <scheme val="none"/>
      </font>
      <numFmt numFmtId="164" formatCode="_-* #,##0_-;\-* #,##0_-;_-* &quot;-&quot;??_-;_-@_-"/>
    </dxf>
  </rfmt>
  <rfmt sheetId="1" sqref="AT82" start="0" length="0">
    <dxf>
      <font>
        <sz val="11"/>
        <color theme="1"/>
        <name val="Calibri"/>
        <scheme val="none"/>
      </font>
      <numFmt numFmtId="164" formatCode="_-* #,##0_-;\-* #,##0_-;_-* &quot;-&quot;??_-;_-@_-"/>
    </dxf>
  </rfmt>
  <rfmt sheetId="1" sqref="AU82" start="0" length="0">
    <dxf>
      <font>
        <sz val="11"/>
        <color theme="1"/>
        <name val="Calibri"/>
        <scheme val="none"/>
      </font>
    </dxf>
  </rfmt>
  <rfmt sheetId="1" sqref="AV82" start="0" length="0">
    <dxf>
      <font>
        <sz val="11"/>
        <color theme="1"/>
        <name val="Calibri"/>
        <scheme val="none"/>
      </font>
    </dxf>
  </rfmt>
  <rfmt sheetId="1" sqref="AW82" start="0" length="0">
    <dxf>
      <font>
        <sz val="11"/>
        <color theme="1"/>
        <name val="Calibri"/>
        <scheme val="none"/>
      </font>
    </dxf>
  </rfmt>
  <rfmt sheetId="1" sqref="AX82" start="0" length="0">
    <dxf>
      <font>
        <sz val="11"/>
        <color theme="1"/>
        <name val="Calibri"/>
        <scheme val="none"/>
      </font>
    </dxf>
  </rfmt>
  <rfmt sheetId="1" sqref="AY82" start="0" length="0">
    <dxf>
      <font>
        <sz val="11"/>
        <color theme="1"/>
        <name val="Calibri"/>
        <scheme val="none"/>
      </font>
    </dxf>
  </rfmt>
  <rfmt sheetId="1" sqref="A82:XFD82" start="0" length="0">
    <dxf>
      <font>
        <sz val="11"/>
        <color theme="1"/>
        <name val="Calibri"/>
        <scheme val="none"/>
      </font>
    </dxf>
  </rfmt>
  <rfmt sheetId="1" sqref="A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8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8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83" start="0" length="0">
    <dxf>
      <font>
        <sz val="11"/>
        <color theme="1"/>
        <name val="Calibri"/>
        <scheme val="none"/>
      </font>
    </dxf>
  </rfmt>
  <rfmt sheetId="1" sqref="AM83" start="0" length="0">
    <dxf>
      <font>
        <sz val="11"/>
        <color theme="1"/>
        <name val="Calibri"/>
        <scheme val="none"/>
      </font>
      <numFmt numFmtId="1" formatCode="0"/>
    </dxf>
  </rfmt>
  <rfmt sheetId="1" sqref="AN83" start="0" length="0">
    <dxf>
      <font>
        <sz val="11"/>
        <color theme="1"/>
        <name val="Calibri"/>
        <scheme val="none"/>
      </font>
      <numFmt numFmtId="1" formatCode="0"/>
    </dxf>
  </rfmt>
  <rfmt sheetId="1" sqref="AO83" start="0" length="0">
    <dxf>
      <font>
        <sz val="11"/>
        <color theme="1"/>
        <name val="Calibri"/>
        <scheme val="none"/>
      </font>
    </dxf>
  </rfmt>
  <rfmt sheetId="1" sqref="AP83" start="0" length="0">
    <dxf>
      <font>
        <sz val="11"/>
        <color theme="1"/>
        <name val="Calibri"/>
        <scheme val="none"/>
      </font>
    </dxf>
  </rfmt>
  <rfmt sheetId="1" sqref="AQ83" start="0" length="0">
    <dxf>
      <font>
        <sz val="11"/>
        <color theme="1"/>
        <name val="Calibri"/>
        <scheme val="none"/>
      </font>
      <numFmt numFmtId="164" formatCode="_-* #,##0_-;\-* #,##0_-;_-* &quot;-&quot;??_-;_-@_-"/>
    </dxf>
  </rfmt>
  <rfmt sheetId="1" sqref="AR83" start="0" length="0">
    <dxf>
      <font>
        <sz val="11"/>
        <color theme="1"/>
        <name val="Calibri"/>
        <scheme val="none"/>
      </font>
      <numFmt numFmtId="164" formatCode="_-* #,##0_-;\-* #,##0_-;_-* &quot;-&quot;??_-;_-@_-"/>
    </dxf>
  </rfmt>
  <rfmt sheetId="1" sqref="AS83" start="0" length="0">
    <dxf>
      <font>
        <sz val="11"/>
        <color theme="1"/>
        <name val="Calibri"/>
        <scheme val="none"/>
      </font>
      <numFmt numFmtId="164" formatCode="_-* #,##0_-;\-* #,##0_-;_-* &quot;-&quot;??_-;_-@_-"/>
    </dxf>
  </rfmt>
  <rfmt sheetId="1" sqref="AT83" start="0" length="0">
    <dxf>
      <font>
        <sz val="11"/>
        <color theme="1"/>
        <name val="Calibri"/>
        <scheme val="none"/>
      </font>
      <numFmt numFmtId="164" formatCode="_-* #,##0_-;\-* #,##0_-;_-* &quot;-&quot;??_-;_-@_-"/>
    </dxf>
  </rfmt>
  <rfmt sheetId="1" sqref="AU83" start="0" length="0">
    <dxf>
      <font>
        <sz val="11"/>
        <color theme="1"/>
        <name val="Calibri"/>
        <scheme val="none"/>
      </font>
    </dxf>
  </rfmt>
  <rfmt sheetId="1" sqref="AV83" start="0" length="0">
    <dxf>
      <font>
        <sz val="11"/>
        <color theme="1"/>
        <name val="Calibri"/>
        <scheme val="none"/>
      </font>
    </dxf>
  </rfmt>
  <rfmt sheetId="1" sqref="AW83" start="0" length="0">
    <dxf>
      <font>
        <sz val="11"/>
        <color theme="1"/>
        <name val="Calibri"/>
        <scheme val="none"/>
      </font>
    </dxf>
  </rfmt>
  <rfmt sheetId="1" sqref="AX83" start="0" length="0">
    <dxf>
      <font>
        <sz val="11"/>
        <color theme="1"/>
        <name val="Calibri"/>
        <scheme val="none"/>
      </font>
    </dxf>
  </rfmt>
  <rfmt sheetId="1" sqref="AY83" start="0" length="0">
    <dxf>
      <font>
        <sz val="11"/>
        <color theme="1"/>
        <name val="Calibri"/>
        <scheme val="none"/>
      </font>
    </dxf>
  </rfmt>
  <rfmt sheetId="1" sqref="A83:XFD83" start="0" length="0">
    <dxf>
      <font>
        <sz val="11"/>
        <color theme="1"/>
        <name val="Calibri"/>
        <scheme val="none"/>
      </font>
    </dxf>
  </rfmt>
  <rfmt sheetId="1" sqref="A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8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8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84" start="0" length="0">
    <dxf>
      <font>
        <sz val="11"/>
        <color theme="1"/>
        <name val="Calibri"/>
        <scheme val="none"/>
      </font>
    </dxf>
  </rfmt>
  <rfmt sheetId="1" sqref="AM84" start="0" length="0">
    <dxf>
      <font>
        <sz val="11"/>
        <color theme="1"/>
        <name val="Calibri"/>
        <scheme val="none"/>
      </font>
      <numFmt numFmtId="1" formatCode="0"/>
    </dxf>
  </rfmt>
  <rfmt sheetId="1" sqref="AN84" start="0" length="0">
    <dxf>
      <font>
        <sz val="11"/>
        <color theme="1"/>
        <name val="Calibri"/>
        <scheme val="none"/>
      </font>
      <numFmt numFmtId="1" formatCode="0"/>
    </dxf>
  </rfmt>
  <rfmt sheetId="1" sqref="AO84" start="0" length="0">
    <dxf>
      <font>
        <sz val="11"/>
        <color theme="1"/>
        <name val="Calibri"/>
        <scheme val="none"/>
      </font>
    </dxf>
  </rfmt>
  <rfmt sheetId="1" sqref="AP84" start="0" length="0">
    <dxf>
      <font>
        <sz val="11"/>
        <color theme="1"/>
        <name val="Calibri"/>
        <scheme val="none"/>
      </font>
    </dxf>
  </rfmt>
  <rfmt sheetId="1" sqref="AQ84" start="0" length="0">
    <dxf>
      <font>
        <sz val="11"/>
        <color theme="1"/>
        <name val="Calibri"/>
        <scheme val="none"/>
      </font>
      <numFmt numFmtId="164" formatCode="_-* #,##0_-;\-* #,##0_-;_-* &quot;-&quot;??_-;_-@_-"/>
    </dxf>
  </rfmt>
  <rfmt sheetId="1" sqref="AR84" start="0" length="0">
    <dxf>
      <font>
        <sz val="11"/>
        <color theme="1"/>
        <name val="Calibri"/>
        <scheme val="none"/>
      </font>
      <numFmt numFmtId="164" formatCode="_-* #,##0_-;\-* #,##0_-;_-* &quot;-&quot;??_-;_-@_-"/>
    </dxf>
  </rfmt>
  <rfmt sheetId="1" sqref="AS84" start="0" length="0">
    <dxf>
      <font>
        <sz val="11"/>
        <color theme="1"/>
        <name val="Calibri"/>
        <scheme val="none"/>
      </font>
      <numFmt numFmtId="164" formatCode="_-* #,##0_-;\-* #,##0_-;_-* &quot;-&quot;??_-;_-@_-"/>
    </dxf>
  </rfmt>
  <rfmt sheetId="1" sqref="AT84" start="0" length="0">
    <dxf>
      <font>
        <sz val="11"/>
        <color theme="1"/>
        <name val="Calibri"/>
        <scheme val="none"/>
      </font>
      <numFmt numFmtId="164" formatCode="_-* #,##0_-;\-* #,##0_-;_-* &quot;-&quot;??_-;_-@_-"/>
    </dxf>
  </rfmt>
  <rfmt sheetId="1" sqref="AU84" start="0" length="0">
    <dxf>
      <font>
        <sz val="11"/>
        <color theme="1"/>
        <name val="Calibri"/>
        <scheme val="none"/>
      </font>
    </dxf>
  </rfmt>
  <rfmt sheetId="1" sqref="AV84" start="0" length="0">
    <dxf>
      <font>
        <sz val="11"/>
        <color theme="1"/>
        <name val="Calibri"/>
        <scheme val="none"/>
      </font>
    </dxf>
  </rfmt>
  <rfmt sheetId="1" sqref="AW84" start="0" length="0">
    <dxf>
      <font>
        <sz val="11"/>
        <color theme="1"/>
        <name val="Calibri"/>
        <scheme val="none"/>
      </font>
    </dxf>
  </rfmt>
  <rfmt sheetId="1" sqref="AX84" start="0" length="0">
    <dxf>
      <font>
        <sz val="11"/>
        <color theme="1"/>
        <name val="Calibri"/>
        <scheme val="none"/>
      </font>
    </dxf>
  </rfmt>
  <rfmt sheetId="1" sqref="AY84" start="0" length="0">
    <dxf>
      <font>
        <sz val="11"/>
        <color theme="1"/>
        <name val="Calibri"/>
        <scheme val="none"/>
      </font>
    </dxf>
  </rfmt>
  <rfmt sheetId="1" sqref="A84:XFD84" start="0" length="0">
    <dxf>
      <font>
        <sz val="11"/>
        <color theme="1"/>
        <name val="Calibri"/>
        <scheme val="none"/>
      </font>
    </dxf>
  </rfmt>
  <rfmt sheetId="1" sqref="A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8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8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85" start="0" length="0">
    <dxf>
      <font>
        <sz val="11"/>
        <color theme="1"/>
        <name val="Calibri"/>
        <scheme val="none"/>
      </font>
    </dxf>
  </rfmt>
  <rfmt sheetId="1" sqref="AM85" start="0" length="0">
    <dxf>
      <font>
        <sz val="11"/>
        <color theme="1"/>
        <name val="Calibri"/>
        <scheme val="none"/>
      </font>
      <numFmt numFmtId="1" formatCode="0"/>
    </dxf>
  </rfmt>
  <rfmt sheetId="1" sqref="AN85" start="0" length="0">
    <dxf>
      <font>
        <sz val="11"/>
        <color theme="1"/>
        <name val="Calibri"/>
        <scheme val="none"/>
      </font>
      <numFmt numFmtId="1" formatCode="0"/>
    </dxf>
  </rfmt>
  <rfmt sheetId="1" sqref="AO85" start="0" length="0">
    <dxf>
      <font>
        <sz val="11"/>
        <color theme="1"/>
        <name val="Calibri"/>
        <scheme val="none"/>
      </font>
    </dxf>
  </rfmt>
  <rfmt sheetId="1" sqref="AP85" start="0" length="0">
    <dxf>
      <font>
        <sz val="11"/>
        <color theme="1"/>
        <name val="Calibri"/>
        <scheme val="none"/>
      </font>
    </dxf>
  </rfmt>
  <rfmt sheetId="1" sqref="AQ85" start="0" length="0">
    <dxf>
      <font>
        <sz val="11"/>
        <color theme="1"/>
        <name val="Calibri"/>
        <scheme val="none"/>
      </font>
      <numFmt numFmtId="164" formatCode="_-* #,##0_-;\-* #,##0_-;_-* &quot;-&quot;??_-;_-@_-"/>
    </dxf>
  </rfmt>
  <rfmt sheetId="1" sqref="AR85" start="0" length="0">
    <dxf>
      <font>
        <sz val="11"/>
        <color theme="1"/>
        <name val="Calibri"/>
        <scheme val="none"/>
      </font>
      <numFmt numFmtId="164" formatCode="_-* #,##0_-;\-* #,##0_-;_-* &quot;-&quot;??_-;_-@_-"/>
    </dxf>
  </rfmt>
  <rfmt sheetId="1" sqref="AS85" start="0" length="0">
    <dxf>
      <font>
        <sz val="11"/>
        <color theme="1"/>
        <name val="Calibri"/>
        <scheme val="none"/>
      </font>
      <numFmt numFmtId="164" formatCode="_-* #,##0_-;\-* #,##0_-;_-* &quot;-&quot;??_-;_-@_-"/>
    </dxf>
  </rfmt>
  <rfmt sheetId="1" sqref="AT85" start="0" length="0">
    <dxf>
      <font>
        <sz val="11"/>
        <color theme="1"/>
        <name val="Calibri"/>
        <scheme val="none"/>
      </font>
      <numFmt numFmtId="164" formatCode="_-* #,##0_-;\-* #,##0_-;_-* &quot;-&quot;??_-;_-@_-"/>
    </dxf>
  </rfmt>
  <rfmt sheetId="1" sqref="AU85" start="0" length="0">
    <dxf>
      <font>
        <sz val="11"/>
        <color theme="1"/>
        <name val="Calibri"/>
        <scheme val="none"/>
      </font>
    </dxf>
  </rfmt>
  <rfmt sheetId="1" sqref="AV85" start="0" length="0">
    <dxf>
      <font>
        <sz val="11"/>
        <color theme="1"/>
        <name val="Calibri"/>
        <scheme val="none"/>
      </font>
    </dxf>
  </rfmt>
  <rfmt sheetId="1" sqref="AW85" start="0" length="0">
    <dxf>
      <font>
        <sz val="11"/>
        <color theme="1"/>
        <name val="Calibri"/>
        <scheme val="none"/>
      </font>
    </dxf>
  </rfmt>
  <rfmt sheetId="1" sqref="AX85" start="0" length="0">
    <dxf>
      <font>
        <sz val="11"/>
        <color theme="1"/>
        <name val="Calibri"/>
        <scheme val="none"/>
      </font>
    </dxf>
  </rfmt>
  <rfmt sheetId="1" sqref="AY85" start="0" length="0">
    <dxf>
      <font>
        <sz val="11"/>
        <color theme="1"/>
        <name val="Calibri"/>
        <scheme val="none"/>
      </font>
    </dxf>
  </rfmt>
  <rfmt sheetId="1" sqref="A85:XFD85" start="0" length="0">
    <dxf>
      <font>
        <sz val="11"/>
        <color theme="1"/>
        <name val="Calibri"/>
        <scheme val="none"/>
      </font>
    </dxf>
  </rfmt>
  <rfmt sheetId="1" sqref="A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8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8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86" start="0" length="0">
    <dxf>
      <font>
        <sz val="11"/>
        <color theme="1"/>
        <name val="Calibri"/>
        <scheme val="none"/>
      </font>
    </dxf>
  </rfmt>
  <rfmt sheetId="1" sqref="AM86" start="0" length="0">
    <dxf>
      <font>
        <sz val="11"/>
        <color theme="1"/>
        <name val="Calibri"/>
        <scheme val="none"/>
      </font>
      <numFmt numFmtId="1" formatCode="0"/>
    </dxf>
  </rfmt>
  <rfmt sheetId="1" sqref="AN86" start="0" length="0">
    <dxf>
      <font>
        <sz val="11"/>
        <color theme="1"/>
        <name val="Calibri"/>
        <scheme val="none"/>
      </font>
      <numFmt numFmtId="1" formatCode="0"/>
    </dxf>
  </rfmt>
  <rfmt sheetId="1" sqref="AO86" start="0" length="0">
    <dxf>
      <font>
        <sz val="11"/>
        <color theme="1"/>
        <name val="Calibri"/>
        <scheme val="none"/>
      </font>
    </dxf>
  </rfmt>
  <rfmt sheetId="1" sqref="AP86" start="0" length="0">
    <dxf>
      <font>
        <sz val="11"/>
        <color theme="1"/>
        <name val="Calibri"/>
        <scheme val="none"/>
      </font>
    </dxf>
  </rfmt>
  <rfmt sheetId="1" sqref="AQ86" start="0" length="0">
    <dxf>
      <font>
        <sz val="11"/>
        <color theme="1"/>
        <name val="Calibri"/>
        <scheme val="none"/>
      </font>
      <numFmt numFmtId="164" formatCode="_-* #,##0_-;\-* #,##0_-;_-* &quot;-&quot;??_-;_-@_-"/>
    </dxf>
  </rfmt>
  <rfmt sheetId="1" sqref="AR86" start="0" length="0">
    <dxf>
      <font>
        <sz val="11"/>
        <color theme="1"/>
        <name val="Calibri"/>
        <scheme val="none"/>
      </font>
      <numFmt numFmtId="164" formatCode="_-* #,##0_-;\-* #,##0_-;_-* &quot;-&quot;??_-;_-@_-"/>
    </dxf>
  </rfmt>
  <rfmt sheetId="1" sqref="AS86" start="0" length="0">
    <dxf>
      <font>
        <sz val="11"/>
        <color theme="1"/>
        <name val="Calibri"/>
        <scheme val="none"/>
      </font>
      <numFmt numFmtId="164" formatCode="_-* #,##0_-;\-* #,##0_-;_-* &quot;-&quot;??_-;_-@_-"/>
    </dxf>
  </rfmt>
  <rfmt sheetId="1" sqref="AT86" start="0" length="0">
    <dxf>
      <font>
        <sz val="11"/>
        <color theme="1"/>
        <name val="Calibri"/>
        <scheme val="none"/>
      </font>
      <numFmt numFmtId="164" formatCode="_-* #,##0_-;\-* #,##0_-;_-* &quot;-&quot;??_-;_-@_-"/>
    </dxf>
  </rfmt>
  <rfmt sheetId="1" sqref="AU86" start="0" length="0">
    <dxf>
      <font>
        <sz val="11"/>
        <color theme="1"/>
        <name val="Calibri"/>
        <scheme val="none"/>
      </font>
    </dxf>
  </rfmt>
  <rfmt sheetId="1" sqref="AV86" start="0" length="0">
    <dxf>
      <font>
        <sz val="11"/>
        <color theme="1"/>
        <name val="Calibri"/>
        <scheme val="none"/>
      </font>
    </dxf>
  </rfmt>
  <rfmt sheetId="1" sqref="AW86" start="0" length="0">
    <dxf>
      <font>
        <sz val="11"/>
        <color theme="1"/>
        <name val="Calibri"/>
        <scheme val="none"/>
      </font>
    </dxf>
  </rfmt>
  <rfmt sheetId="1" sqref="AX86" start="0" length="0">
    <dxf>
      <font>
        <sz val="11"/>
        <color theme="1"/>
        <name val="Calibri"/>
        <scheme val="none"/>
      </font>
    </dxf>
  </rfmt>
  <rfmt sheetId="1" sqref="AY86" start="0" length="0">
    <dxf>
      <font>
        <sz val="11"/>
        <color theme="1"/>
        <name val="Calibri"/>
        <scheme val="none"/>
      </font>
    </dxf>
  </rfmt>
  <rfmt sheetId="1" sqref="A86:XFD86" start="0" length="0">
    <dxf>
      <font>
        <sz val="11"/>
        <color theme="1"/>
        <name val="Calibri"/>
        <scheme val="none"/>
      </font>
    </dxf>
  </rfmt>
  <rfmt sheetId="1" sqref="A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8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8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87" start="0" length="0">
    <dxf>
      <font>
        <sz val="11"/>
        <color theme="1"/>
        <name val="Calibri"/>
        <scheme val="none"/>
      </font>
    </dxf>
  </rfmt>
  <rfmt sheetId="1" sqref="AM87" start="0" length="0">
    <dxf>
      <font>
        <sz val="11"/>
        <color theme="1"/>
        <name val="Calibri"/>
        <scheme val="none"/>
      </font>
      <numFmt numFmtId="1" formatCode="0"/>
    </dxf>
  </rfmt>
  <rfmt sheetId="1" sqref="AN87" start="0" length="0">
    <dxf>
      <font>
        <sz val="11"/>
        <color theme="1"/>
        <name val="Calibri"/>
        <scheme val="none"/>
      </font>
      <numFmt numFmtId="1" formatCode="0"/>
    </dxf>
  </rfmt>
  <rfmt sheetId="1" sqref="AO87" start="0" length="0">
    <dxf>
      <font>
        <sz val="11"/>
        <color theme="1"/>
        <name val="Calibri"/>
        <scheme val="none"/>
      </font>
    </dxf>
  </rfmt>
  <rfmt sheetId="1" sqref="AP87" start="0" length="0">
    <dxf>
      <font>
        <sz val="11"/>
        <color theme="1"/>
        <name val="Calibri"/>
        <scheme val="none"/>
      </font>
    </dxf>
  </rfmt>
  <rfmt sheetId="1" sqref="AQ87" start="0" length="0">
    <dxf>
      <font>
        <sz val="11"/>
        <color theme="1"/>
        <name val="Calibri"/>
        <scheme val="none"/>
      </font>
      <numFmt numFmtId="164" formatCode="_-* #,##0_-;\-* #,##0_-;_-* &quot;-&quot;??_-;_-@_-"/>
    </dxf>
  </rfmt>
  <rfmt sheetId="1" sqref="AR87" start="0" length="0">
    <dxf>
      <font>
        <sz val="11"/>
        <color theme="1"/>
        <name val="Calibri"/>
        <scheme val="none"/>
      </font>
      <numFmt numFmtId="164" formatCode="_-* #,##0_-;\-* #,##0_-;_-* &quot;-&quot;??_-;_-@_-"/>
    </dxf>
  </rfmt>
  <rfmt sheetId="1" sqref="AS87" start="0" length="0">
    <dxf>
      <font>
        <sz val="11"/>
        <color theme="1"/>
        <name val="Calibri"/>
        <scheme val="none"/>
      </font>
      <numFmt numFmtId="164" formatCode="_-* #,##0_-;\-* #,##0_-;_-* &quot;-&quot;??_-;_-@_-"/>
    </dxf>
  </rfmt>
  <rfmt sheetId="1" sqref="AT87" start="0" length="0">
    <dxf>
      <font>
        <sz val="11"/>
        <color theme="1"/>
        <name val="Calibri"/>
        <scheme val="none"/>
      </font>
      <numFmt numFmtId="164" formatCode="_-* #,##0_-;\-* #,##0_-;_-* &quot;-&quot;??_-;_-@_-"/>
    </dxf>
  </rfmt>
  <rfmt sheetId="1" sqref="AU87" start="0" length="0">
    <dxf>
      <font>
        <sz val="11"/>
        <color theme="1"/>
        <name val="Calibri"/>
        <scheme val="none"/>
      </font>
    </dxf>
  </rfmt>
  <rfmt sheetId="1" sqref="AV87" start="0" length="0">
    <dxf>
      <font>
        <sz val="11"/>
        <color theme="1"/>
        <name val="Calibri"/>
        <scheme val="none"/>
      </font>
    </dxf>
  </rfmt>
  <rfmt sheetId="1" sqref="AW87" start="0" length="0">
    <dxf>
      <font>
        <sz val="11"/>
        <color theme="1"/>
        <name val="Calibri"/>
        <scheme val="none"/>
      </font>
    </dxf>
  </rfmt>
  <rfmt sheetId="1" sqref="AX87" start="0" length="0">
    <dxf>
      <font>
        <sz val="11"/>
        <color theme="1"/>
        <name val="Calibri"/>
        <scheme val="none"/>
      </font>
    </dxf>
  </rfmt>
  <rfmt sheetId="1" sqref="AY87" start="0" length="0">
    <dxf>
      <font>
        <sz val="11"/>
        <color theme="1"/>
        <name val="Calibri"/>
        <scheme val="none"/>
      </font>
    </dxf>
  </rfmt>
  <rfmt sheetId="1" sqref="A87:XFD87" start="0" length="0">
    <dxf>
      <font>
        <sz val="11"/>
        <color theme="1"/>
        <name val="Calibri"/>
        <scheme val="none"/>
      </font>
    </dxf>
  </rfmt>
  <rfmt sheetId="1" sqref="A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8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8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88" start="0" length="0">
    <dxf>
      <font>
        <sz val="11"/>
        <color theme="1"/>
        <name val="Calibri"/>
        <scheme val="none"/>
      </font>
    </dxf>
  </rfmt>
  <rfmt sheetId="1" sqref="AM88" start="0" length="0">
    <dxf>
      <font>
        <sz val="11"/>
        <color theme="1"/>
        <name val="Calibri"/>
        <scheme val="none"/>
      </font>
      <numFmt numFmtId="1" formatCode="0"/>
    </dxf>
  </rfmt>
  <rfmt sheetId="1" sqref="AN88" start="0" length="0">
    <dxf>
      <font>
        <sz val="11"/>
        <color theme="1"/>
        <name val="Calibri"/>
        <scheme val="none"/>
      </font>
      <numFmt numFmtId="1" formatCode="0"/>
    </dxf>
  </rfmt>
  <rfmt sheetId="1" sqref="AO88" start="0" length="0">
    <dxf>
      <font>
        <sz val="11"/>
        <color theme="1"/>
        <name val="Calibri"/>
        <scheme val="none"/>
      </font>
    </dxf>
  </rfmt>
  <rfmt sheetId="1" sqref="AP88" start="0" length="0">
    <dxf>
      <font>
        <sz val="11"/>
        <color theme="1"/>
        <name val="Calibri"/>
        <scheme val="none"/>
      </font>
    </dxf>
  </rfmt>
  <rfmt sheetId="1" sqref="AQ88" start="0" length="0">
    <dxf>
      <font>
        <sz val="11"/>
        <color theme="1"/>
        <name val="Calibri"/>
        <scheme val="none"/>
      </font>
      <numFmt numFmtId="164" formatCode="_-* #,##0_-;\-* #,##0_-;_-* &quot;-&quot;??_-;_-@_-"/>
    </dxf>
  </rfmt>
  <rfmt sheetId="1" sqref="AR88" start="0" length="0">
    <dxf>
      <font>
        <sz val="11"/>
        <color theme="1"/>
        <name val="Calibri"/>
        <scheme val="none"/>
      </font>
      <numFmt numFmtId="164" formatCode="_-* #,##0_-;\-* #,##0_-;_-* &quot;-&quot;??_-;_-@_-"/>
    </dxf>
  </rfmt>
  <rfmt sheetId="1" sqref="AS88" start="0" length="0">
    <dxf>
      <font>
        <sz val="11"/>
        <color theme="1"/>
        <name val="Calibri"/>
        <scheme val="none"/>
      </font>
      <numFmt numFmtId="164" formatCode="_-* #,##0_-;\-* #,##0_-;_-* &quot;-&quot;??_-;_-@_-"/>
    </dxf>
  </rfmt>
  <rfmt sheetId="1" sqref="AT88" start="0" length="0">
    <dxf>
      <font>
        <sz val="11"/>
        <color theme="1"/>
        <name val="Calibri"/>
        <scheme val="none"/>
      </font>
      <numFmt numFmtId="164" formatCode="_-* #,##0_-;\-* #,##0_-;_-* &quot;-&quot;??_-;_-@_-"/>
    </dxf>
  </rfmt>
  <rfmt sheetId="1" sqref="AU88" start="0" length="0">
    <dxf>
      <font>
        <sz val="11"/>
        <color theme="1"/>
        <name val="Calibri"/>
        <scheme val="none"/>
      </font>
    </dxf>
  </rfmt>
  <rfmt sheetId="1" sqref="AV88" start="0" length="0">
    <dxf>
      <font>
        <sz val="11"/>
        <color theme="1"/>
        <name val="Calibri"/>
        <scheme val="none"/>
      </font>
    </dxf>
  </rfmt>
  <rfmt sheetId="1" sqref="AW88" start="0" length="0">
    <dxf>
      <font>
        <sz val="11"/>
        <color theme="1"/>
        <name val="Calibri"/>
        <scheme val="none"/>
      </font>
    </dxf>
  </rfmt>
  <rfmt sheetId="1" sqref="AX88" start="0" length="0">
    <dxf>
      <font>
        <sz val="11"/>
        <color theme="1"/>
        <name val="Calibri"/>
        <scheme val="none"/>
      </font>
    </dxf>
  </rfmt>
  <rfmt sheetId="1" sqref="AY88" start="0" length="0">
    <dxf>
      <font>
        <sz val="11"/>
        <color theme="1"/>
        <name val="Calibri"/>
        <scheme val="none"/>
      </font>
    </dxf>
  </rfmt>
  <rfmt sheetId="1" sqref="A88:XFD88" start="0" length="0">
    <dxf>
      <font>
        <sz val="11"/>
        <color theme="1"/>
        <name val="Calibri"/>
        <scheme val="none"/>
      </font>
    </dxf>
  </rfmt>
  <rfmt sheetId="1" sqref="A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8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8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89" start="0" length="0">
    <dxf>
      <font>
        <sz val="11"/>
        <color theme="1"/>
        <name val="Calibri"/>
        <scheme val="none"/>
      </font>
    </dxf>
  </rfmt>
  <rfmt sheetId="1" sqref="AM89" start="0" length="0">
    <dxf>
      <font>
        <sz val="11"/>
        <color theme="1"/>
        <name val="Calibri"/>
        <scheme val="none"/>
      </font>
      <numFmt numFmtId="1" formatCode="0"/>
    </dxf>
  </rfmt>
  <rfmt sheetId="1" sqref="AN89" start="0" length="0">
    <dxf>
      <font>
        <sz val="11"/>
        <color theme="1"/>
        <name val="Calibri"/>
        <scheme val="none"/>
      </font>
      <numFmt numFmtId="1" formatCode="0"/>
    </dxf>
  </rfmt>
  <rfmt sheetId="1" sqref="AO89" start="0" length="0">
    <dxf>
      <font>
        <sz val="11"/>
        <color theme="1"/>
        <name val="Calibri"/>
        <scheme val="none"/>
      </font>
    </dxf>
  </rfmt>
  <rfmt sheetId="1" sqref="AP89" start="0" length="0">
    <dxf>
      <font>
        <sz val="11"/>
        <color theme="1"/>
        <name val="Calibri"/>
        <scheme val="none"/>
      </font>
    </dxf>
  </rfmt>
  <rfmt sheetId="1" sqref="AQ89" start="0" length="0">
    <dxf>
      <font>
        <sz val="11"/>
        <color theme="1"/>
        <name val="Calibri"/>
        <scheme val="none"/>
      </font>
      <numFmt numFmtId="164" formatCode="_-* #,##0_-;\-* #,##0_-;_-* &quot;-&quot;??_-;_-@_-"/>
    </dxf>
  </rfmt>
  <rfmt sheetId="1" sqref="AR89" start="0" length="0">
    <dxf>
      <font>
        <sz val="11"/>
        <color theme="1"/>
        <name val="Calibri"/>
        <scheme val="none"/>
      </font>
      <numFmt numFmtId="164" formatCode="_-* #,##0_-;\-* #,##0_-;_-* &quot;-&quot;??_-;_-@_-"/>
    </dxf>
  </rfmt>
  <rfmt sheetId="1" sqref="AS89" start="0" length="0">
    <dxf>
      <font>
        <sz val="11"/>
        <color theme="1"/>
        <name val="Calibri"/>
        <scheme val="none"/>
      </font>
      <numFmt numFmtId="164" formatCode="_-* #,##0_-;\-* #,##0_-;_-* &quot;-&quot;??_-;_-@_-"/>
    </dxf>
  </rfmt>
  <rfmt sheetId="1" sqref="AT89" start="0" length="0">
    <dxf>
      <font>
        <sz val="11"/>
        <color theme="1"/>
        <name val="Calibri"/>
        <scheme val="none"/>
      </font>
      <numFmt numFmtId="164" formatCode="_-* #,##0_-;\-* #,##0_-;_-* &quot;-&quot;??_-;_-@_-"/>
    </dxf>
  </rfmt>
  <rfmt sheetId="1" sqref="AU89" start="0" length="0">
    <dxf>
      <font>
        <sz val="11"/>
        <color theme="1"/>
        <name val="Calibri"/>
        <scheme val="none"/>
      </font>
    </dxf>
  </rfmt>
  <rfmt sheetId="1" sqref="AV89" start="0" length="0">
    <dxf>
      <font>
        <sz val="11"/>
        <color theme="1"/>
        <name val="Calibri"/>
        <scheme val="none"/>
      </font>
    </dxf>
  </rfmt>
  <rfmt sheetId="1" sqref="AW89" start="0" length="0">
    <dxf>
      <font>
        <sz val="11"/>
        <color theme="1"/>
        <name val="Calibri"/>
        <scheme val="none"/>
      </font>
    </dxf>
  </rfmt>
  <rfmt sheetId="1" sqref="AX89" start="0" length="0">
    <dxf>
      <font>
        <sz val="11"/>
        <color theme="1"/>
        <name val="Calibri"/>
        <scheme val="none"/>
      </font>
    </dxf>
  </rfmt>
  <rfmt sheetId="1" sqref="AY89" start="0" length="0">
    <dxf>
      <font>
        <sz val="11"/>
        <color theme="1"/>
        <name val="Calibri"/>
        <scheme val="none"/>
      </font>
    </dxf>
  </rfmt>
  <rfmt sheetId="1" sqref="A89:XFD89" start="0" length="0">
    <dxf>
      <font>
        <sz val="11"/>
        <color theme="1"/>
        <name val="Calibri"/>
        <scheme val="none"/>
      </font>
    </dxf>
  </rfmt>
  <rfmt sheetId="1" sqref="A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9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9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90" start="0" length="0">
    <dxf>
      <font>
        <sz val="11"/>
        <color theme="1"/>
        <name val="Calibri"/>
        <scheme val="none"/>
      </font>
    </dxf>
  </rfmt>
  <rfmt sheetId="1" sqref="AM90" start="0" length="0">
    <dxf>
      <font>
        <sz val="11"/>
        <color theme="1"/>
        <name val="Calibri"/>
        <scheme val="none"/>
      </font>
      <numFmt numFmtId="1" formatCode="0"/>
    </dxf>
  </rfmt>
  <rfmt sheetId="1" sqref="AN90" start="0" length="0">
    <dxf>
      <font>
        <sz val="11"/>
        <color theme="1"/>
        <name val="Calibri"/>
        <scheme val="none"/>
      </font>
      <numFmt numFmtId="1" formatCode="0"/>
    </dxf>
  </rfmt>
  <rfmt sheetId="1" sqref="AO90" start="0" length="0">
    <dxf>
      <font>
        <sz val="11"/>
        <color theme="1"/>
        <name val="Calibri"/>
        <scheme val="none"/>
      </font>
    </dxf>
  </rfmt>
  <rfmt sheetId="1" sqref="AP90" start="0" length="0">
    <dxf>
      <font>
        <sz val="11"/>
        <color theme="1"/>
        <name val="Calibri"/>
        <scheme val="none"/>
      </font>
    </dxf>
  </rfmt>
  <rfmt sheetId="1" sqref="AQ90" start="0" length="0">
    <dxf>
      <font>
        <sz val="11"/>
        <color theme="1"/>
        <name val="Calibri"/>
        <scheme val="none"/>
      </font>
      <numFmt numFmtId="164" formatCode="_-* #,##0_-;\-* #,##0_-;_-* &quot;-&quot;??_-;_-@_-"/>
    </dxf>
  </rfmt>
  <rfmt sheetId="1" sqref="AR90" start="0" length="0">
    <dxf>
      <font>
        <sz val="11"/>
        <color theme="1"/>
        <name val="Calibri"/>
        <scheme val="none"/>
      </font>
      <numFmt numFmtId="164" formatCode="_-* #,##0_-;\-* #,##0_-;_-* &quot;-&quot;??_-;_-@_-"/>
    </dxf>
  </rfmt>
  <rfmt sheetId="1" sqref="AS90" start="0" length="0">
    <dxf>
      <font>
        <sz val="11"/>
        <color theme="1"/>
        <name val="Calibri"/>
        <scheme val="none"/>
      </font>
      <numFmt numFmtId="164" formatCode="_-* #,##0_-;\-* #,##0_-;_-* &quot;-&quot;??_-;_-@_-"/>
    </dxf>
  </rfmt>
  <rfmt sheetId="1" sqref="AT90" start="0" length="0">
    <dxf>
      <font>
        <sz val="11"/>
        <color theme="1"/>
        <name val="Calibri"/>
        <scheme val="none"/>
      </font>
      <numFmt numFmtId="164" formatCode="_-* #,##0_-;\-* #,##0_-;_-* &quot;-&quot;??_-;_-@_-"/>
    </dxf>
  </rfmt>
  <rfmt sheetId="1" sqref="AU90" start="0" length="0">
    <dxf>
      <font>
        <sz val="11"/>
        <color theme="1"/>
        <name val="Calibri"/>
        <scheme val="none"/>
      </font>
    </dxf>
  </rfmt>
  <rfmt sheetId="1" sqref="AV90" start="0" length="0">
    <dxf>
      <font>
        <sz val="11"/>
        <color theme="1"/>
        <name val="Calibri"/>
        <scheme val="none"/>
      </font>
    </dxf>
  </rfmt>
  <rfmt sheetId="1" sqref="AW90" start="0" length="0">
    <dxf>
      <font>
        <sz val="11"/>
        <color theme="1"/>
        <name val="Calibri"/>
        <scheme val="none"/>
      </font>
    </dxf>
  </rfmt>
  <rfmt sheetId="1" sqref="AX90" start="0" length="0">
    <dxf>
      <font>
        <sz val="11"/>
        <color theme="1"/>
        <name val="Calibri"/>
        <scheme val="none"/>
      </font>
    </dxf>
  </rfmt>
  <rfmt sheetId="1" sqref="AY90" start="0" length="0">
    <dxf>
      <font>
        <sz val="11"/>
        <color theme="1"/>
        <name val="Calibri"/>
        <scheme val="none"/>
      </font>
    </dxf>
  </rfmt>
  <rfmt sheetId="1" sqref="A90:XFD90" start="0" length="0">
    <dxf>
      <font>
        <sz val="11"/>
        <color theme="1"/>
        <name val="Calibri"/>
        <scheme val="none"/>
      </font>
    </dxf>
  </rfmt>
  <rfmt sheetId="1" sqref="A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9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9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91" start="0" length="0">
    <dxf>
      <font>
        <sz val="11"/>
        <color theme="1"/>
        <name val="Calibri"/>
        <scheme val="none"/>
      </font>
    </dxf>
  </rfmt>
  <rfmt sheetId="1" sqref="AM91" start="0" length="0">
    <dxf>
      <font>
        <sz val="11"/>
        <color theme="1"/>
        <name val="Calibri"/>
        <scheme val="none"/>
      </font>
      <numFmt numFmtId="1" formatCode="0"/>
    </dxf>
  </rfmt>
  <rfmt sheetId="1" sqref="AN91" start="0" length="0">
    <dxf>
      <font>
        <sz val="11"/>
        <color theme="1"/>
        <name val="Calibri"/>
        <scheme val="none"/>
      </font>
      <numFmt numFmtId="1" formatCode="0"/>
    </dxf>
  </rfmt>
  <rfmt sheetId="1" sqref="AO91" start="0" length="0">
    <dxf>
      <font>
        <sz val="11"/>
        <color theme="1"/>
        <name val="Calibri"/>
        <scheme val="none"/>
      </font>
    </dxf>
  </rfmt>
  <rfmt sheetId="1" sqref="AP91" start="0" length="0">
    <dxf>
      <font>
        <sz val="11"/>
        <color theme="1"/>
        <name val="Calibri"/>
        <scheme val="none"/>
      </font>
    </dxf>
  </rfmt>
  <rfmt sheetId="1" sqref="AQ91" start="0" length="0">
    <dxf>
      <font>
        <sz val="11"/>
        <color theme="1"/>
        <name val="Calibri"/>
        <scheme val="none"/>
      </font>
      <numFmt numFmtId="164" formatCode="_-* #,##0_-;\-* #,##0_-;_-* &quot;-&quot;??_-;_-@_-"/>
    </dxf>
  </rfmt>
  <rfmt sheetId="1" sqref="AR91" start="0" length="0">
    <dxf>
      <font>
        <sz val="11"/>
        <color theme="1"/>
        <name val="Calibri"/>
        <scheme val="none"/>
      </font>
      <numFmt numFmtId="164" formatCode="_-* #,##0_-;\-* #,##0_-;_-* &quot;-&quot;??_-;_-@_-"/>
    </dxf>
  </rfmt>
  <rfmt sheetId="1" sqref="AS91" start="0" length="0">
    <dxf>
      <font>
        <sz val="11"/>
        <color theme="1"/>
        <name val="Calibri"/>
        <scheme val="none"/>
      </font>
      <numFmt numFmtId="164" formatCode="_-* #,##0_-;\-* #,##0_-;_-* &quot;-&quot;??_-;_-@_-"/>
    </dxf>
  </rfmt>
  <rfmt sheetId="1" sqref="AT91" start="0" length="0">
    <dxf>
      <font>
        <sz val="11"/>
        <color theme="1"/>
        <name val="Calibri"/>
        <scheme val="none"/>
      </font>
      <numFmt numFmtId="164" formatCode="_-* #,##0_-;\-* #,##0_-;_-* &quot;-&quot;??_-;_-@_-"/>
    </dxf>
  </rfmt>
  <rfmt sheetId="1" sqref="AU91" start="0" length="0">
    <dxf>
      <font>
        <sz val="11"/>
        <color theme="1"/>
        <name val="Calibri"/>
        <scheme val="none"/>
      </font>
    </dxf>
  </rfmt>
  <rfmt sheetId="1" sqref="AV91" start="0" length="0">
    <dxf>
      <font>
        <sz val="11"/>
        <color theme="1"/>
        <name val="Calibri"/>
        <scheme val="none"/>
      </font>
    </dxf>
  </rfmt>
  <rfmt sheetId="1" sqref="AW91" start="0" length="0">
    <dxf>
      <font>
        <sz val="11"/>
        <color theme="1"/>
        <name val="Calibri"/>
        <scheme val="none"/>
      </font>
    </dxf>
  </rfmt>
  <rfmt sheetId="1" sqref="AX91" start="0" length="0">
    <dxf>
      <font>
        <sz val="11"/>
        <color theme="1"/>
        <name val="Calibri"/>
        <scheme val="none"/>
      </font>
    </dxf>
  </rfmt>
  <rfmt sheetId="1" sqref="AY91" start="0" length="0">
    <dxf>
      <font>
        <sz val="11"/>
        <color theme="1"/>
        <name val="Calibri"/>
        <scheme val="none"/>
      </font>
    </dxf>
  </rfmt>
  <rfmt sheetId="1" sqref="A91:XFD91" start="0" length="0">
    <dxf>
      <font>
        <sz val="11"/>
        <color theme="1"/>
        <name val="Calibri"/>
        <scheme val="none"/>
      </font>
    </dxf>
  </rfmt>
  <rfmt sheetId="1" sqref="A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9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9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92" start="0" length="0">
    <dxf>
      <font>
        <sz val="11"/>
        <color theme="1"/>
        <name val="Calibri"/>
        <scheme val="none"/>
      </font>
    </dxf>
  </rfmt>
  <rfmt sheetId="1" sqref="AM92" start="0" length="0">
    <dxf>
      <font>
        <sz val="11"/>
        <color theme="1"/>
        <name val="Calibri"/>
        <scheme val="none"/>
      </font>
      <numFmt numFmtId="1" formatCode="0"/>
    </dxf>
  </rfmt>
  <rfmt sheetId="1" sqref="AN92" start="0" length="0">
    <dxf>
      <font>
        <sz val="11"/>
        <color theme="1"/>
        <name val="Calibri"/>
        <scheme val="none"/>
      </font>
      <numFmt numFmtId="1" formatCode="0"/>
    </dxf>
  </rfmt>
  <rfmt sheetId="1" sqref="AO92" start="0" length="0">
    <dxf>
      <font>
        <sz val="11"/>
        <color theme="1"/>
        <name val="Calibri"/>
        <scheme val="none"/>
      </font>
    </dxf>
  </rfmt>
  <rfmt sheetId="1" sqref="AP92" start="0" length="0">
    <dxf>
      <font>
        <sz val="11"/>
        <color theme="1"/>
        <name val="Calibri"/>
        <scheme val="none"/>
      </font>
    </dxf>
  </rfmt>
  <rfmt sheetId="1" sqref="AQ92" start="0" length="0">
    <dxf>
      <font>
        <sz val="11"/>
        <color theme="1"/>
        <name val="Calibri"/>
        <scheme val="none"/>
      </font>
      <numFmt numFmtId="164" formatCode="_-* #,##0_-;\-* #,##0_-;_-* &quot;-&quot;??_-;_-@_-"/>
    </dxf>
  </rfmt>
  <rfmt sheetId="1" sqref="AR92" start="0" length="0">
    <dxf>
      <font>
        <sz val="11"/>
        <color theme="1"/>
        <name val="Calibri"/>
        <scheme val="none"/>
      </font>
      <numFmt numFmtId="164" formatCode="_-* #,##0_-;\-* #,##0_-;_-* &quot;-&quot;??_-;_-@_-"/>
    </dxf>
  </rfmt>
  <rfmt sheetId="1" sqref="AS92" start="0" length="0">
    <dxf>
      <font>
        <sz val="11"/>
        <color theme="1"/>
        <name val="Calibri"/>
        <scheme val="none"/>
      </font>
      <numFmt numFmtId="164" formatCode="_-* #,##0_-;\-* #,##0_-;_-* &quot;-&quot;??_-;_-@_-"/>
    </dxf>
  </rfmt>
  <rfmt sheetId="1" sqref="AT92" start="0" length="0">
    <dxf>
      <font>
        <sz val="11"/>
        <color theme="1"/>
        <name val="Calibri"/>
        <scheme val="none"/>
      </font>
      <numFmt numFmtId="164" formatCode="_-* #,##0_-;\-* #,##0_-;_-* &quot;-&quot;??_-;_-@_-"/>
    </dxf>
  </rfmt>
  <rfmt sheetId="1" sqref="AU92" start="0" length="0">
    <dxf>
      <font>
        <sz val="11"/>
        <color theme="1"/>
        <name val="Calibri"/>
        <scheme val="none"/>
      </font>
    </dxf>
  </rfmt>
  <rfmt sheetId="1" sqref="AV92" start="0" length="0">
    <dxf>
      <font>
        <sz val="11"/>
        <color theme="1"/>
        <name val="Calibri"/>
        <scheme val="none"/>
      </font>
    </dxf>
  </rfmt>
  <rfmt sheetId="1" sqref="AW92" start="0" length="0">
    <dxf>
      <font>
        <sz val="11"/>
        <color theme="1"/>
        <name val="Calibri"/>
        <scheme val="none"/>
      </font>
    </dxf>
  </rfmt>
  <rfmt sheetId="1" sqref="AX92" start="0" length="0">
    <dxf>
      <font>
        <sz val="11"/>
        <color theme="1"/>
        <name val="Calibri"/>
        <scheme val="none"/>
      </font>
    </dxf>
  </rfmt>
  <rfmt sheetId="1" sqref="AY92" start="0" length="0">
    <dxf>
      <font>
        <sz val="11"/>
        <color theme="1"/>
        <name val="Calibri"/>
        <scheme val="none"/>
      </font>
    </dxf>
  </rfmt>
  <rfmt sheetId="1" sqref="A92:XFD92" start="0" length="0">
    <dxf>
      <font>
        <sz val="11"/>
        <color theme="1"/>
        <name val="Calibri"/>
        <scheme val="none"/>
      </font>
    </dxf>
  </rfmt>
  <rfmt sheetId="1" sqref="A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9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9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93" start="0" length="0">
    <dxf>
      <font>
        <sz val="11"/>
        <color theme="1"/>
        <name val="Calibri"/>
        <scheme val="none"/>
      </font>
    </dxf>
  </rfmt>
  <rfmt sheetId="1" sqref="AM93" start="0" length="0">
    <dxf>
      <font>
        <sz val="11"/>
        <color theme="1"/>
        <name val="Calibri"/>
        <scheme val="none"/>
      </font>
      <numFmt numFmtId="1" formatCode="0"/>
    </dxf>
  </rfmt>
  <rfmt sheetId="1" sqref="AN93" start="0" length="0">
    <dxf>
      <font>
        <sz val="11"/>
        <color theme="1"/>
        <name val="Calibri"/>
        <scheme val="none"/>
      </font>
      <numFmt numFmtId="1" formatCode="0"/>
    </dxf>
  </rfmt>
  <rfmt sheetId="1" sqref="AO93" start="0" length="0">
    <dxf>
      <font>
        <sz val="11"/>
        <color theme="1"/>
        <name val="Calibri"/>
        <scheme val="none"/>
      </font>
    </dxf>
  </rfmt>
  <rfmt sheetId="1" sqref="AP93" start="0" length="0">
    <dxf>
      <font>
        <sz val="11"/>
        <color theme="1"/>
        <name val="Calibri"/>
        <scheme val="none"/>
      </font>
    </dxf>
  </rfmt>
  <rfmt sheetId="1" sqref="AQ93" start="0" length="0">
    <dxf>
      <font>
        <sz val="11"/>
        <color theme="1"/>
        <name val="Calibri"/>
        <scheme val="none"/>
      </font>
      <numFmt numFmtId="164" formatCode="_-* #,##0_-;\-* #,##0_-;_-* &quot;-&quot;??_-;_-@_-"/>
    </dxf>
  </rfmt>
  <rfmt sheetId="1" sqref="AR93" start="0" length="0">
    <dxf>
      <font>
        <sz val="11"/>
        <color theme="1"/>
        <name val="Calibri"/>
        <scheme val="none"/>
      </font>
      <numFmt numFmtId="164" formatCode="_-* #,##0_-;\-* #,##0_-;_-* &quot;-&quot;??_-;_-@_-"/>
    </dxf>
  </rfmt>
  <rfmt sheetId="1" sqref="AS93" start="0" length="0">
    <dxf>
      <font>
        <sz val="11"/>
        <color theme="1"/>
        <name val="Calibri"/>
        <scheme val="none"/>
      </font>
      <numFmt numFmtId="164" formatCode="_-* #,##0_-;\-* #,##0_-;_-* &quot;-&quot;??_-;_-@_-"/>
    </dxf>
  </rfmt>
  <rfmt sheetId="1" sqref="AT93" start="0" length="0">
    <dxf>
      <font>
        <sz val="11"/>
        <color theme="1"/>
        <name val="Calibri"/>
        <scheme val="none"/>
      </font>
      <numFmt numFmtId="164" formatCode="_-* #,##0_-;\-* #,##0_-;_-* &quot;-&quot;??_-;_-@_-"/>
    </dxf>
  </rfmt>
  <rfmt sheetId="1" sqref="AU93" start="0" length="0">
    <dxf>
      <font>
        <sz val="11"/>
        <color theme="1"/>
        <name val="Calibri"/>
        <scheme val="none"/>
      </font>
    </dxf>
  </rfmt>
  <rfmt sheetId="1" sqref="AV93" start="0" length="0">
    <dxf>
      <font>
        <sz val="11"/>
        <color theme="1"/>
        <name val="Calibri"/>
        <scheme val="none"/>
      </font>
    </dxf>
  </rfmt>
  <rfmt sheetId="1" sqref="AW93" start="0" length="0">
    <dxf>
      <font>
        <sz val="11"/>
        <color theme="1"/>
        <name val="Calibri"/>
        <scheme val="none"/>
      </font>
    </dxf>
  </rfmt>
  <rfmt sheetId="1" sqref="AX93" start="0" length="0">
    <dxf>
      <font>
        <sz val="11"/>
        <color theme="1"/>
        <name val="Calibri"/>
        <scheme val="none"/>
      </font>
    </dxf>
  </rfmt>
  <rfmt sheetId="1" sqref="AY93" start="0" length="0">
    <dxf>
      <font>
        <sz val="11"/>
        <color theme="1"/>
        <name val="Calibri"/>
        <scheme val="none"/>
      </font>
    </dxf>
  </rfmt>
  <rfmt sheetId="1" sqref="A93:XFD93" start="0" length="0">
    <dxf>
      <font>
        <sz val="11"/>
        <color theme="1"/>
        <name val="Calibri"/>
        <scheme val="none"/>
      </font>
    </dxf>
  </rfmt>
  <rfmt sheetId="1" sqref="A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9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9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94" start="0" length="0">
    <dxf>
      <font>
        <sz val="11"/>
        <color theme="1"/>
        <name val="Calibri"/>
        <scheme val="none"/>
      </font>
    </dxf>
  </rfmt>
  <rfmt sheetId="1" sqref="AM94" start="0" length="0">
    <dxf>
      <font>
        <sz val="11"/>
        <color theme="1"/>
        <name val="Calibri"/>
        <scheme val="none"/>
      </font>
      <numFmt numFmtId="1" formatCode="0"/>
    </dxf>
  </rfmt>
  <rfmt sheetId="1" sqref="AN94" start="0" length="0">
    <dxf>
      <font>
        <sz val="11"/>
        <color theme="1"/>
        <name val="Calibri"/>
        <scheme val="none"/>
      </font>
      <numFmt numFmtId="1" formatCode="0"/>
    </dxf>
  </rfmt>
  <rfmt sheetId="1" sqref="AO94" start="0" length="0">
    <dxf>
      <font>
        <sz val="11"/>
        <color theme="1"/>
        <name val="Calibri"/>
        <scheme val="none"/>
      </font>
    </dxf>
  </rfmt>
  <rfmt sheetId="1" sqref="AP94" start="0" length="0">
    <dxf>
      <font>
        <sz val="11"/>
        <color theme="1"/>
        <name val="Calibri"/>
        <scheme val="none"/>
      </font>
    </dxf>
  </rfmt>
  <rfmt sheetId="1" sqref="AQ94" start="0" length="0">
    <dxf>
      <font>
        <sz val="11"/>
        <color theme="1"/>
        <name val="Calibri"/>
        <scheme val="none"/>
      </font>
      <numFmt numFmtId="164" formatCode="_-* #,##0_-;\-* #,##0_-;_-* &quot;-&quot;??_-;_-@_-"/>
    </dxf>
  </rfmt>
  <rfmt sheetId="1" sqref="AR94" start="0" length="0">
    <dxf>
      <font>
        <sz val="11"/>
        <color theme="1"/>
        <name val="Calibri"/>
        <scheme val="none"/>
      </font>
      <numFmt numFmtId="164" formatCode="_-* #,##0_-;\-* #,##0_-;_-* &quot;-&quot;??_-;_-@_-"/>
    </dxf>
  </rfmt>
  <rfmt sheetId="1" sqref="AS94" start="0" length="0">
    <dxf>
      <font>
        <sz val="11"/>
        <color theme="1"/>
        <name val="Calibri"/>
        <scheme val="none"/>
      </font>
      <numFmt numFmtId="164" formatCode="_-* #,##0_-;\-* #,##0_-;_-* &quot;-&quot;??_-;_-@_-"/>
    </dxf>
  </rfmt>
  <rfmt sheetId="1" sqref="AT94" start="0" length="0">
    <dxf>
      <font>
        <sz val="11"/>
        <color theme="1"/>
        <name val="Calibri"/>
        <scheme val="none"/>
      </font>
      <numFmt numFmtId="164" formatCode="_-* #,##0_-;\-* #,##0_-;_-* &quot;-&quot;??_-;_-@_-"/>
    </dxf>
  </rfmt>
  <rfmt sheetId="1" sqref="AU94" start="0" length="0">
    <dxf>
      <font>
        <sz val="11"/>
        <color theme="1"/>
        <name val="Calibri"/>
        <scheme val="none"/>
      </font>
    </dxf>
  </rfmt>
  <rfmt sheetId="1" sqref="AV94" start="0" length="0">
    <dxf>
      <font>
        <sz val="11"/>
        <color theme="1"/>
        <name val="Calibri"/>
        <scheme val="none"/>
      </font>
    </dxf>
  </rfmt>
  <rfmt sheetId="1" sqref="AW94" start="0" length="0">
    <dxf>
      <font>
        <sz val="11"/>
        <color theme="1"/>
        <name val="Calibri"/>
        <scheme val="none"/>
      </font>
    </dxf>
  </rfmt>
  <rfmt sheetId="1" sqref="AX94" start="0" length="0">
    <dxf>
      <font>
        <sz val="11"/>
        <color theme="1"/>
        <name val="Calibri"/>
        <scheme val="none"/>
      </font>
    </dxf>
  </rfmt>
  <rfmt sheetId="1" sqref="AY94" start="0" length="0">
    <dxf>
      <font>
        <sz val="11"/>
        <color theme="1"/>
        <name val="Calibri"/>
        <scheme val="none"/>
      </font>
    </dxf>
  </rfmt>
  <rfmt sheetId="1" sqref="A94:XFD94" start="0" length="0">
    <dxf>
      <font>
        <sz val="11"/>
        <color theme="1"/>
        <name val="Calibri"/>
        <scheme val="none"/>
      </font>
    </dxf>
  </rfmt>
  <rfmt sheetId="1" sqref="A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9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9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95" start="0" length="0">
    <dxf>
      <font>
        <sz val="11"/>
        <color theme="1"/>
        <name val="Calibri"/>
        <scheme val="none"/>
      </font>
    </dxf>
  </rfmt>
  <rfmt sheetId="1" sqref="AM95" start="0" length="0">
    <dxf>
      <font>
        <sz val="11"/>
        <color theme="1"/>
        <name val="Calibri"/>
        <scheme val="none"/>
      </font>
      <numFmt numFmtId="1" formatCode="0"/>
    </dxf>
  </rfmt>
  <rfmt sheetId="1" sqref="AN95" start="0" length="0">
    <dxf>
      <font>
        <sz val="11"/>
        <color theme="1"/>
        <name val="Calibri"/>
        <scheme val="none"/>
      </font>
      <numFmt numFmtId="1" formatCode="0"/>
    </dxf>
  </rfmt>
  <rfmt sheetId="1" sqref="AO95" start="0" length="0">
    <dxf>
      <font>
        <sz val="11"/>
        <color theme="1"/>
        <name val="Calibri"/>
        <scheme val="none"/>
      </font>
    </dxf>
  </rfmt>
  <rfmt sheetId="1" sqref="AP95" start="0" length="0">
    <dxf>
      <font>
        <sz val="11"/>
        <color theme="1"/>
        <name val="Calibri"/>
        <scheme val="none"/>
      </font>
    </dxf>
  </rfmt>
  <rfmt sheetId="1" sqref="AQ95" start="0" length="0">
    <dxf>
      <font>
        <sz val="11"/>
        <color theme="1"/>
        <name val="Calibri"/>
        <scheme val="none"/>
      </font>
      <numFmt numFmtId="164" formatCode="_-* #,##0_-;\-* #,##0_-;_-* &quot;-&quot;??_-;_-@_-"/>
    </dxf>
  </rfmt>
  <rfmt sheetId="1" sqref="AR95" start="0" length="0">
    <dxf>
      <font>
        <sz val="11"/>
        <color theme="1"/>
        <name val="Calibri"/>
        <scheme val="none"/>
      </font>
      <numFmt numFmtId="164" formatCode="_-* #,##0_-;\-* #,##0_-;_-* &quot;-&quot;??_-;_-@_-"/>
    </dxf>
  </rfmt>
  <rfmt sheetId="1" sqref="AS95" start="0" length="0">
    <dxf>
      <font>
        <sz val="11"/>
        <color theme="1"/>
        <name val="Calibri"/>
        <scheme val="none"/>
      </font>
      <numFmt numFmtId="164" formatCode="_-* #,##0_-;\-* #,##0_-;_-* &quot;-&quot;??_-;_-@_-"/>
    </dxf>
  </rfmt>
  <rfmt sheetId="1" sqref="AT95" start="0" length="0">
    <dxf>
      <font>
        <sz val="11"/>
        <color theme="1"/>
        <name val="Calibri"/>
        <scheme val="none"/>
      </font>
      <numFmt numFmtId="164" formatCode="_-* #,##0_-;\-* #,##0_-;_-* &quot;-&quot;??_-;_-@_-"/>
    </dxf>
  </rfmt>
  <rfmt sheetId="1" sqref="AU95" start="0" length="0">
    <dxf>
      <font>
        <sz val="11"/>
        <color theme="1"/>
        <name val="Calibri"/>
        <scheme val="none"/>
      </font>
    </dxf>
  </rfmt>
  <rfmt sheetId="1" sqref="AV95" start="0" length="0">
    <dxf>
      <font>
        <sz val="11"/>
        <color theme="1"/>
        <name val="Calibri"/>
        <scheme val="none"/>
      </font>
    </dxf>
  </rfmt>
  <rfmt sheetId="1" sqref="AW95" start="0" length="0">
    <dxf>
      <font>
        <sz val="11"/>
        <color theme="1"/>
        <name val="Calibri"/>
        <scheme val="none"/>
      </font>
    </dxf>
  </rfmt>
  <rfmt sheetId="1" sqref="AX95" start="0" length="0">
    <dxf>
      <font>
        <sz val="11"/>
        <color theme="1"/>
        <name val="Calibri"/>
        <scheme val="none"/>
      </font>
    </dxf>
  </rfmt>
  <rfmt sheetId="1" sqref="AY95" start="0" length="0">
    <dxf>
      <font>
        <sz val="11"/>
        <color theme="1"/>
        <name val="Calibri"/>
        <scheme val="none"/>
      </font>
    </dxf>
  </rfmt>
  <rfmt sheetId="1" sqref="A95:XFD95" start="0" length="0">
    <dxf>
      <font>
        <sz val="11"/>
        <color theme="1"/>
        <name val="Calibri"/>
        <scheme val="none"/>
      </font>
    </dxf>
  </rfmt>
  <rfmt sheetId="1" sqref="A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9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9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96" start="0" length="0">
    <dxf>
      <font>
        <sz val="11"/>
        <color theme="1"/>
        <name val="Calibri"/>
        <scheme val="none"/>
      </font>
    </dxf>
  </rfmt>
  <rfmt sheetId="1" sqref="AM96" start="0" length="0">
    <dxf>
      <font>
        <sz val="11"/>
        <color theme="1"/>
        <name val="Calibri"/>
        <scheme val="none"/>
      </font>
      <numFmt numFmtId="1" formatCode="0"/>
    </dxf>
  </rfmt>
  <rfmt sheetId="1" sqref="AN96" start="0" length="0">
    <dxf>
      <font>
        <sz val="11"/>
        <color theme="1"/>
        <name val="Calibri"/>
        <scheme val="none"/>
      </font>
      <numFmt numFmtId="1" formatCode="0"/>
    </dxf>
  </rfmt>
  <rfmt sheetId="1" sqref="AO96" start="0" length="0">
    <dxf>
      <font>
        <sz val="11"/>
        <color theme="1"/>
        <name val="Calibri"/>
        <scheme val="none"/>
      </font>
    </dxf>
  </rfmt>
  <rfmt sheetId="1" sqref="AP96" start="0" length="0">
    <dxf>
      <font>
        <sz val="11"/>
        <color theme="1"/>
        <name val="Calibri"/>
        <scheme val="none"/>
      </font>
    </dxf>
  </rfmt>
  <rfmt sheetId="1" sqref="AQ96" start="0" length="0">
    <dxf>
      <font>
        <sz val="11"/>
        <color theme="1"/>
        <name val="Calibri"/>
        <scheme val="none"/>
      </font>
      <numFmt numFmtId="164" formatCode="_-* #,##0_-;\-* #,##0_-;_-* &quot;-&quot;??_-;_-@_-"/>
    </dxf>
  </rfmt>
  <rfmt sheetId="1" sqref="AR96" start="0" length="0">
    <dxf>
      <font>
        <sz val="11"/>
        <color theme="1"/>
        <name val="Calibri"/>
        <scheme val="none"/>
      </font>
      <numFmt numFmtId="164" formatCode="_-* #,##0_-;\-* #,##0_-;_-* &quot;-&quot;??_-;_-@_-"/>
    </dxf>
  </rfmt>
  <rfmt sheetId="1" sqref="AS96" start="0" length="0">
    <dxf>
      <font>
        <sz val="11"/>
        <color theme="1"/>
        <name val="Calibri"/>
        <scheme val="none"/>
      </font>
      <numFmt numFmtId="164" formatCode="_-* #,##0_-;\-* #,##0_-;_-* &quot;-&quot;??_-;_-@_-"/>
    </dxf>
  </rfmt>
  <rfmt sheetId="1" sqref="AT96" start="0" length="0">
    <dxf>
      <font>
        <sz val="11"/>
        <color theme="1"/>
        <name val="Calibri"/>
        <scheme val="none"/>
      </font>
      <numFmt numFmtId="164" formatCode="_-* #,##0_-;\-* #,##0_-;_-* &quot;-&quot;??_-;_-@_-"/>
    </dxf>
  </rfmt>
  <rfmt sheetId="1" sqref="AU96" start="0" length="0">
    <dxf>
      <font>
        <sz val="11"/>
        <color theme="1"/>
        <name val="Calibri"/>
        <scheme val="none"/>
      </font>
    </dxf>
  </rfmt>
  <rfmt sheetId="1" sqref="AV96" start="0" length="0">
    <dxf>
      <font>
        <sz val="11"/>
        <color theme="1"/>
        <name val="Calibri"/>
        <scheme val="none"/>
      </font>
    </dxf>
  </rfmt>
  <rfmt sheetId="1" sqref="AW96" start="0" length="0">
    <dxf>
      <font>
        <sz val="11"/>
        <color theme="1"/>
        <name val="Calibri"/>
        <scheme val="none"/>
      </font>
    </dxf>
  </rfmt>
  <rfmt sheetId="1" sqref="AX96" start="0" length="0">
    <dxf>
      <font>
        <sz val="11"/>
        <color theme="1"/>
        <name val="Calibri"/>
        <scheme val="none"/>
      </font>
    </dxf>
  </rfmt>
  <rfmt sheetId="1" sqref="AY96" start="0" length="0">
    <dxf>
      <font>
        <sz val="11"/>
        <color theme="1"/>
        <name val="Calibri"/>
        <scheme val="none"/>
      </font>
    </dxf>
  </rfmt>
  <rfmt sheetId="1" sqref="A96:XFD96" start="0" length="0">
    <dxf>
      <font>
        <sz val="11"/>
        <color theme="1"/>
        <name val="Calibri"/>
        <scheme val="none"/>
      </font>
    </dxf>
  </rfmt>
  <rfmt sheetId="1" sqref="A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9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9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97" start="0" length="0">
    <dxf>
      <font>
        <sz val="11"/>
        <color theme="1"/>
        <name val="Calibri"/>
        <scheme val="none"/>
      </font>
    </dxf>
  </rfmt>
  <rfmt sheetId="1" sqref="AM97" start="0" length="0">
    <dxf>
      <font>
        <sz val="11"/>
        <color theme="1"/>
        <name val="Calibri"/>
        <scheme val="none"/>
      </font>
      <numFmt numFmtId="1" formatCode="0"/>
    </dxf>
  </rfmt>
  <rfmt sheetId="1" sqref="AN97" start="0" length="0">
    <dxf>
      <font>
        <sz val="11"/>
        <color theme="1"/>
        <name val="Calibri"/>
        <scheme val="none"/>
      </font>
      <numFmt numFmtId="1" formatCode="0"/>
    </dxf>
  </rfmt>
  <rfmt sheetId="1" sqref="AO97" start="0" length="0">
    <dxf>
      <font>
        <sz val="11"/>
        <color theme="1"/>
        <name val="Calibri"/>
        <scheme val="none"/>
      </font>
    </dxf>
  </rfmt>
  <rfmt sheetId="1" sqref="AP97" start="0" length="0">
    <dxf>
      <font>
        <sz val="11"/>
        <color theme="1"/>
        <name val="Calibri"/>
        <scheme val="none"/>
      </font>
    </dxf>
  </rfmt>
  <rfmt sheetId="1" sqref="AQ97" start="0" length="0">
    <dxf>
      <font>
        <sz val="11"/>
        <color theme="1"/>
        <name val="Calibri"/>
        <scheme val="none"/>
      </font>
      <numFmt numFmtId="164" formatCode="_-* #,##0_-;\-* #,##0_-;_-* &quot;-&quot;??_-;_-@_-"/>
    </dxf>
  </rfmt>
  <rfmt sheetId="1" sqref="AR97" start="0" length="0">
    <dxf>
      <font>
        <sz val="11"/>
        <color theme="1"/>
        <name val="Calibri"/>
        <scheme val="none"/>
      </font>
      <numFmt numFmtId="164" formatCode="_-* #,##0_-;\-* #,##0_-;_-* &quot;-&quot;??_-;_-@_-"/>
    </dxf>
  </rfmt>
  <rfmt sheetId="1" sqref="AS97" start="0" length="0">
    <dxf>
      <font>
        <sz val="11"/>
        <color theme="1"/>
        <name val="Calibri"/>
        <scheme val="none"/>
      </font>
      <numFmt numFmtId="164" formatCode="_-* #,##0_-;\-* #,##0_-;_-* &quot;-&quot;??_-;_-@_-"/>
    </dxf>
  </rfmt>
  <rfmt sheetId="1" sqref="AT97" start="0" length="0">
    <dxf>
      <font>
        <sz val="11"/>
        <color theme="1"/>
        <name val="Calibri"/>
        <scheme val="none"/>
      </font>
      <numFmt numFmtId="164" formatCode="_-* #,##0_-;\-* #,##0_-;_-* &quot;-&quot;??_-;_-@_-"/>
    </dxf>
  </rfmt>
  <rfmt sheetId="1" sqref="AU97" start="0" length="0">
    <dxf>
      <font>
        <sz val="11"/>
        <color theme="1"/>
        <name val="Calibri"/>
        <scheme val="none"/>
      </font>
    </dxf>
  </rfmt>
  <rfmt sheetId="1" sqref="AV97" start="0" length="0">
    <dxf>
      <font>
        <sz val="11"/>
        <color theme="1"/>
        <name val="Calibri"/>
        <scheme val="none"/>
      </font>
    </dxf>
  </rfmt>
  <rfmt sheetId="1" sqref="AW97" start="0" length="0">
    <dxf>
      <font>
        <sz val="11"/>
        <color theme="1"/>
        <name val="Calibri"/>
        <scheme val="none"/>
      </font>
    </dxf>
  </rfmt>
  <rfmt sheetId="1" sqref="AX97" start="0" length="0">
    <dxf>
      <font>
        <sz val="11"/>
        <color theme="1"/>
        <name val="Calibri"/>
        <scheme val="none"/>
      </font>
    </dxf>
  </rfmt>
  <rfmt sheetId="1" sqref="AY97" start="0" length="0">
    <dxf>
      <font>
        <sz val="11"/>
        <color theme="1"/>
        <name val="Calibri"/>
        <scheme val="none"/>
      </font>
    </dxf>
  </rfmt>
  <rfmt sheetId="1" sqref="A97:XFD97" start="0" length="0">
    <dxf>
      <font>
        <sz val="11"/>
        <color theme="1"/>
        <name val="Calibri"/>
        <scheme val="none"/>
      </font>
    </dxf>
  </rfmt>
  <rfmt sheetId="1" sqref="A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9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9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98" start="0" length="0">
    <dxf>
      <font>
        <sz val="11"/>
        <color theme="1"/>
        <name val="Calibri"/>
        <scheme val="none"/>
      </font>
    </dxf>
  </rfmt>
  <rfmt sheetId="1" sqref="AM98" start="0" length="0">
    <dxf>
      <font>
        <sz val="11"/>
        <color theme="1"/>
        <name val="Calibri"/>
        <scheme val="none"/>
      </font>
      <numFmt numFmtId="1" formatCode="0"/>
    </dxf>
  </rfmt>
  <rfmt sheetId="1" sqref="AN98" start="0" length="0">
    <dxf>
      <font>
        <sz val="11"/>
        <color theme="1"/>
        <name val="Calibri"/>
        <scheme val="none"/>
      </font>
      <numFmt numFmtId="1" formatCode="0"/>
    </dxf>
  </rfmt>
  <rfmt sheetId="1" sqref="AO98" start="0" length="0">
    <dxf>
      <font>
        <sz val="11"/>
        <color theme="1"/>
        <name val="Calibri"/>
        <scheme val="none"/>
      </font>
    </dxf>
  </rfmt>
  <rfmt sheetId="1" sqref="AP98" start="0" length="0">
    <dxf>
      <font>
        <sz val="11"/>
        <color theme="1"/>
        <name val="Calibri"/>
        <scheme val="none"/>
      </font>
    </dxf>
  </rfmt>
  <rfmt sheetId="1" sqref="AQ98" start="0" length="0">
    <dxf>
      <font>
        <sz val="11"/>
        <color theme="1"/>
        <name val="Calibri"/>
        <scheme val="none"/>
      </font>
      <numFmt numFmtId="164" formatCode="_-* #,##0_-;\-* #,##0_-;_-* &quot;-&quot;??_-;_-@_-"/>
    </dxf>
  </rfmt>
  <rfmt sheetId="1" sqref="AR98" start="0" length="0">
    <dxf>
      <font>
        <sz val="11"/>
        <color theme="1"/>
        <name val="Calibri"/>
        <scheme val="none"/>
      </font>
      <numFmt numFmtId="164" formatCode="_-* #,##0_-;\-* #,##0_-;_-* &quot;-&quot;??_-;_-@_-"/>
    </dxf>
  </rfmt>
  <rfmt sheetId="1" sqref="AS98" start="0" length="0">
    <dxf>
      <font>
        <sz val="11"/>
        <color theme="1"/>
        <name val="Calibri"/>
        <scheme val="none"/>
      </font>
      <numFmt numFmtId="164" formatCode="_-* #,##0_-;\-* #,##0_-;_-* &quot;-&quot;??_-;_-@_-"/>
    </dxf>
  </rfmt>
  <rfmt sheetId="1" sqref="AT98" start="0" length="0">
    <dxf>
      <font>
        <sz val="11"/>
        <color theme="1"/>
        <name val="Calibri"/>
        <scheme val="none"/>
      </font>
      <numFmt numFmtId="164" formatCode="_-* #,##0_-;\-* #,##0_-;_-* &quot;-&quot;??_-;_-@_-"/>
    </dxf>
  </rfmt>
  <rfmt sheetId="1" sqref="AU98" start="0" length="0">
    <dxf>
      <font>
        <sz val="11"/>
        <color theme="1"/>
        <name val="Calibri"/>
        <scheme val="none"/>
      </font>
    </dxf>
  </rfmt>
  <rfmt sheetId="1" sqref="AV98" start="0" length="0">
    <dxf>
      <font>
        <sz val="11"/>
        <color theme="1"/>
        <name val="Calibri"/>
        <scheme val="none"/>
      </font>
    </dxf>
  </rfmt>
  <rfmt sheetId="1" sqref="AW98" start="0" length="0">
    <dxf>
      <font>
        <sz val="11"/>
        <color theme="1"/>
        <name val="Calibri"/>
        <scheme val="none"/>
      </font>
    </dxf>
  </rfmt>
  <rfmt sheetId="1" sqref="AX98" start="0" length="0">
    <dxf>
      <font>
        <sz val="11"/>
        <color theme="1"/>
        <name val="Calibri"/>
        <scheme val="none"/>
      </font>
    </dxf>
  </rfmt>
  <rfmt sheetId="1" sqref="AY98" start="0" length="0">
    <dxf>
      <font>
        <sz val="11"/>
        <color theme="1"/>
        <name val="Calibri"/>
        <scheme val="none"/>
      </font>
    </dxf>
  </rfmt>
  <rfmt sheetId="1" sqref="A98:XFD98" start="0" length="0">
    <dxf>
      <font>
        <sz val="11"/>
        <color theme="1"/>
        <name val="Calibri"/>
        <scheme val="none"/>
      </font>
    </dxf>
  </rfmt>
  <rfmt sheetId="1" sqref="A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9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9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99" start="0" length="0">
    <dxf>
      <font>
        <sz val="11"/>
        <color theme="1"/>
        <name val="Calibri"/>
        <scheme val="none"/>
      </font>
    </dxf>
  </rfmt>
  <rfmt sheetId="1" sqref="AM99" start="0" length="0">
    <dxf>
      <font>
        <sz val="11"/>
        <color theme="1"/>
        <name val="Calibri"/>
        <scheme val="none"/>
      </font>
      <numFmt numFmtId="1" formatCode="0"/>
    </dxf>
  </rfmt>
  <rfmt sheetId="1" sqref="AN99" start="0" length="0">
    <dxf>
      <font>
        <sz val="11"/>
        <color theme="1"/>
        <name val="Calibri"/>
        <scheme val="none"/>
      </font>
      <numFmt numFmtId="1" formatCode="0"/>
    </dxf>
  </rfmt>
  <rfmt sheetId="1" sqref="AO99" start="0" length="0">
    <dxf>
      <font>
        <sz val="11"/>
        <color theme="1"/>
        <name val="Calibri"/>
        <scheme val="none"/>
      </font>
    </dxf>
  </rfmt>
  <rfmt sheetId="1" sqref="AP99" start="0" length="0">
    <dxf>
      <font>
        <sz val="11"/>
        <color theme="1"/>
        <name val="Calibri"/>
        <scheme val="none"/>
      </font>
    </dxf>
  </rfmt>
  <rfmt sheetId="1" sqref="AQ99" start="0" length="0">
    <dxf>
      <font>
        <sz val="11"/>
        <color theme="1"/>
        <name val="Calibri"/>
        <scheme val="none"/>
      </font>
      <numFmt numFmtId="164" formatCode="_-* #,##0_-;\-* #,##0_-;_-* &quot;-&quot;??_-;_-@_-"/>
    </dxf>
  </rfmt>
  <rfmt sheetId="1" sqref="AR99" start="0" length="0">
    <dxf>
      <font>
        <sz val="11"/>
        <color theme="1"/>
        <name val="Calibri"/>
        <scheme val="none"/>
      </font>
      <numFmt numFmtId="164" formatCode="_-* #,##0_-;\-* #,##0_-;_-* &quot;-&quot;??_-;_-@_-"/>
    </dxf>
  </rfmt>
  <rfmt sheetId="1" sqref="AS99" start="0" length="0">
    <dxf>
      <font>
        <sz val="11"/>
        <color theme="1"/>
        <name val="Calibri"/>
        <scheme val="none"/>
      </font>
      <numFmt numFmtId="164" formatCode="_-* #,##0_-;\-* #,##0_-;_-* &quot;-&quot;??_-;_-@_-"/>
    </dxf>
  </rfmt>
  <rfmt sheetId="1" sqref="AT99" start="0" length="0">
    <dxf>
      <font>
        <sz val="11"/>
        <color theme="1"/>
        <name val="Calibri"/>
        <scheme val="none"/>
      </font>
      <numFmt numFmtId="164" formatCode="_-* #,##0_-;\-* #,##0_-;_-* &quot;-&quot;??_-;_-@_-"/>
    </dxf>
  </rfmt>
  <rfmt sheetId="1" sqref="AU99" start="0" length="0">
    <dxf>
      <font>
        <sz val="11"/>
        <color theme="1"/>
        <name val="Calibri"/>
        <scheme val="none"/>
      </font>
    </dxf>
  </rfmt>
  <rfmt sheetId="1" sqref="AV99" start="0" length="0">
    <dxf>
      <font>
        <sz val="11"/>
        <color theme="1"/>
        <name val="Calibri"/>
        <scheme val="none"/>
      </font>
    </dxf>
  </rfmt>
  <rfmt sheetId="1" sqref="AW99" start="0" length="0">
    <dxf>
      <font>
        <sz val="11"/>
        <color theme="1"/>
        <name val="Calibri"/>
        <scheme val="none"/>
      </font>
    </dxf>
  </rfmt>
  <rfmt sheetId="1" sqref="AX99" start="0" length="0">
    <dxf>
      <font>
        <sz val="11"/>
        <color theme="1"/>
        <name val="Calibri"/>
        <scheme val="none"/>
      </font>
    </dxf>
  </rfmt>
  <rfmt sheetId="1" sqref="AY99" start="0" length="0">
    <dxf>
      <font>
        <sz val="11"/>
        <color theme="1"/>
        <name val="Calibri"/>
        <scheme val="none"/>
      </font>
    </dxf>
  </rfmt>
  <rfmt sheetId="1" sqref="A99:XFD99" start="0" length="0">
    <dxf>
      <font>
        <sz val="11"/>
        <color theme="1"/>
        <name val="Calibri"/>
        <scheme val="none"/>
      </font>
    </dxf>
  </rfmt>
  <rfmt sheetId="1" sqref="A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0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0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00" start="0" length="0">
    <dxf>
      <font>
        <sz val="11"/>
        <color theme="1"/>
        <name val="Calibri"/>
        <scheme val="none"/>
      </font>
    </dxf>
  </rfmt>
  <rfmt sheetId="1" sqref="AM100" start="0" length="0">
    <dxf>
      <font>
        <sz val="11"/>
        <color theme="1"/>
        <name val="Calibri"/>
        <scheme val="none"/>
      </font>
      <numFmt numFmtId="1" formatCode="0"/>
    </dxf>
  </rfmt>
  <rfmt sheetId="1" sqref="AN100" start="0" length="0">
    <dxf>
      <font>
        <sz val="11"/>
        <color theme="1"/>
        <name val="Calibri"/>
        <scheme val="none"/>
      </font>
      <numFmt numFmtId="1" formatCode="0"/>
    </dxf>
  </rfmt>
  <rfmt sheetId="1" sqref="AO100" start="0" length="0">
    <dxf>
      <font>
        <sz val="11"/>
        <color theme="1"/>
        <name val="Calibri"/>
        <scheme val="none"/>
      </font>
    </dxf>
  </rfmt>
  <rfmt sheetId="1" sqref="AP100" start="0" length="0">
    <dxf>
      <font>
        <sz val="11"/>
        <color theme="1"/>
        <name val="Calibri"/>
        <scheme val="none"/>
      </font>
    </dxf>
  </rfmt>
  <rfmt sheetId="1" sqref="AQ100" start="0" length="0">
    <dxf>
      <font>
        <sz val="11"/>
        <color theme="1"/>
        <name val="Calibri"/>
        <scheme val="none"/>
      </font>
      <numFmt numFmtId="164" formatCode="_-* #,##0_-;\-* #,##0_-;_-* &quot;-&quot;??_-;_-@_-"/>
    </dxf>
  </rfmt>
  <rfmt sheetId="1" sqref="AR100" start="0" length="0">
    <dxf>
      <font>
        <sz val="11"/>
        <color theme="1"/>
        <name val="Calibri"/>
        <scheme val="none"/>
      </font>
      <numFmt numFmtId="164" formatCode="_-* #,##0_-;\-* #,##0_-;_-* &quot;-&quot;??_-;_-@_-"/>
    </dxf>
  </rfmt>
  <rfmt sheetId="1" sqref="AS100" start="0" length="0">
    <dxf>
      <font>
        <sz val="11"/>
        <color theme="1"/>
        <name val="Calibri"/>
        <scheme val="none"/>
      </font>
      <numFmt numFmtId="164" formatCode="_-* #,##0_-;\-* #,##0_-;_-* &quot;-&quot;??_-;_-@_-"/>
    </dxf>
  </rfmt>
  <rfmt sheetId="1" sqref="AT100" start="0" length="0">
    <dxf>
      <font>
        <sz val="11"/>
        <color theme="1"/>
        <name val="Calibri"/>
        <scheme val="none"/>
      </font>
      <numFmt numFmtId="164" formatCode="_-* #,##0_-;\-* #,##0_-;_-* &quot;-&quot;??_-;_-@_-"/>
    </dxf>
  </rfmt>
  <rfmt sheetId="1" sqref="AU100" start="0" length="0">
    <dxf>
      <font>
        <sz val="11"/>
        <color theme="1"/>
        <name val="Calibri"/>
        <scheme val="none"/>
      </font>
    </dxf>
  </rfmt>
  <rfmt sheetId="1" sqref="AV100" start="0" length="0">
    <dxf>
      <font>
        <sz val="11"/>
        <color theme="1"/>
        <name val="Calibri"/>
        <scheme val="none"/>
      </font>
    </dxf>
  </rfmt>
  <rfmt sheetId="1" sqref="AW100" start="0" length="0">
    <dxf>
      <font>
        <sz val="11"/>
        <color theme="1"/>
        <name val="Calibri"/>
        <scheme val="none"/>
      </font>
    </dxf>
  </rfmt>
  <rfmt sheetId="1" sqref="AX100" start="0" length="0">
    <dxf>
      <font>
        <sz val="11"/>
        <color theme="1"/>
        <name val="Calibri"/>
        <scheme val="none"/>
      </font>
    </dxf>
  </rfmt>
  <rfmt sheetId="1" sqref="AY100" start="0" length="0">
    <dxf>
      <font>
        <sz val="11"/>
        <color theme="1"/>
        <name val="Calibri"/>
        <scheme val="none"/>
      </font>
    </dxf>
  </rfmt>
  <rfmt sheetId="1" sqref="A100:XFD100" start="0" length="0">
    <dxf>
      <font>
        <sz val="11"/>
        <color theme="1"/>
        <name val="Calibri"/>
        <scheme val="none"/>
      </font>
    </dxf>
  </rfmt>
  <rfmt sheetId="1" sqref="A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0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0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01" start="0" length="0">
    <dxf>
      <font>
        <sz val="11"/>
        <color theme="1"/>
        <name val="Calibri"/>
        <scheme val="none"/>
      </font>
    </dxf>
  </rfmt>
  <rfmt sheetId="1" sqref="AM101" start="0" length="0">
    <dxf>
      <font>
        <sz val="11"/>
        <color theme="1"/>
        <name val="Calibri"/>
        <scheme val="none"/>
      </font>
      <numFmt numFmtId="1" formatCode="0"/>
    </dxf>
  </rfmt>
  <rfmt sheetId="1" sqref="AN101" start="0" length="0">
    <dxf>
      <font>
        <sz val="11"/>
        <color theme="1"/>
        <name val="Calibri"/>
        <scheme val="none"/>
      </font>
      <numFmt numFmtId="1" formatCode="0"/>
    </dxf>
  </rfmt>
  <rfmt sheetId="1" sqref="AO101" start="0" length="0">
    <dxf>
      <font>
        <sz val="11"/>
        <color theme="1"/>
        <name val="Calibri"/>
        <scheme val="none"/>
      </font>
    </dxf>
  </rfmt>
  <rfmt sheetId="1" sqref="AP101" start="0" length="0">
    <dxf>
      <font>
        <sz val="11"/>
        <color theme="1"/>
        <name val="Calibri"/>
        <scheme val="none"/>
      </font>
    </dxf>
  </rfmt>
  <rfmt sheetId="1" sqref="AQ101" start="0" length="0">
    <dxf>
      <font>
        <sz val="11"/>
        <color theme="1"/>
        <name val="Calibri"/>
        <scheme val="none"/>
      </font>
      <numFmt numFmtId="164" formatCode="_-* #,##0_-;\-* #,##0_-;_-* &quot;-&quot;??_-;_-@_-"/>
    </dxf>
  </rfmt>
  <rfmt sheetId="1" sqref="AR101" start="0" length="0">
    <dxf>
      <font>
        <sz val="11"/>
        <color theme="1"/>
        <name val="Calibri"/>
        <scheme val="none"/>
      </font>
      <numFmt numFmtId="164" formatCode="_-* #,##0_-;\-* #,##0_-;_-* &quot;-&quot;??_-;_-@_-"/>
    </dxf>
  </rfmt>
  <rfmt sheetId="1" sqref="AS101" start="0" length="0">
    <dxf>
      <font>
        <sz val="11"/>
        <color theme="1"/>
        <name val="Calibri"/>
        <scheme val="none"/>
      </font>
      <numFmt numFmtId="164" formatCode="_-* #,##0_-;\-* #,##0_-;_-* &quot;-&quot;??_-;_-@_-"/>
    </dxf>
  </rfmt>
  <rfmt sheetId="1" sqref="AT101" start="0" length="0">
    <dxf>
      <font>
        <sz val="11"/>
        <color theme="1"/>
        <name val="Calibri"/>
        <scheme val="none"/>
      </font>
      <numFmt numFmtId="164" formatCode="_-* #,##0_-;\-* #,##0_-;_-* &quot;-&quot;??_-;_-@_-"/>
    </dxf>
  </rfmt>
  <rfmt sheetId="1" sqref="AU101" start="0" length="0">
    <dxf>
      <font>
        <sz val="11"/>
        <color theme="1"/>
        <name val="Calibri"/>
        <scheme val="none"/>
      </font>
    </dxf>
  </rfmt>
  <rfmt sheetId="1" sqref="AV101" start="0" length="0">
    <dxf>
      <font>
        <sz val="11"/>
        <color theme="1"/>
        <name val="Calibri"/>
        <scheme val="none"/>
      </font>
    </dxf>
  </rfmt>
  <rfmt sheetId="1" sqref="AW101" start="0" length="0">
    <dxf>
      <font>
        <sz val="11"/>
        <color theme="1"/>
        <name val="Calibri"/>
        <scheme val="none"/>
      </font>
    </dxf>
  </rfmt>
  <rfmt sheetId="1" sqref="AX101" start="0" length="0">
    <dxf>
      <font>
        <sz val="11"/>
        <color theme="1"/>
        <name val="Calibri"/>
        <scheme val="none"/>
      </font>
    </dxf>
  </rfmt>
  <rfmt sheetId="1" sqref="AY101" start="0" length="0">
    <dxf>
      <font>
        <sz val="11"/>
        <color theme="1"/>
        <name val="Calibri"/>
        <scheme val="none"/>
      </font>
    </dxf>
  </rfmt>
  <rfmt sheetId="1" sqref="A101:XFD101" start="0" length="0">
    <dxf>
      <font>
        <sz val="11"/>
        <color theme="1"/>
        <name val="Calibri"/>
        <scheme val="none"/>
      </font>
    </dxf>
  </rfmt>
  <rfmt sheetId="1" sqref="A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0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0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02" start="0" length="0">
    <dxf>
      <font>
        <sz val="11"/>
        <color theme="1"/>
        <name val="Calibri"/>
        <scheme val="none"/>
      </font>
    </dxf>
  </rfmt>
  <rfmt sheetId="1" sqref="AM102" start="0" length="0">
    <dxf>
      <font>
        <sz val="11"/>
        <color theme="1"/>
        <name val="Calibri"/>
        <scheme val="none"/>
      </font>
      <numFmt numFmtId="1" formatCode="0"/>
    </dxf>
  </rfmt>
  <rfmt sheetId="1" sqref="AN102" start="0" length="0">
    <dxf>
      <font>
        <sz val="11"/>
        <color theme="1"/>
        <name val="Calibri"/>
        <scheme val="none"/>
      </font>
      <numFmt numFmtId="1" formatCode="0"/>
    </dxf>
  </rfmt>
  <rfmt sheetId="1" sqref="AO102" start="0" length="0">
    <dxf>
      <font>
        <sz val="11"/>
        <color theme="1"/>
        <name val="Calibri"/>
        <scheme val="none"/>
      </font>
    </dxf>
  </rfmt>
  <rfmt sheetId="1" sqref="AP102" start="0" length="0">
    <dxf>
      <font>
        <sz val="11"/>
        <color theme="1"/>
        <name val="Calibri"/>
        <scheme val="none"/>
      </font>
    </dxf>
  </rfmt>
  <rfmt sheetId="1" sqref="AQ102" start="0" length="0">
    <dxf>
      <font>
        <sz val="11"/>
        <color theme="1"/>
        <name val="Calibri"/>
        <scheme val="none"/>
      </font>
      <numFmt numFmtId="164" formatCode="_-* #,##0_-;\-* #,##0_-;_-* &quot;-&quot;??_-;_-@_-"/>
    </dxf>
  </rfmt>
  <rfmt sheetId="1" sqref="AR102" start="0" length="0">
    <dxf>
      <font>
        <sz val="11"/>
        <color theme="1"/>
        <name val="Calibri"/>
        <scheme val="none"/>
      </font>
      <numFmt numFmtId="164" formatCode="_-* #,##0_-;\-* #,##0_-;_-* &quot;-&quot;??_-;_-@_-"/>
    </dxf>
  </rfmt>
  <rfmt sheetId="1" sqref="AS102" start="0" length="0">
    <dxf>
      <font>
        <sz val="11"/>
        <color theme="1"/>
        <name val="Calibri"/>
        <scheme val="none"/>
      </font>
      <numFmt numFmtId="164" formatCode="_-* #,##0_-;\-* #,##0_-;_-* &quot;-&quot;??_-;_-@_-"/>
    </dxf>
  </rfmt>
  <rfmt sheetId="1" sqref="AT102" start="0" length="0">
    <dxf>
      <font>
        <sz val="11"/>
        <color theme="1"/>
        <name val="Calibri"/>
        <scheme val="none"/>
      </font>
      <numFmt numFmtId="164" formatCode="_-* #,##0_-;\-* #,##0_-;_-* &quot;-&quot;??_-;_-@_-"/>
    </dxf>
  </rfmt>
  <rfmt sheetId="1" sqref="AU102" start="0" length="0">
    <dxf>
      <font>
        <sz val="11"/>
        <color theme="1"/>
        <name val="Calibri"/>
        <scheme val="none"/>
      </font>
    </dxf>
  </rfmt>
  <rfmt sheetId="1" sqref="AV102" start="0" length="0">
    <dxf>
      <font>
        <sz val="11"/>
        <color theme="1"/>
        <name val="Calibri"/>
        <scheme val="none"/>
      </font>
    </dxf>
  </rfmt>
  <rfmt sheetId="1" sqref="AW102" start="0" length="0">
    <dxf>
      <font>
        <sz val="11"/>
        <color theme="1"/>
        <name val="Calibri"/>
        <scheme val="none"/>
      </font>
    </dxf>
  </rfmt>
  <rfmt sheetId="1" sqref="AX102" start="0" length="0">
    <dxf>
      <font>
        <sz val="11"/>
        <color theme="1"/>
        <name val="Calibri"/>
        <scheme val="none"/>
      </font>
    </dxf>
  </rfmt>
  <rfmt sheetId="1" sqref="AY102" start="0" length="0">
    <dxf>
      <font>
        <sz val="11"/>
        <color theme="1"/>
        <name val="Calibri"/>
        <scheme val="none"/>
      </font>
    </dxf>
  </rfmt>
  <rfmt sheetId="1" sqref="A102:XFD102" start="0" length="0">
    <dxf>
      <font>
        <sz val="11"/>
        <color theme="1"/>
        <name val="Calibri"/>
        <scheme val="none"/>
      </font>
    </dxf>
  </rfmt>
  <rfmt sheetId="1" sqref="A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0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0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03" start="0" length="0">
    <dxf>
      <font>
        <sz val="11"/>
        <color theme="1"/>
        <name val="Calibri"/>
        <scheme val="none"/>
      </font>
    </dxf>
  </rfmt>
  <rfmt sheetId="1" sqref="AM103" start="0" length="0">
    <dxf>
      <font>
        <sz val="11"/>
        <color theme="1"/>
        <name val="Calibri"/>
        <scheme val="none"/>
      </font>
      <numFmt numFmtId="1" formatCode="0"/>
    </dxf>
  </rfmt>
  <rfmt sheetId="1" sqref="AN103" start="0" length="0">
    <dxf>
      <font>
        <sz val="11"/>
        <color theme="1"/>
        <name val="Calibri"/>
        <scheme val="none"/>
      </font>
      <numFmt numFmtId="1" formatCode="0"/>
    </dxf>
  </rfmt>
  <rfmt sheetId="1" sqref="AO103" start="0" length="0">
    <dxf>
      <font>
        <sz val="11"/>
        <color theme="1"/>
        <name val="Calibri"/>
        <scheme val="none"/>
      </font>
    </dxf>
  </rfmt>
  <rfmt sheetId="1" sqref="AP103" start="0" length="0">
    <dxf>
      <font>
        <sz val="11"/>
        <color theme="1"/>
        <name val="Calibri"/>
        <scheme val="none"/>
      </font>
    </dxf>
  </rfmt>
  <rfmt sheetId="1" sqref="AQ103" start="0" length="0">
    <dxf>
      <font>
        <sz val="11"/>
        <color theme="1"/>
        <name val="Calibri"/>
        <scheme val="none"/>
      </font>
      <numFmt numFmtId="164" formatCode="_-* #,##0_-;\-* #,##0_-;_-* &quot;-&quot;??_-;_-@_-"/>
    </dxf>
  </rfmt>
  <rfmt sheetId="1" sqref="AR103" start="0" length="0">
    <dxf>
      <font>
        <sz val="11"/>
        <color theme="1"/>
        <name val="Calibri"/>
        <scheme val="none"/>
      </font>
      <numFmt numFmtId="164" formatCode="_-* #,##0_-;\-* #,##0_-;_-* &quot;-&quot;??_-;_-@_-"/>
    </dxf>
  </rfmt>
  <rfmt sheetId="1" sqref="AS103" start="0" length="0">
    <dxf>
      <font>
        <sz val="11"/>
        <color theme="1"/>
        <name val="Calibri"/>
        <scheme val="none"/>
      </font>
      <numFmt numFmtId="164" formatCode="_-* #,##0_-;\-* #,##0_-;_-* &quot;-&quot;??_-;_-@_-"/>
    </dxf>
  </rfmt>
  <rfmt sheetId="1" sqref="AT103" start="0" length="0">
    <dxf>
      <font>
        <sz val="11"/>
        <color theme="1"/>
        <name val="Calibri"/>
        <scheme val="none"/>
      </font>
      <numFmt numFmtId="164" formatCode="_-* #,##0_-;\-* #,##0_-;_-* &quot;-&quot;??_-;_-@_-"/>
    </dxf>
  </rfmt>
  <rfmt sheetId="1" sqref="AU103" start="0" length="0">
    <dxf>
      <font>
        <sz val="11"/>
        <color theme="1"/>
        <name val="Calibri"/>
        <scheme val="none"/>
      </font>
    </dxf>
  </rfmt>
  <rfmt sheetId="1" sqref="AV103" start="0" length="0">
    <dxf>
      <font>
        <sz val="11"/>
        <color theme="1"/>
        <name val="Calibri"/>
        <scheme val="none"/>
      </font>
    </dxf>
  </rfmt>
  <rfmt sheetId="1" sqref="AW103" start="0" length="0">
    <dxf>
      <font>
        <sz val="11"/>
        <color theme="1"/>
        <name val="Calibri"/>
        <scheme val="none"/>
      </font>
    </dxf>
  </rfmt>
  <rfmt sheetId="1" sqref="AX103" start="0" length="0">
    <dxf>
      <font>
        <sz val="11"/>
        <color theme="1"/>
        <name val="Calibri"/>
        <scheme val="none"/>
      </font>
    </dxf>
  </rfmt>
  <rfmt sheetId="1" sqref="AY103" start="0" length="0">
    <dxf>
      <font>
        <sz val="11"/>
        <color theme="1"/>
        <name val="Calibri"/>
        <scheme val="none"/>
      </font>
    </dxf>
  </rfmt>
  <rfmt sheetId="1" sqref="A103:XFD103" start="0" length="0">
    <dxf>
      <font>
        <sz val="11"/>
        <color theme="1"/>
        <name val="Calibri"/>
        <scheme val="none"/>
      </font>
    </dxf>
  </rfmt>
  <rfmt sheetId="1" sqref="A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0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0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04" start="0" length="0">
    <dxf>
      <font>
        <sz val="11"/>
        <color theme="1"/>
        <name val="Calibri"/>
        <scheme val="none"/>
      </font>
    </dxf>
  </rfmt>
  <rfmt sheetId="1" sqref="AM104" start="0" length="0">
    <dxf>
      <font>
        <sz val="11"/>
        <color theme="1"/>
        <name val="Calibri"/>
        <scheme val="none"/>
      </font>
      <numFmt numFmtId="1" formatCode="0"/>
    </dxf>
  </rfmt>
  <rfmt sheetId="1" sqref="AN104" start="0" length="0">
    <dxf>
      <font>
        <sz val="11"/>
        <color theme="1"/>
        <name val="Calibri"/>
        <scheme val="none"/>
      </font>
      <numFmt numFmtId="1" formatCode="0"/>
    </dxf>
  </rfmt>
  <rfmt sheetId="1" sqref="AO104" start="0" length="0">
    <dxf>
      <font>
        <sz val="11"/>
        <color theme="1"/>
        <name val="Calibri"/>
        <scheme val="none"/>
      </font>
    </dxf>
  </rfmt>
  <rfmt sheetId="1" sqref="AP104" start="0" length="0">
    <dxf>
      <font>
        <sz val="11"/>
        <color theme="1"/>
        <name val="Calibri"/>
        <scheme val="none"/>
      </font>
    </dxf>
  </rfmt>
  <rfmt sheetId="1" sqref="AQ104" start="0" length="0">
    <dxf>
      <font>
        <sz val="11"/>
        <color theme="1"/>
        <name val="Calibri"/>
        <scheme val="none"/>
      </font>
      <numFmt numFmtId="164" formatCode="_-* #,##0_-;\-* #,##0_-;_-* &quot;-&quot;??_-;_-@_-"/>
    </dxf>
  </rfmt>
  <rfmt sheetId="1" sqref="AR104" start="0" length="0">
    <dxf>
      <font>
        <sz val="11"/>
        <color theme="1"/>
        <name val="Calibri"/>
        <scheme val="none"/>
      </font>
      <numFmt numFmtId="164" formatCode="_-* #,##0_-;\-* #,##0_-;_-* &quot;-&quot;??_-;_-@_-"/>
    </dxf>
  </rfmt>
  <rfmt sheetId="1" sqref="AS104" start="0" length="0">
    <dxf>
      <font>
        <sz val="11"/>
        <color theme="1"/>
        <name val="Calibri"/>
        <scheme val="none"/>
      </font>
      <numFmt numFmtId="164" formatCode="_-* #,##0_-;\-* #,##0_-;_-* &quot;-&quot;??_-;_-@_-"/>
    </dxf>
  </rfmt>
  <rfmt sheetId="1" sqref="AT104" start="0" length="0">
    <dxf>
      <font>
        <sz val="11"/>
        <color theme="1"/>
        <name val="Calibri"/>
        <scheme val="none"/>
      </font>
      <numFmt numFmtId="164" formatCode="_-* #,##0_-;\-* #,##0_-;_-* &quot;-&quot;??_-;_-@_-"/>
    </dxf>
  </rfmt>
  <rfmt sheetId="1" sqref="AU104" start="0" length="0">
    <dxf>
      <font>
        <sz val="11"/>
        <color theme="1"/>
        <name val="Calibri"/>
        <scheme val="none"/>
      </font>
    </dxf>
  </rfmt>
  <rfmt sheetId="1" sqref="AV104" start="0" length="0">
    <dxf>
      <font>
        <sz val="11"/>
        <color theme="1"/>
        <name val="Calibri"/>
        <scheme val="none"/>
      </font>
    </dxf>
  </rfmt>
  <rfmt sheetId="1" sqref="AW104" start="0" length="0">
    <dxf>
      <font>
        <sz val="11"/>
        <color theme="1"/>
        <name val="Calibri"/>
        <scheme val="none"/>
      </font>
    </dxf>
  </rfmt>
  <rfmt sheetId="1" sqref="AX104" start="0" length="0">
    <dxf>
      <font>
        <sz val="11"/>
        <color theme="1"/>
        <name val="Calibri"/>
        <scheme val="none"/>
      </font>
    </dxf>
  </rfmt>
  <rfmt sheetId="1" sqref="AY104" start="0" length="0">
    <dxf>
      <font>
        <sz val="11"/>
        <color theme="1"/>
        <name val="Calibri"/>
        <scheme val="none"/>
      </font>
    </dxf>
  </rfmt>
  <rfmt sheetId="1" sqref="A104:XFD104" start="0" length="0">
    <dxf>
      <font>
        <sz val="11"/>
        <color theme="1"/>
        <name val="Calibri"/>
        <scheme val="none"/>
      </font>
    </dxf>
  </rfmt>
  <rfmt sheetId="1" sqref="A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0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0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05" start="0" length="0">
    <dxf>
      <font>
        <sz val="11"/>
        <color theme="1"/>
        <name val="Calibri"/>
        <scheme val="none"/>
      </font>
    </dxf>
  </rfmt>
  <rfmt sheetId="1" sqref="AM105" start="0" length="0">
    <dxf>
      <font>
        <sz val="11"/>
        <color theme="1"/>
        <name val="Calibri"/>
        <scheme val="none"/>
      </font>
      <numFmt numFmtId="1" formatCode="0"/>
    </dxf>
  </rfmt>
  <rfmt sheetId="1" sqref="AN105" start="0" length="0">
    <dxf>
      <font>
        <sz val="11"/>
        <color theme="1"/>
        <name val="Calibri"/>
        <scheme val="none"/>
      </font>
      <numFmt numFmtId="1" formatCode="0"/>
    </dxf>
  </rfmt>
  <rfmt sheetId="1" sqref="AO105" start="0" length="0">
    <dxf>
      <font>
        <sz val="11"/>
        <color theme="1"/>
        <name val="Calibri"/>
        <scheme val="none"/>
      </font>
    </dxf>
  </rfmt>
  <rfmt sheetId="1" sqref="AP105" start="0" length="0">
    <dxf>
      <font>
        <sz val="11"/>
        <color theme="1"/>
        <name val="Calibri"/>
        <scheme val="none"/>
      </font>
    </dxf>
  </rfmt>
  <rfmt sheetId="1" sqref="AQ105" start="0" length="0">
    <dxf>
      <font>
        <sz val="11"/>
        <color theme="1"/>
        <name val="Calibri"/>
        <scheme val="none"/>
      </font>
      <numFmt numFmtId="164" formatCode="_-* #,##0_-;\-* #,##0_-;_-* &quot;-&quot;??_-;_-@_-"/>
    </dxf>
  </rfmt>
  <rfmt sheetId="1" sqref="AR105" start="0" length="0">
    <dxf>
      <font>
        <sz val="11"/>
        <color theme="1"/>
        <name val="Calibri"/>
        <scheme val="none"/>
      </font>
      <numFmt numFmtId="164" formatCode="_-* #,##0_-;\-* #,##0_-;_-* &quot;-&quot;??_-;_-@_-"/>
    </dxf>
  </rfmt>
  <rfmt sheetId="1" sqref="AS105" start="0" length="0">
    <dxf>
      <font>
        <sz val="11"/>
        <color theme="1"/>
        <name val="Calibri"/>
        <scheme val="none"/>
      </font>
      <numFmt numFmtId="164" formatCode="_-* #,##0_-;\-* #,##0_-;_-* &quot;-&quot;??_-;_-@_-"/>
    </dxf>
  </rfmt>
  <rfmt sheetId="1" sqref="AT105" start="0" length="0">
    <dxf>
      <font>
        <sz val="11"/>
        <color theme="1"/>
        <name val="Calibri"/>
        <scheme val="none"/>
      </font>
      <numFmt numFmtId="164" formatCode="_-* #,##0_-;\-* #,##0_-;_-* &quot;-&quot;??_-;_-@_-"/>
    </dxf>
  </rfmt>
  <rfmt sheetId="1" sqref="AU105" start="0" length="0">
    <dxf>
      <font>
        <sz val="11"/>
        <color theme="1"/>
        <name val="Calibri"/>
        <scheme val="none"/>
      </font>
    </dxf>
  </rfmt>
  <rfmt sheetId="1" sqref="AV105" start="0" length="0">
    <dxf>
      <font>
        <sz val="11"/>
        <color theme="1"/>
        <name val="Calibri"/>
        <scheme val="none"/>
      </font>
    </dxf>
  </rfmt>
  <rfmt sheetId="1" sqref="AW105" start="0" length="0">
    <dxf>
      <font>
        <sz val="11"/>
        <color theme="1"/>
        <name val="Calibri"/>
        <scheme val="none"/>
      </font>
    </dxf>
  </rfmt>
  <rfmt sheetId="1" sqref="AX105" start="0" length="0">
    <dxf>
      <font>
        <sz val="11"/>
        <color theme="1"/>
        <name val="Calibri"/>
        <scheme val="none"/>
      </font>
    </dxf>
  </rfmt>
  <rfmt sheetId="1" sqref="AY105" start="0" length="0">
    <dxf>
      <font>
        <sz val="11"/>
        <color theme="1"/>
        <name val="Calibri"/>
        <scheme val="none"/>
      </font>
    </dxf>
  </rfmt>
  <rfmt sheetId="1" sqref="A105:XFD105" start="0" length="0">
    <dxf>
      <font>
        <sz val="11"/>
        <color theme="1"/>
        <name val="Calibri"/>
        <scheme val="none"/>
      </font>
    </dxf>
  </rfmt>
  <rfmt sheetId="1" sqref="A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0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0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06" start="0" length="0">
    <dxf>
      <font>
        <sz val="11"/>
        <color theme="1"/>
        <name val="Calibri"/>
        <scheme val="none"/>
      </font>
    </dxf>
  </rfmt>
  <rfmt sheetId="1" sqref="AM106" start="0" length="0">
    <dxf>
      <font>
        <sz val="11"/>
        <color theme="1"/>
        <name val="Calibri"/>
        <scheme val="none"/>
      </font>
      <numFmt numFmtId="1" formatCode="0"/>
    </dxf>
  </rfmt>
  <rfmt sheetId="1" sqref="AN106" start="0" length="0">
    <dxf>
      <font>
        <sz val="11"/>
        <color theme="1"/>
        <name val="Calibri"/>
        <scheme val="none"/>
      </font>
      <numFmt numFmtId="1" formatCode="0"/>
    </dxf>
  </rfmt>
  <rfmt sheetId="1" sqref="AO106" start="0" length="0">
    <dxf>
      <font>
        <sz val="11"/>
        <color theme="1"/>
        <name val="Calibri"/>
        <scheme val="none"/>
      </font>
    </dxf>
  </rfmt>
  <rfmt sheetId="1" sqref="AP106" start="0" length="0">
    <dxf>
      <font>
        <sz val="11"/>
        <color theme="1"/>
        <name val="Calibri"/>
        <scheme val="none"/>
      </font>
    </dxf>
  </rfmt>
  <rfmt sheetId="1" sqref="AQ106" start="0" length="0">
    <dxf>
      <font>
        <sz val="11"/>
        <color theme="1"/>
        <name val="Calibri"/>
        <scheme val="none"/>
      </font>
      <numFmt numFmtId="164" formatCode="_-* #,##0_-;\-* #,##0_-;_-* &quot;-&quot;??_-;_-@_-"/>
    </dxf>
  </rfmt>
  <rfmt sheetId="1" sqref="AR106" start="0" length="0">
    <dxf>
      <font>
        <sz val="11"/>
        <color theme="1"/>
        <name val="Calibri"/>
        <scheme val="none"/>
      </font>
      <numFmt numFmtId="164" formatCode="_-* #,##0_-;\-* #,##0_-;_-* &quot;-&quot;??_-;_-@_-"/>
    </dxf>
  </rfmt>
  <rfmt sheetId="1" sqref="AS106" start="0" length="0">
    <dxf>
      <font>
        <sz val="11"/>
        <color theme="1"/>
        <name val="Calibri"/>
        <scheme val="none"/>
      </font>
      <numFmt numFmtId="164" formatCode="_-* #,##0_-;\-* #,##0_-;_-* &quot;-&quot;??_-;_-@_-"/>
    </dxf>
  </rfmt>
  <rfmt sheetId="1" sqref="AT106" start="0" length="0">
    <dxf>
      <font>
        <sz val="11"/>
        <color theme="1"/>
        <name val="Calibri"/>
        <scheme val="none"/>
      </font>
      <numFmt numFmtId="164" formatCode="_-* #,##0_-;\-* #,##0_-;_-* &quot;-&quot;??_-;_-@_-"/>
    </dxf>
  </rfmt>
  <rfmt sheetId="1" sqref="AU106" start="0" length="0">
    <dxf>
      <font>
        <sz val="11"/>
        <color theme="1"/>
        <name val="Calibri"/>
        <scheme val="none"/>
      </font>
    </dxf>
  </rfmt>
  <rfmt sheetId="1" sqref="AV106" start="0" length="0">
    <dxf>
      <font>
        <sz val="11"/>
        <color theme="1"/>
        <name val="Calibri"/>
        <scheme val="none"/>
      </font>
    </dxf>
  </rfmt>
  <rfmt sheetId="1" sqref="AW106" start="0" length="0">
    <dxf>
      <font>
        <sz val="11"/>
        <color theme="1"/>
        <name val="Calibri"/>
        <scheme val="none"/>
      </font>
    </dxf>
  </rfmt>
  <rfmt sheetId="1" sqref="AX106" start="0" length="0">
    <dxf>
      <font>
        <sz val="11"/>
        <color theme="1"/>
        <name val="Calibri"/>
        <scheme val="none"/>
      </font>
    </dxf>
  </rfmt>
  <rfmt sheetId="1" sqref="AY106" start="0" length="0">
    <dxf>
      <font>
        <sz val="11"/>
        <color theme="1"/>
        <name val="Calibri"/>
        <scheme val="none"/>
      </font>
    </dxf>
  </rfmt>
  <rfmt sheetId="1" sqref="A106:XFD106" start="0" length="0">
    <dxf>
      <font>
        <sz val="11"/>
        <color theme="1"/>
        <name val="Calibri"/>
        <scheme val="none"/>
      </font>
    </dxf>
  </rfmt>
  <rfmt sheetId="1" sqref="A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0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0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07" start="0" length="0">
    <dxf>
      <font>
        <sz val="11"/>
        <color theme="1"/>
        <name val="Calibri"/>
        <scheme val="none"/>
      </font>
    </dxf>
  </rfmt>
  <rfmt sheetId="1" sqref="AM107" start="0" length="0">
    <dxf>
      <font>
        <sz val="11"/>
        <color theme="1"/>
        <name val="Calibri"/>
        <scheme val="none"/>
      </font>
      <numFmt numFmtId="1" formatCode="0"/>
    </dxf>
  </rfmt>
  <rfmt sheetId="1" sqref="AN107" start="0" length="0">
    <dxf>
      <font>
        <sz val="11"/>
        <color theme="1"/>
        <name val="Calibri"/>
        <scheme val="none"/>
      </font>
      <numFmt numFmtId="1" formatCode="0"/>
    </dxf>
  </rfmt>
  <rfmt sheetId="1" sqref="AO107" start="0" length="0">
    <dxf>
      <font>
        <sz val="11"/>
        <color theme="1"/>
        <name val="Calibri"/>
        <scheme val="none"/>
      </font>
    </dxf>
  </rfmt>
  <rfmt sheetId="1" sqref="AP107" start="0" length="0">
    <dxf>
      <font>
        <sz val="11"/>
        <color theme="1"/>
        <name val="Calibri"/>
        <scheme val="none"/>
      </font>
    </dxf>
  </rfmt>
  <rfmt sheetId="1" sqref="AQ107" start="0" length="0">
    <dxf>
      <font>
        <sz val="11"/>
        <color theme="1"/>
        <name val="Calibri"/>
        <scheme val="none"/>
      </font>
      <numFmt numFmtId="164" formatCode="_-* #,##0_-;\-* #,##0_-;_-* &quot;-&quot;??_-;_-@_-"/>
    </dxf>
  </rfmt>
  <rfmt sheetId="1" sqref="AR107" start="0" length="0">
    <dxf>
      <font>
        <sz val="11"/>
        <color theme="1"/>
        <name val="Calibri"/>
        <scheme val="none"/>
      </font>
      <numFmt numFmtId="164" formatCode="_-* #,##0_-;\-* #,##0_-;_-* &quot;-&quot;??_-;_-@_-"/>
    </dxf>
  </rfmt>
  <rfmt sheetId="1" sqref="AS107" start="0" length="0">
    <dxf>
      <font>
        <sz val="11"/>
        <color theme="1"/>
        <name val="Calibri"/>
        <scheme val="none"/>
      </font>
      <numFmt numFmtId="164" formatCode="_-* #,##0_-;\-* #,##0_-;_-* &quot;-&quot;??_-;_-@_-"/>
    </dxf>
  </rfmt>
  <rfmt sheetId="1" sqref="AT107" start="0" length="0">
    <dxf>
      <font>
        <sz val="11"/>
        <color theme="1"/>
        <name val="Calibri"/>
        <scheme val="none"/>
      </font>
      <numFmt numFmtId="164" formatCode="_-* #,##0_-;\-* #,##0_-;_-* &quot;-&quot;??_-;_-@_-"/>
    </dxf>
  </rfmt>
  <rfmt sheetId="1" sqref="AU107" start="0" length="0">
    <dxf>
      <font>
        <sz val="11"/>
        <color theme="1"/>
        <name val="Calibri"/>
        <scheme val="none"/>
      </font>
    </dxf>
  </rfmt>
  <rfmt sheetId="1" sqref="AV107" start="0" length="0">
    <dxf>
      <font>
        <sz val="11"/>
        <color theme="1"/>
        <name val="Calibri"/>
        <scheme val="none"/>
      </font>
    </dxf>
  </rfmt>
  <rfmt sheetId="1" sqref="AW107" start="0" length="0">
    <dxf>
      <font>
        <sz val="11"/>
        <color theme="1"/>
        <name val="Calibri"/>
        <scheme val="none"/>
      </font>
    </dxf>
  </rfmt>
  <rfmt sheetId="1" sqref="AX107" start="0" length="0">
    <dxf>
      <font>
        <sz val="11"/>
        <color theme="1"/>
        <name val="Calibri"/>
        <scheme val="none"/>
      </font>
    </dxf>
  </rfmt>
  <rfmt sheetId="1" sqref="AY107" start="0" length="0">
    <dxf>
      <font>
        <sz val="11"/>
        <color theme="1"/>
        <name val="Calibri"/>
        <scheme val="none"/>
      </font>
    </dxf>
  </rfmt>
  <rfmt sheetId="1" sqref="A107:XFD107" start="0" length="0">
    <dxf>
      <font>
        <sz val="11"/>
        <color theme="1"/>
        <name val="Calibri"/>
        <scheme val="none"/>
      </font>
    </dxf>
  </rfmt>
  <rfmt sheetId="1" sqref="A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0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0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08" start="0" length="0">
    <dxf>
      <font>
        <sz val="11"/>
        <color theme="1"/>
        <name val="Calibri"/>
        <scheme val="none"/>
      </font>
    </dxf>
  </rfmt>
  <rfmt sheetId="1" sqref="AM108" start="0" length="0">
    <dxf>
      <font>
        <sz val="11"/>
        <color theme="1"/>
        <name val="Calibri"/>
        <scheme val="none"/>
      </font>
      <numFmt numFmtId="1" formatCode="0"/>
    </dxf>
  </rfmt>
  <rfmt sheetId="1" sqref="AN108" start="0" length="0">
    <dxf>
      <font>
        <sz val="11"/>
        <color theme="1"/>
        <name val="Calibri"/>
        <scheme val="none"/>
      </font>
      <numFmt numFmtId="1" formatCode="0"/>
    </dxf>
  </rfmt>
  <rfmt sheetId="1" sqref="AO108" start="0" length="0">
    <dxf>
      <font>
        <sz val="11"/>
        <color theme="1"/>
        <name val="Calibri"/>
        <scheme val="none"/>
      </font>
    </dxf>
  </rfmt>
  <rfmt sheetId="1" sqref="AP108" start="0" length="0">
    <dxf>
      <font>
        <sz val="11"/>
        <color theme="1"/>
        <name val="Calibri"/>
        <scheme val="none"/>
      </font>
    </dxf>
  </rfmt>
  <rfmt sheetId="1" sqref="AQ108" start="0" length="0">
    <dxf>
      <font>
        <sz val="11"/>
        <color theme="1"/>
        <name val="Calibri"/>
        <scheme val="none"/>
      </font>
      <numFmt numFmtId="164" formatCode="_-* #,##0_-;\-* #,##0_-;_-* &quot;-&quot;??_-;_-@_-"/>
    </dxf>
  </rfmt>
  <rfmt sheetId="1" sqref="AR108" start="0" length="0">
    <dxf>
      <font>
        <sz val="11"/>
        <color theme="1"/>
        <name val="Calibri"/>
        <scheme val="none"/>
      </font>
      <numFmt numFmtId="164" formatCode="_-* #,##0_-;\-* #,##0_-;_-* &quot;-&quot;??_-;_-@_-"/>
    </dxf>
  </rfmt>
  <rfmt sheetId="1" sqref="AS108" start="0" length="0">
    <dxf>
      <font>
        <sz val="11"/>
        <color theme="1"/>
        <name val="Calibri"/>
        <scheme val="none"/>
      </font>
      <numFmt numFmtId="164" formatCode="_-* #,##0_-;\-* #,##0_-;_-* &quot;-&quot;??_-;_-@_-"/>
    </dxf>
  </rfmt>
  <rfmt sheetId="1" sqref="AT108" start="0" length="0">
    <dxf>
      <font>
        <sz val="11"/>
        <color theme="1"/>
        <name val="Calibri"/>
        <scheme val="none"/>
      </font>
      <numFmt numFmtId="164" formatCode="_-* #,##0_-;\-* #,##0_-;_-* &quot;-&quot;??_-;_-@_-"/>
    </dxf>
  </rfmt>
  <rfmt sheetId="1" sqref="AU108" start="0" length="0">
    <dxf>
      <font>
        <sz val="11"/>
        <color theme="1"/>
        <name val="Calibri"/>
        <scheme val="none"/>
      </font>
    </dxf>
  </rfmt>
  <rfmt sheetId="1" sqref="AV108" start="0" length="0">
    <dxf>
      <font>
        <sz val="11"/>
        <color theme="1"/>
        <name val="Calibri"/>
        <scheme val="none"/>
      </font>
    </dxf>
  </rfmt>
  <rfmt sheetId="1" sqref="AW108" start="0" length="0">
    <dxf>
      <font>
        <sz val="11"/>
        <color theme="1"/>
        <name val="Calibri"/>
        <scheme val="none"/>
      </font>
    </dxf>
  </rfmt>
  <rfmt sheetId="1" sqref="AX108" start="0" length="0">
    <dxf>
      <font>
        <sz val="11"/>
        <color theme="1"/>
        <name val="Calibri"/>
        <scheme val="none"/>
      </font>
    </dxf>
  </rfmt>
  <rfmt sheetId="1" sqref="AY108" start="0" length="0">
    <dxf>
      <font>
        <sz val="11"/>
        <color theme="1"/>
        <name val="Calibri"/>
        <scheme val="none"/>
      </font>
    </dxf>
  </rfmt>
  <rfmt sheetId="1" sqref="A108:XFD108" start="0" length="0">
    <dxf>
      <font>
        <sz val="11"/>
        <color theme="1"/>
        <name val="Calibri"/>
        <scheme val="none"/>
      </font>
    </dxf>
  </rfmt>
  <rfmt sheetId="1" sqref="A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0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0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09" start="0" length="0">
    <dxf>
      <font>
        <sz val="11"/>
        <color theme="1"/>
        <name val="Calibri"/>
        <scheme val="none"/>
      </font>
    </dxf>
  </rfmt>
  <rfmt sheetId="1" sqref="AM109" start="0" length="0">
    <dxf>
      <font>
        <sz val="11"/>
        <color theme="1"/>
        <name val="Calibri"/>
        <scheme val="none"/>
      </font>
      <numFmt numFmtId="1" formatCode="0"/>
    </dxf>
  </rfmt>
  <rfmt sheetId="1" sqref="AN109" start="0" length="0">
    <dxf>
      <font>
        <sz val="11"/>
        <color theme="1"/>
        <name val="Calibri"/>
        <scheme val="none"/>
      </font>
      <numFmt numFmtId="1" formatCode="0"/>
    </dxf>
  </rfmt>
  <rfmt sheetId="1" sqref="AO109" start="0" length="0">
    <dxf>
      <font>
        <sz val="11"/>
        <color theme="1"/>
        <name val="Calibri"/>
        <scheme val="none"/>
      </font>
    </dxf>
  </rfmt>
  <rfmt sheetId="1" sqref="AP109" start="0" length="0">
    <dxf>
      <font>
        <sz val="11"/>
        <color theme="1"/>
        <name val="Calibri"/>
        <scheme val="none"/>
      </font>
    </dxf>
  </rfmt>
  <rfmt sheetId="1" sqref="AQ109" start="0" length="0">
    <dxf>
      <font>
        <sz val="11"/>
        <color theme="1"/>
        <name val="Calibri"/>
        <scheme val="none"/>
      </font>
      <numFmt numFmtId="164" formatCode="_-* #,##0_-;\-* #,##0_-;_-* &quot;-&quot;??_-;_-@_-"/>
    </dxf>
  </rfmt>
  <rfmt sheetId="1" sqref="AR109" start="0" length="0">
    <dxf>
      <font>
        <sz val="11"/>
        <color theme="1"/>
        <name val="Calibri"/>
        <scheme val="none"/>
      </font>
      <numFmt numFmtId="164" formatCode="_-* #,##0_-;\-* #,##0_-;_-* &quot;-&quot;??_-;_-@_-"/>
    </dxf>
  </rfmt>
  <rfmt sheetId="1" sqref="AS109" start="0" length="0">
    <dxf>
      <font>
        <sz val="11"/>
        <color theme="1"/>
        <name val="Calibri"/>
        <scheme val="none"/>
      </font>
      <numFmt numFmtId="164" formatCode="_-* #,##0_-;\-* #,##0_-;_-* &quot;-&quot;??_-;_-@_-"/>
    </dxf>
  </rfmt>
  <rfmt sheetId="1" sqref="AT109" start="0" length="0">
    <dxf>
      <font>
        <sz val="11"/>
        <color theme="1"/>
        <name val="Calibri"/>
        <scheme val="none"/>
      </font>
      <numFmt numFmtId="164" formatCode="_-* #,##0_-;\-* #,##0_-;_-* &quot;-&quot;??_-;_-@_-"/>
    </dxf>
  </rfmt>
  <rfmt sheetId="1" sqref="AU109" start="0" length="0">
    <dxf>
      <font>
        <sz val="11"/>
        <color theme="1"/>
        <name val="Calibri"/>
        <scheme val="none"/>
      </font>
    </dxf>
  </rfmt>
  <rfmt sheetId="1" sqref="AV109" start="0" length="0">
    <dxf>
      <font>
        <sz val="11"/>
        <color theme="1"/>
        <name val="Calibri"/>
        <scheme val="none"/>
      </font>
    </dxf>
  </rfmt>
  <rfmt sheetId="1" sqref="AW109" start="0" length="0">
    <dxf>
      <font>
        <sz val="11"/>
        <color theme="1"/>
        <name val="Calibri"/>
        <scheme val="none"/>
      </font>
    </dxf>
  </rfmt>
  <rfmt sheetId="1" sqref="AX109" start="0" length="0">
    <dxf>
      <font>
        <sz val="11"/>
        <color theme="1"/>
        <name val="Calibri"/>
        <scheme val="none"/>
      </font>
    </dxf>
  </rfmt>
  <rfmt sheetId="1" sqref="AY109" start="0" length="0">
    <dxf>
      <font>
        <sz val="11"/>
        <color theme="1"/>
        <name val="Calibri"/>
        <scheme val="none"/>
      </font>
    </dxf>
  </rfmt>
  <rfmt sheetId="1" sqref="A109:XFD109" start="0" length="0">
    <dxf>
      <font>
        <sz val="11"/>
        <color theme="1"/>
        <name val="Calibri"/>
        <scheme val="none"/>
      </font>
    </dxf>
  </rfmt>
  <rfmt sheetId="1" sqref="A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1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1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10" start="0" length="0">
    <dxf>
      <font>
        <sz val="11"/>
        <color theme="1"/>
        <name val="Calibri"/>
        <scheme val="none"/>
      </font>
    </dxf>
  </rfmt>
  <rfmt sheetId="1" sqref="AM110" start="0" length="0">
    <dxf>
      <font>
        <sz val="11"/>
        <color theme="1"/>
        <name val="Calibri"/>
        <scheme val="none"/>
      </font>
      <numFmt numFmtId="1" formatCode="0"/>
    </dxf>
  </rfmt>
  <rfmt sheetId="1" sqref="AN110" start="0" length="0">
    <dxf>
      <font>
        <sz val="11"/>
        <color theme="1"/>
        <name val="Calibri"/>
        <scheme val="none"/>
      </font>
      <numFmt numFmtId="1" formatCode="0"/>
    </dxf>
  </rfmt>
  <rfmt sheetId="1" sqref="AO110" start="0" length="0">
    <dxf>
      <font>
        <sz val="11"/>
        <color theme="1"/>
        <name val="Calibri"/>
        <scheme val="none"/>
      </font>
    </dxf>
  </rfmt>
  <rfmt sheetId="1" sqref="AP110" start="0" length="0">
    <dxf>
      <font>
        <sz val="11"/>
        <color theme="1"/>
        <name val="Calibri"/>
        <scheme val="none"/>
      </font>
    </dxf>
  </rfmt>
  <rfmt sheetId="1" sqref="AQ110" start="0" length="0">
    <dxf>
      <font>
        <sz val="11"/>
        <color theme="1"/>
        <name val="Calibri"/>
        <scheme val="none"/>
      </font>
      <numFmt numFmtId="164" formatCode="_-* #,##0_-;\-* #,##0_-;_-* &quot;-&quot;??_-;_-@_-"/>
    </dxf>
  </rfmt>
  <rfmt sheetId="1" sqref="AR110" start="0" length="0">
    <dxf>
      <font>
        <sz val="11"/>
        <color theme="1"/>
        <name val="Calibri"/>
        <scheme val="none"/>
      </font>
      <numFmt numFmtId="164" formatCode="_-* #,##0_-;\-* #,##0_-;_-* &quot;-&quot;??_-;_-@_-"/>
    </dxf>
  </rfmt>
  <rfmt sheetId="1" sqref="AS110" start="0" length="0">
    <dxf>
      <font>
        <sz val="11"/>
        <color theme="1"/>
        <name val="Calibri"/>
        <scheme val="none"/>
      </font>
      <numFmt numFmtId="164" formatCode="_-* #,##0_-;\-* #,##0_-;_-* &quot;-&quot;??_-;_-@_-"/>
    </dxf>
  </rfmt>
  <rfmt sheetId="1" sqref="AT110" start="0" length="0">
    <dxf>
      <font>
        <sz val="11"/>
        <color theme="1"/>
        <name val="Calibri"/>
        <scheme val="none"/>
      </font>
      <numFmt numFmtId="164" formatCode="_-* #,##0_-;\-* #,##0_-;_-* &quot;-&quot;??_-;_-@_-"/>
    </dxf>
  </rfmt>
  <rfmt sheetId="1" sqref="AU110" start="0" length="0">
    <dxf>
      <font>
        <sz val="11"/>
        <color theme="1"/>
        <name val="Calibri"/>
        <scheme val="none"/>
      </font>
    </dxf>
  </rfmt>
  <rfmt sheetId="1" sqref="AV110" start="0" length="0">
    <dxf>
      <font>
        <sz val="11"/>
        <color theme="1"/>
        <name val="Calibri"/>
        <scheme val="none"/>
      </font>
    </dxf>
  </rfmt>
  <rfmt sheetId="1" sqref="AW110" start="0" length="0">
    <dxf>
      <font>
        <sz val="11"/>
        <color theme="1"/>
        <name val="Calibri"/>
        <scheme val="none"/>
      </font>
    </dxf>
  </rfmt>
  <rfmt sheetId="1" sqref="AX110" start="0" length="0">
    <dxf>
      <font>
        <sz val="11"/>
        <color theme="1"/>
        <name val="Calibri"/>
        <scheme val="none"/>
      </font>
    </dxf>
  </rfmt>
  <rfmt sheetId="1" sqref="AY110" start="0" length="0">
    <dxf>
      <font>
        <sz val="11"/>
        <color theme="1"/>
        <name val="Calibri"/>
        <scheme val="none"/>
      </font>
    </dxf>
  </rfmt>
  <rfmt sheetId="1" sqref="A110:XFD110" start="0" length="0">
    <dxf>
      <font>
        <sz val="11"/>
        <color theme="1"/>
        <name val="Calibri"/>
        <scheme val="none"/>
      </font>
    </dxf>
  </rfmt>
  <rfmt sheetId="1" sqref="A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1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1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11" start="0" length="0">
    <dxf>
      <font>
        <sz val="11"/>
        <color theme="1"/>
        <name val="Calibri"/>
        <scheme val="none"/>
      </font>
    </dxf>
  </rfmt>
  <rfmt sheetId="1" sqref="AM111" start="0" length="0">
    <dxf>
      <font>
        <sz val="11"/>
        <color theme="1"/>
        <name val="Calibri"/>
        <scheme val="none"/>
      </font>
      <numFmt numFmtId="1" formatCode="0"/>
    </dxf>
  </rfmt>
  <rfmt sheetId="1" sqref="AN111" start="0" length="0">
    <dxf>
      <font>
        <sz val="11"/>
        <color theme="1"/>
        <name val="Calibri"/>
        <scheme val="none"/>
      </font>
      <numFmt numFmtId="1" formatCode="0"/>
    </dxf>
  </rfmt>
  <rfmt sheetId="1" sqref="AO111" start="0" length="0">
    <dxf>
      <font>
        <sz val="11"/>
        <color theme="1"/>
        <name val="Calibri"/>
        <scheme val="none"/>
      </font>
    </dxf>
  </rfmt>
  <rfmt sheetId="1" sqref="AP111" start="0" length="0">
    <dxf>
      <font>
        <sz val="11"/>
        <color theme="1"/>
        <name val="Calibri"/>
        <scheme val="none"/>
      </font>
    </dxf>
  </rfmt>
  <rfmt sheetId="1" sqref="AQ111" start="0" length="0">
    <dxf>
      <font>
        <sz val="11"/>
        <color theme="1"/>
        <name val="Calibri"/>
        <scheme val="none"/>
      </font>
      <numFmt numFmtId="164" formatCode="_-* #,##0_-;\-* #,##0_-;_-* &quot;-&quot;??_-;_-@_-"/>
    </dxf>
  </rfmt>
  <rfmt sheetId="1" sqref="AR111" start="0" length="0">
    <dxf>
      <font>
        <sz val="11"/>
        <color theme="1"/>
        <name val="Calibri"/>
        <scheme val="none"/>
      </font>
      <numFmt numFmtId="164" formatCode="_-* #,##0_-;\-* #,##0_-;_-* &quot;-&quot;??_-;_-@_-"/>
    </dxf>
  </rfmt>
  <rfmt sheetId="1" sqref="AS111" start="0" length="0">
    <dxf>
      <font>
        <sz val="11"/>
        <color theme="1"/>
        <name val="Calibri"/>
        <scheme val="none"/>
      </font>
      <numFmt numFmtId="164" formatCode="_-* #,##0_-;\-* #,##0_-;_-* &quot;-&quot;??_-;_-@_-"/>
    </dxf>
  </rfmt>
  <rfmt sheetId="1" sqref="AT111" start="0" length="0">
    <dxf>
      <font>
        <sz val="11"/>
        <color theme="1"/>
        <name val="Calibri"/>
        <scheme val="none"/>
      </font>
      <numFmt numFmtId="164" formatCode="_-* #,##0_-;\-* #,##0_-;_-* &quot;-&quot;??_-;_-@_-"/>
    </dxf>
  </rfmt>
  <rfmt sheetId="1" sqref="AU111" start="0" length="0">
    <dxf>
      <font>
        <sz val="11"/>
        <color theme="1"/>
        <name val="Calibri"/>
        <scheme val="none"/>
      </font>
    </dxf>
  </rfmt>
  <rfmt sheetId="1" sqref="AV111" start="0" length="0">
    <dxf>
      <font>
        <sz val="11"/>
        <color theme="1"/>
        <name val="Calibri"/>
        <scheme val="none"/>
      </font>
    </dxf>
  </rfmt>
  <rfmt sheetId="1" sqref="AW111" start="0" length="0">
    <dxf>
      <font>
        <sz val="11"/>
        <color theme="1"/>
        <name val="Calibri"/>
        <scheme val="none"/>
      </font>
    </dxf>
  </rfmt>
  <rfmt sheetId="1" sqref="AX111" start="0" length="0">
    <dxf>
      <font>
        <sz val="11"/>
        <color theme="1"/>
        <name val="Calibri"/>
        <scheme val="none"/>
      </font>
    </dxf>
  </rfmt>
  <rfmt sheetId="1" sqref="AY111" start="0" length="0">
    <dxf>
      <font>
        <sz val="11"/>
        <color theme="1"/>
        <name val="Calibri"/>
        <scheme val="none"/>
      </font>
    </dxf>
  </rfmt>
  <rfmt sheetId="1" sqref="A111:XFD111" start="0" length="0">
    <dxf>
      <font>
        <sz val="11"/>
        <color theme="1"/>
        <name val="Calibri"/>
        <scheme val="none"/>
      </font>
    </dxf>
  </rfmt>
  <rfmt sheetId="1" sqref="A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1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1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12" start="0" length="0">
    <dxf>
      <font>
        <sz val="11"/>
        <color theme="1"/>
        <name val="Calibri"/>
        <scheme val="none"/>
      </font>
    </dxf>
  </rfmt>
  <rfmt sheetId="1" sqref="AM112" start="0" length="0">
    <dxf>
      <font>
        <sz val="11"/>
        <color theme="1"/>
        <name val="Calibri"/>
        <scheme val="none"/>
      </font>
      <numFmt numFmtId="1" formatCode="0"/>
    </dxf>
  </rfmt>
  <rfmt sheetId="1" sqref="AN112" start="0" length="0">
    <dxf>
      <font>
        <sz val="11"/>
        <color theme="1"/>
        <name val="Calibri"/>
        <scheme val="none"/>
      </font>
      <numFmt numFmtId="1" formatCode="0"/>
    </dxf>
  </rfmt>
  <rfmt sheetId="1" sqref="AO112" start="0" length="0">
    <dxf>
      <font>
        <sz val="11"/>
        <color theme="1"/>
        <name val="Calibri"/>
        <scheme val="none"/>
      </font>
    </dxf>
  </rfmt>
  <rfmt sheetId="1" sqref="AP112" start="0" length="0">
    <dxf>
      <font>
        <sz val="11"/>
        <color theme="1"/>
        <name val="Calibri"/>
        <scheme val="none"/>
      </font>
    </dxf>
  </rfmt>
  <rfmt sheetId="1" sqref="AQ112" start="0" length="0">
    <dxf>
      <font>
        <sz val="11"/>
        <color theme="1"/>
        <name val="Calibri"/>
        <scheme val="none"/>
      </font>
      <numFmt numFmtId="164" formatCode="_-* #,##0_-;\-* #,##0_-;_-* &quot;-&quot;??_-;_-@_-"/>
    </dxf>
  </rfmt>
  <rfmt sheetId="1" sqref="AR112" start="0" length="0">
    <dxf>
      <font>
        <sz val="11"/>
        <color theme="1"/>
        <name val="Calibri"/>
        <scheme val="none"/>
      </font>
      <numFmt numFmtId="164" formatCode="_-* #,##0_-;\-* #,##0_-;_-* &quot;-&quot;??_-;_-@_-"/>
    </dxf>
  </rfmt>
  <rfmt sheetId="1" sqref="AS112" start="0" length="0">
    <dxf>
      <font>
        <sz val="11"/>
        <color theme="1"/>
        <name val="Calibri"/>
        <scheme val="none"/>
      </font>
      <numFmt numFmtId="164" formatCode="_-* #,##0_-;\-* #,##0_-;_-* &quot;-&quot;??_-;_-@_-"/>
    </dxf>
  </rfmt>
  <rfmt sheetId="1" sqref="AT112" start="0" length="0">
    <dxf>
      <font>
        <sz val="11"/>
        <color theme="1"/>
        <name val="Calibri"/>
        <scheme val="none"/>
      </font>
      <numFmt numFmtId="164" formatCode="_-* #,##0_-;\-* #,##0_-;_-* &quot;-&quot;??_-;_-@_-"/>
    </dxf>
  </rfmt>
  <rfmt sheetId="1" sqref="AU112" start="0" length="0">
    <dxf>
      <font>
        <sz val="11"/>
        <color theme="1"/>
        <name val="Calibri"/>
        <scheme val="none"/>
      </font>
    </dxf>
  </rfmt>
  <rfmt sheetId="1" sqref="AV112" start="0" length="0">
    <dxf>
      <font>
        <sz val="11"/>
        <color theme="1"/>
        <name val="Calibri"/>
        <scheme val="none"/>
      </font>
    </dxf>
  </rfmt>
  <rfmt sheetId="1" sqref="AW112" start="0" length="0">
    <dxf>
      <font>
        <sz val="11"/>
        <color theme="1"/>
        <name val="Calibri"/>
        <scheme val="none"/>
      </font>
    </dxf>
  </rfmt>
  <rfmt sheetId="1" sqref="AX112" start="0" length="0">
    <dxf>
      <font>
        <sz val="11"/>
        <color theme="1"/>
        <name val="Calibri"/>
        <scheme val="none"/>
      </font>
    </dxf>
  </rfmt>
  <rfmt sheetId="1" sqref="AY112" start="0" length="0">
    <dxf>
      <font>
        <sz val="11"/>
        <color theme="1"/>
        <name val="Calibri"/>
        <scheme val="none"/>
      </font>
    </dxf>
  </rfmt>
  <rfmt sheetId="1" sqref="A112:XFD112" start="0" length="0">
    <dxf>
      <font>
        <sz val="11"/>
        <color theme="1"/>
        <name val="Calibri"/>
        <scheme val="none"/>
      </font>
    </dxf>
  </rfmt>
  <rfmt sheetId="1" sqref="A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1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1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13" start="0" length="0">
    <dxf>
      <font>
        <sz val="11"/>
        <color theme="1"/>
        <name val="Calibri"/>
        <scheme val="none"/>
      </font>
    </dxf>
  </rfmt>
  <rfmt sheetId="1" sqref="AM113" start="0" length="0">
    <dxf>
      <font>
        <sz val="11"/>
        <color theme="1"/>
        <name val="Calibri"/>
        <scheme val="none"/>
      </font>
      <numFmt numFmtId="1" formatCode="0"/>
    </dxf>
  </rfmt>
  <rfmt sheetId="1" sqref="AN113" start="0" length="0">
    <dxf>
      <font>
        <sz val="11"/>
        <color theme="1"/>
        <name val="Calibri"/>
        <scheme val="none"/>
      </font>
      <numFmt numFmtId="1" formatCode="0"/>
    </dxf>
  </rfmt>
  <rfmt sheetId="1" sqref="AO113" start="0" length="0">
    <dxf>
      <font>
        <sz val="11"/>
        <color theme="1"/>
        <name val="Calibri"/>
        <scheme val="none"/>
      </font>
    </dxf>
  </rfmt>
  <rfmt sheetId="1" sqref="AP113" start="0" length="0">
    <dxf>
      <font>
        <sz val="11"/>
        <color theme="1"/>
        <name val="Calibri"/>
        <scheme val="none"/>
      </font>
    </dxf>
  </rfmt>
  <rfmt sheetId="1" sqref="AQ113" start="0" length="0">
    <dxf>
      <font>
        <sz val="11"/>
        <color theme="1"/>
        <name val="Calibri"/>
        <scheme val="none"/>
      </font>
      <numFmt numFmtId="164" formatCode="_-* #,##0_-;\-* #,##0_-;_-* &quot;-&quot;??_-;_-@_-"/>
    </dxf>
  </rfmt>
  <rfmt sheetId="1" sqref="AR113" start="0" length="0">
    <dxf>
      <font>
        <sz val="11"/>
        <color theme="1"/>
        <name val="Calibri"/>
        <scheme val="none"/>
      </font>
      <numFmt numFmtId="164" formatCode="_-* #,##0_-;\-* #,##0_-;_-* &quot;-&quot;??_-;_-@_-"/>
    </dxf>
  </rfmt>
  <rfmt sheetId="1" sqref="AS113" start="0" length="0">
    <dxf>
      <font>
        <sz val="11"/>
        <color theme="1"/>
        <name val="Calibri"/>
        <scheme val="none"/>
      </font>
      <numFmt numFmtId="164" formatCode="_-* #,##0_-;\-* #,##0_-;_-* &quot;-&quot;??_-;_-@_-"/>
    </dxf>
  </rfmt>
  <rfmt sheetId="1" sqref="AT113" start="0" length="0">
    <dxf>
      <font>
        <sz val="11"/>
        <color theme="1"/>
        <name val="Calibri"/>
        <scheme val="none"/>
      </font>
      <numFmt numFmtId="164" formatCode="_-* #,##0_-;\-* #,##0_-;_-* &quot;-&quot;??_-;_-@_-"/>
    </dxf>
  </rfmt>
  <rfmt sheetId="1" sqref="AU113" start="0" length="0">
    <dxf>
      <font>
        <sz val="11"/>
        <color theme="1"/>
        <name val="Calibri"/>
        <scheme val="none"/>
      </font>
    </dxf>
  </rfmt>
  <rfmt sheetId="1" sqref="AV113" start="0" length="0">
    <dxf>
      <font>
        <sz val="11"/>
        <color theme="1"/>
        <name val="Calibri"/>
        <scheme val="none"/>
      </font>
    </dxf>
  </rfmt>
  <rfmt sheetId="1" sqref="AW113" start="0" length="0">
    <dxf>
      <font>
        <sz val="11"/>
        <color theme="1"/>
        <name val="Calibri"/>
        <scheme val="none"/>
      </font>
    </dxf>
  </rfmt>
  <rfmt sheetId="1" sqref="AX113" start="0" length="0">
    <dxf>
      <font>
        <sz val="11"/>
        <color theme="1"/>
        <name val="Calibri"/>
        <scheme val="none"/>
      </font>
    </dxf>
  </rfmt>
  <rfmt sheetId="1" sqref="AY113" start="0" length="0">
    <dxf>
      <font>
        <sz val="11"/>
        <color theme="1"/>
        <name val="Calibri"/>
        <scheme val="none"/>
      </font>
    </dxf>
  </rfmt>
  <rfmt sheetId="1" sqref="A113:XFD113" start="0" length="0">
    <dxf>
      <font>
        <sz val="11"/>
        <color theme="1"/>
        <name val="Calibri"/>
        <scheme val="none"/>
      </font>
    </dxf>
  </rfmt>
  <rfmt sheetId="1" sqref="A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1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1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14" start="0" length="0">
    <dxf>
      <font>
        <sz val="11"/>
        <color theme="1"/>
        <name val="Calibri"/>
        <scheme val="none"/>
      </font>
    </dxf>
  </rfmt>
  <rfmt sheetId="1" sqref="AM114" start="0" length="0">
    <dxf>
      <font>
        <sz val="11"/>
        <color theme="1"/>
        <name val="Calibri"/>
        <scheme val="none"/>
      </font>
      <numFmt numFmtId="1" formatCode="0"/>
    </dxf>
  </rfmt>
  <rfmt sheetId="1" sqref="AN114" start="0" length="0">
    <dxf>
      <font>
        <sz val="11"/>
        <color theme="1"/>
        <name val="Calibri"/>
        <scheme val="none"/>
      </font>
      <numFmt numFmtId="1" formatCode="0"/>
    </dxf>
  </rfmt>
  <rfmt sheetId="1" sqref="AO114" start="0" length="0">
    <dxf>
      <font>
        <sz val="11"/>
        <color theme="1"/>
        <name val="Calibri"/>
        <scheme val="none"/>
      </font>
    </dxf>
  </rfmt>
  <rfmt sheetId="1" sqref="AP114" start="0" length="0">
    <dxf>
      <font>
        <sz val="11"/>
        <color theme="1"/>
        <name val="Calibri"/>
        <scheme val="none"/>
      </font>
    </dxf>
  </rfmt>
  <rfmt sheetId="1" sqref="AQ114" start="0" length="0">
    <dxf>
      <font>
        <sz val="11"/>
        <color theme="1"/>
        <name val="Calibri"/>
        <scheme val="none"/>
      </font>
      <numFmt numFmtId="164" formatCode="_-* #,##0_-;\-* #,##0_-;_-* &quot;-&quot;??_-;_-@_-"/>
    </dxf>
  </rfmt>
  <rfmt sheetId="1" sqref="AR114" start="0" length="0">
    <dxf>
      <font>
        <sz val="11"/>
        <color theme="1"/>
        <name val="Calibri"/>
        <scheme val="none"/>
      </font>
      <numFmt numFmtId="164" formatCode="_-* #,##0_-;\-* #,##0_-;_-* &quot;-&quot;??_-;_-@_-"/>
    </dxf>
  </rfmt>
  <rfmt sheetId="1" sqref="AS114" start="0" length="0">
    <dxf>
      <font>
        <sz val="11"/>
        <color theme="1"/>
        <name val="Calibri"/>
        <scheme val="none"/>
      </font>
      <numFmt numFmtId="164" formatCode="_-* #,##0_-;\-* #,##0_-;_-* &quot;-&quot;??_-;_-@_-"/>
    </dxf>
  </rfmt>
  <rfmt sheetId="1" sqref="AT114" start="0" length="0">
    <dxf>
      <font>
        <sz val="11"/>
        <color theme="1"/>
        <name val="Calibri"/>
        <scheme val="none"/>
      </font>
      <numFmt numFmtId="164" formatCode="_-* #,##0_-;\-* #,##0_-;_-* &quot;-&quot;??_-;_-@_-"/>
    </dxf>
  </rfmt>
  <rfmt sheetId="1" sqref="AU114" start="0" length="0">
    <dxf>
      <font>
        <sz val="11"/>
        <color theme="1"/>
        <name val="Calibri"/>
        <scheme val="none"/>
      </font>
    </dxf>
  </rfmt>
  <rfmt sheetId="1" sqref="AV114" start="0" length="0">
    <dxf>
      <font>
        <sz val="11"/>
        <color theme="1"/>
        <name val="Calibri"/>
        <scheme val="none"/>
      </font>
    </dxf>
  </rfmt>
  <rfmt sheetId="1" sqref="AW114" start="0" length="0">
    <dxf>
      <font>
        <sz val="11"/>
        <color theme="1"/>
        <name val="Calibri"/>
        <scheme val="none"/>
      </font>
    </dxf>
  </rfmt>
  <rfmt sheetId="1" sqref="AX114" start="0" length="0">
    <dxf>
      <font>
        <sz val="11"/>
        <color theme="1"/>
        <name val="Calibri"/>
        <scheme val="none"/>
      </font>
    </dxf>
  </rfmt>
  <rfmt sheetId="1" sqref="AY114" start="0" length="0">
    <dxf>
      <font>
        <sz val="11"/>
        <color theme="1"/>
        <name val="Calibri"/>
        <scheme val="none"/>
      </font>
    </dxf>
  </rfmt>
  <rfmt sheetId="1" sqref="A114:XFD114" start="0" length="0">
    <dxf>
      <font>
        <sz val="11"/>
        <color theme="1"/>
        <name val="Calibri"/>
        <scheme val="none"/>
      </font>
    </dxf>
  </rfmt>
  <rfmt sheetId="1" sqref="A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1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1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15" start="0" length="0">
    <dxf>
      <font>
        <sz val="11"/>
        <color theme="1"/>
        <name val="Calibri"/>
        <scheme val="none"/>
      </font>
    </dxf>
  </rfmt>
  <rfmt sheetId="1" sqref="AM115" start="0" length="0">
    <dxf>
      <font>
        <sz val="11"/>
        <color theme="1"/>
        <name val="Calibri"/>
        <scheme val="none"/>
      </font>
      <numFmt numFmtId="1" formatCode="0"/>
    </dxf>
  </rfmt>
  <rfmt sheetId="1" sqref="AN115" start="0" length="0">
    <dxf>
      <font>
        <sz val="11"/>
        <color theme="1"/>
        <name val="Calibri"/>
        <scheme val="none"/>
      </font>
      <numFmt numFmtId="1" formatCode="0"/>
    </dxf>
  </rfmt>
  <rfmt sheetId="1" sqref="AO115" start="0" length="0">
    <dxf>
      <font>
        <sz val="11"/>
        <color theme="1"/>
        <name val="Calibri"/>
        <scheme val="none"/>
      </font>
    </dxf>
  </rfmt>
  <rfmt sheetId="1" sqref="AP115" start="0" length="0">
    <dxf>
      <font>
        <sz val="11"/>
        <color theme="1"/>
        <name val="Calibri"/>
        <scheme val="none"/>
      </font>
    </dxf>
  </rfmt>
  <rfmt sheetId="1" sqref="AQ115" start="0" length="0">
    <dxf>
      <font>
        <sz val="11"/>
        <color theme="1"/>
        <name val="Calibri"/>
        <scheme val="none"/>
      </font>
      <numFmt numFmtId="164" formatCode="_-* #,##0_-;\-* #,##0_-;_-* &quot;-&quot;??_-;_-@_-"/>
    </dxf>
  </rfmt>
  <rfmt sheetId="1" sqref="AR115" start="0" length="0">
    <dxf>
      <font>
        <sz val="11"/>
        <color theme="1"/>
        <name val="Calibri"/>
        <scheme val="none"/>
      </font>
      <numFmt numFmtId="164" formatCode="_-* #,##0_-;\-* #,##0_-;_-* &quot;-&quot;??_-;_-@_-"/>
    </dxf>
  </rfmt>
  <rfmt sheetId="1" sqref="AS115" start="0" length="0">
    <dxf>
      <font>
        <sz val="11"/>
        <color theme="1"/>
        <name val="Calibri"/>
        <scheme val="none"/>
      </font>
      <numFmt numFmtId="164" formatCode="_-* #,##0_-;\-* #,##0_-;_-* &quot;-&quot;??_-;_-@_-"/>
    </dxf>
  </rfmt>
  <rfmt sheetId="1" sqref="AT115" start="0" length="0">
    <dxf>
      <font>
        <sz val="11"/>
        <color theme="1"/>
        <name val="Calibri"/>
        <scheme val="none"/>
      </font>
      <numFmt numFmtId="164" formatCode="_-* #,##0_-;\-* #,##0_-;_-* &quot;-&quot;??_-;_-@_-"/>
    </dxf>
  </rfmt>
  <rfmt sheetId="1" sqref="AU115" start="0" length="0">
    <dxf>
      <font>
        <sz val="11"/>
        <color theme="1"/>
        <name val="Calibri"/>
        <scheme val="none"/>
      </font>
    </dxf>
  </rfmt>
  <rfmt sheetId="1" sqref="AV115" start="0" length="0">
    <dxf>
      <font>
        <sz val="11"/>
        <color theme="1"/>
        <name val="Calibri"/>
        <scheme val="none"/>
      </font>
    </dxf>
  </rfmt>
  <rfmt sheetId="1" sqref="AW115" start="0" length="0">
    <dxf>
      <font>
        <sz val="11"/>
        <color theme="1"/>
        <name val="Calibri"/>
        <scheme val="none"/>
      </font>
    </dxf>
  </rfmt>
  <rfmt sheetId="1" sqref="AX115" start="0" length="0">
    <dxf>
      <font>
        <sz val="11"/>
        <color theme="1"/>
        <name val="Calibri"/>
        <scheme val="none"/>
      </font>
    </dxf>
  </rfmt>
  <rfmt sheetId="1" sqref="AY115" start="0" length="0">
    <dxf>
      <font>
        <sz val="11"/>
        <color theme="1"/>
        <name val="Calibri"/>
        <scheme val="none"/>
      </font>
    </dxf>
  </rfmt>
  <rfmt sheetId="1" sqref="A115:XFD115" start="0" length="0">
    <dxf>
      <font>
        <sz val="11"/>
        <color theme="1"/>
        <name val="Calibri"/>
        <scheme val="none"/>
      </font>
    </dxf>
  </rfmt>
  <rfmt sheetId="1" sqref="A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1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1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16" start="0" length="0">
    <dxf>
      <font>
        <sz val="11"/>
        <color theme="1"/>
        <name val="Calibri"/>
        <scheme val="none"/>
      </font>
    </dxf>
  </rfmt>
  <rfmt sheetId="1" sqref="AM116" start="0" length="0">
    <dxf>
      <font>
        <sz val="11"/>
        <color theme="1"/>
        <name val="Calibri"/>
        <scheme val="none"/>
      </font>
      <numFmt numFmtId="1" formatCode="0"/>
    </dxf>
  </rfmt>
  <rfmt sheetId="1" sqref="AN116" start="0" length="0">
    <dxf>
      <font>
        <sz val="11"/>
        <color theme="1"/>
        <name val="Calibri"/>
        <scheme val="none"/>
      </font>
      <numFmt numFmtId="1" formatCode="0"/>
    </dxf>
  </rfmt>
  <rfmt sheetId="1" sqref="AO116" start="0" length="0">
    <dxf>
      <font>
        <sz val="11"/>
        <color theme="1"/>
        <name val="Calibri"/>
        <scheme val="none"/>
      </font>
    </dxf>
  </rfmt>
  <rfmt sheetId="1" sqref="AP116" start="0" length="0">
    <dxf>
      <font>
        <sz val="11"/>
        <color theme="1"/>
        <name val="Calibri"/>
        <scheme val="none"/>
      </font>
    </dxf>
  </rfmt>
  <rfmt sheetId="1" sqref="AQ116" start="0" length="0">
    <dxf>
      <font>
        <sz val="11"/>
        <color theme="1"/>
        <name val="Calibri"/>
        <scheme val="none"/>
      </font>
      <numFmt numFmtId="164" formatCode="_-* #,##0_-;\-* #,##0_-;_-* &quot;-&quot;??_-;_-@_-"/>
    </dxf>
  </rfmt>
  <rfmt sheetId="1" sqref="AR116" start="0" length="0">
    <dxf>
      <font>
        <sz val="11"/>
        <color theme="1"/>
        <name val="Calibri"/>
        <scheme val="none"/>
      </font>
      <numFmt numFmtId="164" formatCode="_-* #,##0_-;\-* #,##0_-;_-* &quot;-&quot;??_-;_-@_-"/>
    </dxf>
  </rfmt>
  <rfmt sheetId="1" sqref="AS116" start="0" length="0">
    <dxf>
      <font>
        <sz val="11"/>
        <color theme="1"/>
        <name val="Calibri"/>
        <scheme val="none"/>
      </font>
      <numFmt numFmtId="164" formatCode="_-* #,##0_-;\-* #,##0_-;_-* &quot;-&quot;??_-;_-@_-"/>
    </dxf>
  </rfmt>
  <rfmt sheetId="1" sqref="AT116" start="0" length="0">
    <dxf>
      <font>
        <sz val="11"/>
        <color theme="1"/>
        <name val="Calibri"/>
        <scheme val="none"/>
      </font>
      <numFmt numFmtId="164" formatCode="_-* #,##0_-;\-* #,##0_-;_-* &quot;-&quot;??_-;_-@_-"/>
    </dxf>
  </rfmt>
  <rfmt sheetId="1" sqref="AU116" start="0" length="0">
    <dxf>
      <font>
        <sz val="11"/>
        <color theme="1"/>
        <name val="Calibri"/>
        <scheme val="none"/>
      </font>
    </dxf>
  </rfmt>
  <rfmt sheetId="1" sqref="AV116" start="0" length="0">
    <dxf>
      <font>
        <sz val="11"/>
        <color theme="1"/>
        <name val="Calibri"/>
        <scheme val="none"/>
      </font>
    </dxf>
  </rfmt>
  <rfmt sheetId="1" sqref="AW116" start="0" length="0">
    <dxf>
      <font>
        <sz val="11"/>
        <color theme="1"/>
        <name val="Calibri"/>
        <scheme val="none"/>
      </font>
    </dxf>
  </rfmt>
  <rfmt sheetId="1" sqref="AX116" start="0" length="0">
    <dxf>
      <font>
        <sz val="11"/>
        <color theme="1"/>
        <name val="Calibri"/>
        <scheme val="none"/>
      </font>
    </dxf>
  </rfmt>
  <rfmt sheetId="1" sqref="AY116" start="0" length="0">
    <dxf>
      <font>
        <sz val="11"/>
        <color theme="1"/>
        <name val="Calibri"/>
        <scheme val="none"/>
      </font>
    </dxf>
  </rfmt>
  <rfmt sheetId="1" sqref="A116:XFD116" start="0" length="0">
    <dxf>
      <font>
        <sz val="11"/>
        <color theme="1"/>
        <name val="Calibri"/>
        <scheme val="none"/>
      </font>
    </dxf>
  </rfmt>
  <rfmt sheetId="1" sqref="A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1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1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17" start="0" length="0">
    <dxf>
      <font>
        <sz val="11"/>
        <color theme="1"/>
        <name val="Calibri"/>
        <scheme val="none"/>
      </font>
    </dxf>
  </rfmt>
  <rfmt sheetId="1" sqref="AM117" start="0" length="0">
    <dxf>
      <font>
        <sz val="11"/>
        <color theme="1"/>
        <name val="Calibri"/>
        <scheme val="none"/>
      </font>
      <numFmt numFmtId="1" formatCode="0"/>
    </dxf>
  </rfmt>
  <rfmt sheetId="1" sqref="AN117" start="0" length="0">
    <dxf>
      <font>
        <sz val="11"/>
        <color theme="1"/>
        <name val="Calibri"/>
        <scheme val="none"/>
      </font>
      <numFmt numFmtId="1" formatCode="0"/>
    </dxf>
  </rfmt>
  <rfmt sheetId="1" sqref="AO117" start="0" length="0">
    <dxf>
      <font>
        <sz val="11"/>
        <color theme="1"/>
        <name val="Calibri"/>
        <scheme val="none"/>
      </font>
    </dxf>
  </rfmt>
  <rfmt sheetId="1" sqref="AP117" start="0" length="0">
    <dxf>
      <font>
        <sz val="11"/>
        <color theme="1"/>
        <name val="Calibri"/>
        <scheme val="none"/>
      </font>
    </dxf>
  </rfmt>
  <rfmt sheetId="1" sqref="AQ117" start="0" length="0">
    <dxf>
      <font>
        <sz val="11"/>
        <color theme="1"/>
        <name val="Calibri"/>
        <scheme val="none"/>
      </font>
      <numFmt numFmtId="164" formatCode="_-* #,##0_-;\-* #,##0_-;_-* &quot;-&quot;??_-;_-@_-"/>
    </dxf>
  </rfmt>
  <rfmt sheetId="1" sqref="AR117" start="0" length="0">
    <dxf>
      <font>
        <sz val="11"/>
        <color theme="1"/>
        <name val="Calibri"/>
        <scheme val="none"/>
      </font>
      <numFmt numFmtId="164" formatCode="_-* #,##0_-;\-* #,##0_-;_-* &quot;-&quot;??_-;_-@_-"/>
    </dxf>
  </rfmt>
  <rfmt sheetId="1" sqref="AS117" start="0" length="0">
    <dxf>
      <font>
        <sz val="11"/>
        <color theme="1"/>
        <name val="Calibri"/>
        <scheme val="none"/>
      </font>
      <numFmt numFmtId="164" formatCode="_-* #,##0_-;\-* #,##0_-;_-* &quot;-&quot;??_-;_-@_-"/>
    </dxf>
  </rfmt>
  <rfmt sheetId="1" sqref="AT117" start="0" length="0">
    <dxf>
      <font>
        <sz val="11"/>
        <color theme="1"/>
        <name val="Calibri"/>
        <scheme val="none"/>
      </font>
      <numFmt numFmtId="164" formatCode="_-* #,##0_-;\-* #,##0_-;_-* &quot;-&quot;??_-;_-@_-"/>
    </dxf>
  </rfmt>
  <rfmt sheetId="1" sqref="AU117" start="0" length="0">
    <dxf>
      <font>
        <sz val="11"/>
        <color theme="1"/>
        <name val="Calibri"/>
        <scheme val="none"/>
      </font>
    </dxf>
  </rfmt>
  <rfmt sheetId="1" sqref="AV117" start="0" length="0">
    <dxf>
      <font>
        <sz val="11"/>
        <color theme="1"/>
        <name val="Calibri"/>
        <scheme val="none"/>
      </font>
    </dxf>
  </rfmt>
  <rfmt sheetId="1" sqref="AW117" start="0" length="0">
    <dxf>
      <font>
        <sz val="11"/>
        <color theme="1"/>
        <name val="Calibri"/>
        <scheme val="none"/>
      </font>
    </dxf>
  </rfmt>
  <rfmt sheetId="1" sqref="AX117" start="0" length="0">
    <dxf>
      <font>
        <sz val="11"/>
        <color theme="1"/>
        <name val="Calibri"/>
        <scheme val="none"/>
      </font>
    </dxf>
  </rfmt>
  <rfmt sheetId="1" sqref="AY117" start="0" length="0">
    <dxf>
      <font>
        <sz val="11"/>
        <color theme="1"/>
        <name val="Calibri"/>
        <scheme val="none"/>
      </font>
    </dxf>
  </rfmt>
  <rfmt sheetId="1" sqref="A117:XFD117" start="0" length="0">
    <dxf>
      <font>
        <sz val="11"/>
        <color theme="1"/>
        <name val="Calibri"/>
        <scheme val="none"/>
      </font>
    </dxf>
  </rfmt>
  <rfmt sheetId="1" sqref="A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1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1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18" start="0" length="0">
    <dxf>
      <font>
        <sz val="11"/>
        <color theme="1"/>
        <name val="Calibri"/>
        <scheme val="none"/>
      </font>
    </dxf>
  </rfmt>
  <rfmt sheetId="1" sqref="AM118" start="0" length="0">
    <dxf>
      <font>
        <sz val="11"/>
        <color theme="1"/>
        <name val="Calibri"/>
        <scheme val="none"/>
      </font>
      <numFmt numFmtId="1" formatCode="0"/>
    </dxf>
  </rfmt>
  <rfmt sheetId="1" sqref="AN118" start="0" length="0">
    <dxf>
      <font>
        <sz val="11"/>
        <color theme="1"/>
        <name val="Calibri"/>
        <scheme val="none"/>
      </font>
      <numFmt numFmtId="1" formatCode="0"/>
    </dxf>
  </rfmt>
  <rfmt sheetId="1" sqref="AO118" start="0" length="0">
    <dxf>
      <font>
        <sz val="11"/>
        <color theme="1"/>
        <name val="Calibri"/>
        <scheme val="none"/>
      </font>
    </dxf>
  </rfmt>
  <rfmt sheetId="1" sqref="AP118" start="0" length="0">
    <dxf>
      <font>
        <sz val="11"/>
        <color theme="1"/>
        <name val="Calibri"/>
        <scheme val="none"/>
      </font>
    </dxf>
  </rfmt>
  <rfmt sheetId="1" sqref="AQ118" start="0" length="0">
    <dxf>
      <font>
        <sz val="11"/>
        <color theme="1"/>
        <name val="Calibri"/>
        <scheme val="none"/>
      </font>
      <numFmt numFmtId="164" formatCode="_-* #,##0_-;\-* #,##0_-;_-* &quot;-&quot;??_-;_-@_-"/>
    </dxf>
  </rfmt>
  <rfmt sheetId="1" sqref="AR118" start="0" length="0">
    <dxf>
      <font>
        <sz val="11"/>
        <color theme="1"/>
        <name val="Calibri"/>
        <scheme val="none"/>
      </font>
      <numFmt numFmtId="164" formatCode="_-* #,##0_-;\-* #,##0_-;_-* &quot;-&quot;??_-;_-@_-"/>
    </dxf>
  </rfmt>
  <rfmt sheetId="1" sqref="AS118" start="0" length="0">
    <dxf>
      <font>
        <sz val="11"/>
        <color theme="1"/>
        <name val="Calibri"/>
        <scheme val="none"/>
      </font>
      <numFmt numFmtId="164" formatCode="_-* #,##0_-;\-* #,##0_-;_-* &quot;-&quot;??_-;_-@_-"/>
    </dxf>
  </rfmt>
  <rfmt sheetId="1" sqref="AT118" start="0" length="0">
    <dxf>
      <font>
        <sz val="11"/>
        <color theme="1"/>
        <name val="Calibri"/>
        <scheme val="none"/>
      </font>
      <numFmt numFmtId="164" formatCode="_-* #,##0_-;\-* #,##0_-;_-* &quot;-&quot;??_-;_-@_-"/>
    </dxf>
  </rfmt>
  <rfmt sheetId="1" sqref="AU118" start="0" length="0">
    <dxf>
      <font>
        <sz val="11"/>
        <color theme="1"/>
        <name val="Calibri"/>
        <scheme val="none"/>
      </font>
    </dxf>
  </rfmt>
  <rfmt sheetId="1" sqref="AV118" start="0" length="0">
    <dxf>
      <font>
        <sz val="11"/>
        <color theme="1"/>
        <name val="Calibri"/>
        <scheme val="none"/>
      </font>
    </dxf>
  </rfmt>
  <rfmt sheetId="1" sqref="AW118" start="0" length="0">
    <dxf>
      <font>
        <sz val="11"/>
        <color theme="1"/>
        <name val="Calibri"/>
        <scheme val="none"/>
      </font>
    </dxf>
  </rfmt>
  <rfmt sheetId="1" sqref="AX118" start="0" length="0">
    <dxf>
      <font>
        <sz val="11"/>
        <color theme="1"/>
        <name val="Calibri"/>
        <scheme val="none"/>
      </font>
    </dxf>
  </rfmt>
  <rfmt sheetId="1" sqref="AY118" start="0" length="0">
    <dxf>
      <font>
        <sz val="11"/>
        <color theme="1"/>
        <name val="Calibri"/>
        <scheme val="none"/>
      </font>
    </dxf>
  </rfmt>
  <rfmt sheetId="1" sqref="A118:XFD118" start="0" length="0">
    <dxf>
      <font>
        <sz val="11"/>
        <color theme="1"/>
        <name val="Calibri"/>
        <scheme val="none"/>
      </font>
    </dxf>
  </rfmt>
  <rfmt sheetId="1" sqref="A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1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1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19" start="0" length="0">
    <dxf>
      <font>
        <sz val="11"/>
        <color theme="1"/>
        <name val="Calibri"/>
        <scheme val="none"/>
      </font>
    </dxf>
  </rfmt>
  <rfmt sheetId="1" sqref="AM119" start="0" length="0">
    <dxf>
      <font>
        <sz val="11"/>
        <color theme="1"/>
        <name val="Calibri"/>
        <scheme val="none"/>
      </font>
      <numFmt numFmtId="1" formatCode="0"/>
    </dxf>
  </rfmt>
  <rfmt sheetId="1" sqref="AN119" start="0" length="0">
    <dxf>
      <font>
        <sz val="11"/>
        <color theme="1"/>
        <name val="Calibri"/>
        <scheme val="none"/>
      </font>
      <numFmt numFmtId="1" formatCode="0"/>
    </dxf>
  </rfmt>
  <rfmt sheetId="1" sqref="AO119" start="0" length="0">
    <dxf>
      <font>
        <sz val="11"/>
        <color theme="1"/>
        <name val="Calibri"/>
        <scheme val="none"/>
      </font>
    </dxf>
  </rfmt>
  <rfmt sheetId="1" sqref="AP119" start="0" length="0">
    <dxf>
      <font>
        <sz val="11"/>
        <color theme="1"/>
        <name val="Calibri"/>
        <scheme val="none"/>
      </font>
    </dxf>
  </rfmt>
  <rfmt sheetId="1" sqref="AQ119" start="0" length="0">
    <dxf>
      <font>
        <sz val="11"/>
        <color theme="1"/>
        <name val="Calibri"/>
        <scheme val="none"/>
      </font>
      <numFmt numFmtId="164" formatCode="_-* #,##0_-;\-* #,##0_-;_-* &quot;-&quot;??_-;_-@_-"/>
    </dxf>
  </rfmt>
  <rfmt sheetId="1" sqref="AR119" start="0" length="0">
    <dxf>
      <font>
        <sz val="11"/>
        <color theme="1"/>
        <name val="Calibri"/>
        <scheme val="none"/>
      </font>
      <numFmt numFmtId="164" formatCode="_-* #,##0_-;\-* #,##0_-;_-* &quot;-&quot;??_-;_-@_-"/>
    </dxf>
  </rfmt>
  <rfmt sheetId="1" sqref="AS119" start="0" length="0">
    <dxf>
      <font>
        <sz val="11"/>
        <color theme="1"/>
        <name val="Calibri"/>
        <scheme val="none"/>
      </font>
      <numFmt numFmtId="164" formatCode="_-* #,##0_-;\-* #,##0_-;_-* &quot;-&quot;??_-;_-@_-"/>
    </dxf>
  </rfmt>
  <rfmt sheetId="1" sqref="AT119" start="0" length="0">
    <dxf>
      <font>
        <sz val="11"/>
        <color theme="1"/>
        <name val="Calibri"/>
        <scheme val="none"/>
      </font>
      <numFmt numFmtId="164" formatCode="_-* #,##0_-;\-* #,##0_-;_-* &quot;-&quot;??_-;_-@_-"/>
    </dxf>
  </rfmt>
  <rfmt sheetId="1" sqref="AU119" start="0" length="0">
    <dxf>
      <font>
        <sz val="11"/>
        <color theme="1"/>
        <name val="Calibri"/>
        <scheme val="none"/>
      </font>
    </dxf>
  </rfmt>
  <rfmt sheetId="1" sqref="AV119" start="0" length="0">
    <dxf>
      <font>
        <sz val="11"/>
        <color theme="1"/>
        <name val="Calibri"/>
        <scheme val="none"/>
      </font>
    </dxf>
  </rfmt>
  <rfmt sheetId="1" sqref="AW119" start="0" length="0">
    <dxf>
      <font>
        <sz val="11"/>
        <color theme="1"/>
        <name val="Calibri"/>
        <scheme val="none"/>
      </font>
    </dxf>
  </rfmt>
  <rfmt sheetId="1" sqref="AX119" start="0" length="0">
    <dxf>
      <font>
        <sz val="11"/>
        <color theme="1"/>
        <name val="Calibri"/>
        <scheme val="none"/>
      </font>
    </dxf>
  </rfmt>
  <rfmt sheetId="1" sqref="AY119" start="0" length="0">
    <dxf>
      <font>
        <sz val="11"/>
        <color theme="1"/>
        <name val="Calibri"/>
        <scheme val="none"/>
      </font>
    </dxf>
  </rfmt>
  <rfmt sheetId="1" sqref="A119:XFD119" start="0" length="0">
    <dxf>
      <font>
        <sz val="11"/>
        <color theme="1"/>
        <name val="Calibri"/>
        <scheme val="none"/>
      </font>
    </dxf>
  </rfmt>
  <rfmt sheetId="1" sqref="A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2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2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20" start="0" length="0">
    <dxf>
      <font>
        <sz val="11"/>
        <color theme="1"/>
        <name val="Calibri"/>
        <scheme val="none"/>
      </font>
    </dxf>
  </rfmt>
  <rfmt sheetId="1" sqref="AM120" start="0" length="0">
    <dxf>
      <font>
        <sz val="11"/>
        <color theme="1"/>
        <name val="Calibri"/>
        <scheme val="none"/>
      </font>
      <numFmt numFmtId="1" formatCode="0"/>
    </dxf>
  </rfmt>
  <rfmt sheetId="1" sqref="AN120" start="0" length="0">
    <dxf>
      <font>
        <sz val="11"/>
        <color theme="1"/>
        <name val="Calibri"/>
        <scheme val="none"/>
      </font>
      <numFmt numFmtId="1" formatCode="0"/>
    </dxf>
  </rfmt>
  <rfmt sheetId="1" sqref="AO120" start="0" length="0">
    <dxf>
      <font>
        <sz val="11"/>
        <color theme="1"/>
        <name val="Calibri"/>
        <scheme val="none"/>
      </font>
    </dxf>
  </rfmt>
  <rfmt sheetId="1" sqref="AP120" start="0" length="0">
    <dxf>
      <font>
        <sz val="11"/>
        <color theme="1"/>
        <name val="Calibri"/>
        <scheme val="none"/>
      </font>
    </dxf>
  </rfmt>
  <rfmt sheetId="1" sqref="AQ120" start="0" length="0">
    <dxf>
      <font>
        <sz val="11"/>
        <color theme="1"/>
        <name val="Calibri"/>
        <scheme val="none"/>
      </font>
      <numFmt numFmtId="164" formatCode="_-* #,##0_-;\-* #,##0_-;_-* &quot;-&quot;??_-;_-@_-"/>
    </dxf>
  </rfmt>
  <rfmt sheetId="1" sqref="AR120" start="0" length="0">
    <dxf>
      <font>
        <sz val="11"/>
        <color theme="1"/>
        <name val="Calibri"/>
        <scheme val="none"/>
      </font>
      <numFmt numFmtId="164" formatCode="_-* #,##0_-;\-* #,##0_-;_-* &quot;-&quot;??_-;_-@_-"/>
    </dxf>
  </rfmt>
  <rfmt sheetId="1" sqref="AS120" start="0" length="0">
    <dxf>
      <font>
        <sz val="11"/>
        <color theme="1"/>
        <name val="Calibri"/>
        <scheme val="none"/>
      </font>
      <numFmt numFmtId="164" formatCode="_-* #,##0_-;\-* #,##0_-;_-* &quot;-&quot;??_-;_-@_-"/>
    </dxf>
  </rfmt>
  <rfmt sheetId="1" sqref="AT120" start="0" length="0">
    <dxf>
      <font>
        <sz val="11"/>
        <color theme="1"/>
        <name val="Calibri"/>
        <scheme val="none"/>
      </font>
      <numFmt numFmtId="164" formatCode="_-* #,##0_-;\-* #,##0_-;_-* &quot;-&quot;??_-;_-@_-"/>
    </dxf>
  </rfmt>
  <rfmt sheetId="1" sqref="AU120" start="0" length="0">
    <dxf>
      <font>
        <sz val="11"/>
        <color theme="1"/>
        <name val="Calibri"/>
        <scheme val="none"/>
      </font>
    </dxf>
  </rfmt>
  <rfmt sheetId="1" sqref="AV120" start="0" length="0">
    <dxf>
      <font>
        <sz val="11"/>
        <color theme="1"/>
        <name val="Calibri"/>
        <scheme val="none"/>
      </font>
    </dxf>
  </rfmt>
  <rfmt sheetId="1" sqref="AW120" start="0" length="0">
    <dxf>
      <font>
        <sz val="11"/>
        <color theme="1"/>
        <name val="Calibri"/>
        <scheme val="none"/>
      </font>
    </dxf>
  </rfmt>
  <rfmt sheetId="1" sqref="AX120" start="0" length="0">
    <dxf>
      <font>
        <sz val="11"/>
        <color theme="1"/>
        <name val="Calibri"/>
        <scheme val="none"/>
      </font>
    </dxf>
  </rfmt>
  <rfmt sheetId="1" sqref="AY120" start="0" length="0">
    <dxf>
      <font>
        <sz val="11"/>
        <color theme="1"/>
        <name val="Calibri"/>
        <scheme val="none"/>
      </font>
    </dxf>
  </rfmt>
  <rfmt sheetId="1" sqref="A120:XFD120" start="0" length="0">
    <dxf>
      <font>
        <sz val="11"/>
        <color theme="1"/>
        <name val="Calibri"/>
        <scheme val="none"/>
      </font>
    </dxf>
  </rfmt>
  <rfmt sheetId="1" sqref="A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2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2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21" start="0" length="0">
    <dxf>
      <font>
        <sz val="11"/>
        <color theme="1"/>
        <name val="Calibri"/>
        <scheme val="none"/>
      </font>
    </dxf>
  </rfmt>
  <rfmt sheetId="1" sqref="AM121" start="0" length="0">
    <dxf>
      <font>
        <sz val="11"/>
        <color theme="1"/>
        <name val="Calibri"/>
        <scheme val="none"/>
      </font>
      <numFmt numFmtId="1" formatCode="0"/>
    </dxf>
  </rfmt>
  <rfmt sheetId="1" sqref="AN121" start="0" length="0">
    <dxf>
      <font>
        <sz val="11"/>
        <color theme="1"/>
        <name val="Calibri"/>
        <scheme val="none"/>
      </font>
      <numFmt numFmtId="1" formatCode="0"/>
    </dxf>
  </rfmt>
  <rfmt sheetId="1" sqref="AO121" start="0" length="0">
    <dxf>
      <font>
        <sz val="11"/>
        <color theme="1"/>
        <name val="Calibri"/>
        <scheme val="none"/>
      </font>
    </dxf>
  </rfmt>
  <rfmt sheetId="1" sqref="AP121" start="0" length="0">
    <dxf>
      <font>
        <sz val="11"/>
        <color theme="1"/>
        <name val="Calibri"/>
        <scheme val="none"/>
      </font>
    </dxf>
  </rfmt>
  <rfmt sheetId="1" sqref="AQ121" start="0" length="0">
    <dxf>
      <font>
        <sz val="11"/>
        <color theme="1"/>
        <name val="Calibri"/>
        <scheme val="none"/>
      </font>
      <numFmt numFmtId="164" formatCode="_-* #,##0_-;\-* #,##0_-;_-* &quot;-&quot;??_-;_-@_-"/>
    </dxf>
  </rfmt>
  <rfmt sheetId="1" sqref="AR121" start="0" length="0">
    <dxf>
      <font>
        <sz val="11"/>
        <color theme="1"/>
        <name val="Calibri"/>
        <scheme val="none"/>
      </font>
      <numFmt numFmtId="164" formatCode="_-* #,##0_-;\-* #,##0_-;_-* &quot;-&quot;??_-;_-@_-"/>
    </dxf>
  </rfmt>
  <rfmt sheetId="1" sqref="AS121" start="0" length="0">
    <dxf>
      <font>
        <sz val="11"/>
        <color theme="1"/>
        <name val="Calibri"/>
        <scheme val="none"/>
      </font>
      <numFmt numFmtId="164" formatCode="_-* #,##0_-;\-* #,##0_-;_-* &quot;-&quot;??_-;_-@_-"/>
    </dxf>
  </rfmt>
  <rfmt sheetId="1" sqref="AT121" start="0" length="0">
    <dxf>
      <font>
        <sz val="11"/>
        <color theme="1"/>
        <name val="Calibri"/>
        <scheme val="none"/>
      </font>
      <numFmt numFmtId="164" formatCode="_-* #,##0_-;\-* #,##0_-;_-* &quot;-&quot;??_-;_-@_-"/>
    </dxf>
  </rfmt>
  <rfmt sheetId="1" sqref="AU121" start="0" length="0">
    <dxf>
      <font>
        <sz val="11"/>
        <color theme="1"/>
        <name val="Calibri"/>
        <scheme val="none"/>
      </font>
    </dxf>
  </rfmt>
  <rfmt sheetId="1" sqref="AV121" start="0" length="0">
    <dxf>
      <font>
        <sz val="11"/>
        <color theme="1"/>
        <name val="Calibri"/>
        <scheme val="none"/>
      </font>
    </dxf>
  </rfmt>
  <rfmt sheetId="1" sqref="AW121" start="0" length="0">
    <dxf>
      <font>
        <sz val="11"/>
        <color theme="1"/>
        <name val="Calibri"/>
        <scheme val="none"/>
      </font>
    </dxf>
  </rfmt>
  <rfmt sheetId="1" sqref="AX121" start="0" length="0">
    <dxf>
      <font>
        <sz val="11"/>
        <color theme="1"/>
        <name val="Calibri"/>
        <scheme val="none"/>
      </font>
    </dxf>
  </rfmt>
  <rfmt sheetId="1" sqref="AY121" start="0" length="0">
    <dxf>
      <font>
        <sz val="11"/>
        <color theme="1"/>
        <name val="Calibri"/>
        <scheme val="none"/>
      </font>
    </dxf>
  </rfmt>
  <rfmt sheetId="1" sqref="A121:XFD121" start="0" length="0">
    <dxf>
      <font>
        <sz val="11"/>
        <color theme="1"/>
        <name val="Calibri"/>
        <scheme val="none"/>
      </font>
    </dxf>
  </rfmt>
  <rfmt sheetId="1" sqref="A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2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2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22" start="0" length="0">
    <dxf>
      <font>
        <sz val="11"/>
        <color theme="1"/>
        <name val="Calibri"/>
        <scheme val="none"/>
      </font>
    </dxf>
  </rfmt>
  <rfmt sheetId="1" sqref="AM122" start="0" length="0">
    <dxf>
      <font>
        <sz val="11"/>
        <color theme="1"/>
        <name val="Calibri"/>
        <scheme val="none"/>
      </font>
      <numFmt numFmtId="1" formatCode="0"/>
    </dxf>
  </rfmt>
  <rfmt sheetId="1" sqref="AN122" start="0" length="0">
    <dxf>
      <font>
        <sz val="11"/>
        <color theme="1"/>
        <name val="Calibri"/>
        <scheme val="none"/>
      </font>
      <numFmt numFmtId="1" formatCode="0"/>
    </dxf>
  </rfmt>
  <rfmt sheetId="1" sqref="AO122" start="0" length="0">
    <dxf>
      <font>
        <sz val="11"/>
        <color theme="1"/>
        <name val="Calibri"/>
        <scheme val="none"/>
      </font>
    </dxf>
  </rfmt>
  <rfmt sheetId="1" sqref="AP122" start="0" length="0">
    <dxf>
      <font>
        <sz val="11"/>
        <color theme="1"/>
        <name val="Calibri"/>
        <scheme val="none"/>
      </font>
    </dxf>
  </rfmt>
  <rfmt sheetId="1" sqref="AQ122" start="0" length="0">
    <dxf>
      <font>
        <sz val="11"/>
        <color theme="1"/>
        <name val="Calibri"/>
        <scheme val="none"/>
      </font>
      <numFmt numFmtId="164" formatCode="_-* #,##0_-;\-* #,##0_-;_-* &quot;-&quot;??_-;_-@_-"/>
    </dxf>
  </rfmt>
  <rfmt sheetId="1" sqref="AR122" start="0" length="0">
    <dxf>
      <font>
        <sz val="11"/>
        <color theme="1"/>
        <name val="Calibri"/>
        <scheme val="none"/>
      </font>
      <numFmt numFmtId="164" formatCode="_-* #,##0_-;\-* #,##0_-;_-* &quot;-&quot;??_-;_-@_-"/>
    </dxf>
  </rfmt>
  <rfmt sheetId="1" sqref="AS122" start="0" length="0">
    <dxf>
      <font>
        <sz val="11"/>
        <color theme="1"/>
        <name val="Calibri"/>
        <scheme val="none"/>
      </font>
      <numFmt numFmtId="164" formatCode="_-* #,##0_-;\-* #,##0_-;_-* &quot;-&quot;??_-;_-@_-"/>
    </dxf>
  </rfmt>
  <rfmt sheetId="1" sqref="AT122" start="0" length="0">
    <dxf>
      <font>
        <sz val="11"/>
        <color theme="1"/>
        <name val="Calibri"/>
        <scheme val="none"/>
      </font>
      <numFmt numFmtId="164" formatCode="_-* #,##0_-;\-* #,##0_-;_-* &quot;-&quot;??_-;_-@_-"/>
    </dxf>
  </rfmt>
  <rfmt sheetId="1" sqref="AU122" start="0" length="0">
    <dxf>
      <font>
        <sz val="11"/>
        <color theme="1"/>
        <name val="Calibri"/>
        <scheme val="none"/>
      </font>
    </dxf>
  </rfmt>
  <rfmt sheetId="1" sqref="AV122" start="0" length="0">
    <dxf>
      <font>
        <sz val="11"/>
        <color theme="1"/>
        <name val="Calibri"/>
        <scheme val="none"/>
      </font>
    </dxf>
  </rfmt>
  <rfmt sheetId="1" sqref="AW122" start="0" length="0">
    <dxf>
      <font>
        <sz val="11"/>
        <color theme="1"/>
        <name val="Calibri"/>
        <scheme val="none"/>
      </font>
    </dxf>
  </rfmt>
  <rfmt sheetId="1" sqref="AX122" start="0" length="0">
    <dxf>
      <font>
        <sz val="11"/>
        <color theme="1"/>
        <name val="Calibri"/>
        <scheme val="none"/>
      </font>
    </dxf>
  </rfmt>
  <rfmt sheetId="1" sqref="AY122" start="0" length="0">
    <dxf>
      <font>
        <sz val="11"/>
        <color theme="1"/>
        <name val="Calibri"/>
        <scheme val="none"/>
      </font>
    </dxf>
  </rfmt>
  <rfmt sheetId="1" sqref="A122:XFD122" start="0" length="0">
    <dxf>
      <font>
        <sz val="11"/>
        <color theme="1"/>
        <name val="Calibri"/>
        <scheme val="none"/>
      </font>
    </dxf>
  </rfmt>
  <rfmt sheetId="1" sqref="A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2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2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23" start="0" length="0">
    <dxf>
      <font>
        <sz val="11"/>
        <color theme="1"/>
        <name val="Calibri"/>
        <scheme val="none"/>
      </font>
    </dxf>
  </rfmt>
  <rfmt sheetId="1" sqref="AM123" start="0" length="0">
    <dxf>
      <font>
        <sz val="11"/>
        <color theme="1"/>
        <name val="Calibri"/>
        <scheme val="none"/>
      </font>
      <numFmt numFmtId="1" formatCode="0"/>
    </dxf>
  </rfmt>
  <rfmt sheetId="1" sqref="AN123" start="0" length="0">
    <dxf>
      <font>
        <sz val="11"/>
        <color theme="1"/>
        <name val="Calibri"/>
        <scheme val="none"/>
      </font>
      <numFmt numFmtId="1" formatCode="0"/>
    </dxf>
  </rfmt>
  <rfmt sheetId="1" sqref="AO123" start="0" length="0">
    <dxf>
      <font>
        <sz val="11"/>
        <color theme="1"/>
        <name val="Calibri"/>
        <scheme val="none"/>
      </font>
    </dxf>
  </rfmt>
  <rfmt sheetId="1" sqref="AP123" start="0" length="0">
    <dxf>
      <font>
        <sz val="11"/>
        <color theme="1"/>
        <name val="Calibri"/>
        <scheme val="none"/>
      </font>
    </dxf>
  </rfmt>
  <rfmt sheetId="1" sqref="AQ123" start="0" length="0">
    <dxf>
      <font>
        <sz val="11"/>
        <color theme="1"/>
        <name val="Calibri"/>
        <scheme val="none"/>
      </font>
      <numFmt numFmtId="164" formatCode="_-* #,##0_-;\-* #,##0_-;_-* &quot;-&quot;??_-;_-@_-"/>
    </dxf>
  </rfmt>
  <rfmt sheetId="1" sqref="AR123" start="0" length="0">
    <dxf>
      <font>
        <sz val="11"/>
        <color theme="1"/>
        <name val="Calibri"/>
        <scheme val="none"/>
      </font>
      <numFmt numFmtId="164" formatCode="_-* #,##0_-;\-* #,##0_-;_-* &quot;-&quot;??_-;_-@_-"/>
    </dxf>
  </rfmt>
  <rfmt sheetId="1" sqref="AS123" start="0" length="0">
    <dxf>
      <font>
        <sz val="11"/>
        <color theme="1"/>
        <name val="Calibri"/>
        <scheme val="none"/>
      </font>
      <numFmt numFmtId="164" formatCode="_-* #,##0_-;\-* #,##0_-;_-* &quot;-&quot;??_-;_-@_-"/>
    </dxf>
  </rfmt>
  <rfmt sheetId="1" sqref="AT123" start="0" length="0">
    <dxf>
      <font>
        <sz val="11"/>
        <color theme="1"/>
        <name val="Calibri"/>
        <scheme val="none"/>
      </font>
      <numFmt numFmtId="164" formatCode="_-* #,##0_-;\-* #,##0_-;_-* &quot;-&quot;??_-;_-@_-"/>
    </dxf>
  </rfmt>
  <rfmt sheetId="1" sqref="AU123" start="0" length="0">
    <dxf>
      <font>
        <sz val="11"/>
        <color theme="1"/>
        <name val="Calibri"/>
        <scheme val="none"/>
      </font>
    </dxf>
  </rfmt>
  <rfmt sheetId="1" sqref="AV123" start="0" length="0">
    <dxf>
      <font>
        <sz val="11"/>
        <color theme="1"/>
        <name val="Calibri"/>
        <scheme val="none"/>
      </font>
    </dxf>
  </rfmt>
  <rfmt sheetId="1" sqref="AW123" start="0" length="0">
    <dxf>
      <font>
        <sz val="11"/>
        <color theme="1"/>
        <name val="Calibri"/>
        <scheme val="none"/>
      </font>
    </dxf>
  </rfmt>
  <rfmt sheetId="1" sqref="AX123" start="0" length="0">
    <dxf>
      <font>
        <sz val="11"/>
        <color theme="1"/>
        <name val="Calibri"/>
        <scheme val="none"/>
      </font>
    </dxf>
  </rfmt>
  <rfmt sheetId="1" sqref="AY123" start="0" length="0">
    <dxf>
      <font>
        <sz val="11"/>
        <color theme="1"/>
        <name val="Calibri"/>
        <scheme val="none"/>
      </font>
    </dxf>
  </rfmt>
  <rfmt sheetId="1" sqref="A123:XFD123" start="0" length="0">
    <dxf>
      <font>
        <sz val="11"/>
        <color theme="1"/>
        <name val="Calibri"/>
        <scheme val="none"/>
      </font>
    </dxf>
  </rfmt>
  <rfmt sheetId="1" sqref="A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2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2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24" start="0" length="0">
    <dxf>
      <font>
        <sz val="11"/>
        <color theme="1"/>
        <name val="Calibri"/>
        <scheme val="none"/>
      </font>
    </dxf>
  </rfmt>
  <rfmt sheetId="1" sqref="AM124" start="0" length="0">
    <dxf>
      <font>
        <sz val="11"/>
        <color theme="1"/>
        <name val="Calibri"/>
        <scheme val="none"/>
      </font>
      <numFmt numFmtId="1" formatCode="0"/>
    </dxf>
  </rfmt>
  <rfmt sheetId="1" sqref="AN124" start="0" length="0">
    <dxf>
      <font>
        <sz val="11"/>
        <color theme="1"/>
        <name val="Calibri"/>
        <scheme val="none"/>
      </font>
      <numFmt numFmtId="1" formatCode="0"/>
    </dxf>
  </rfmt>
  <rfmt sheetId="1" sqref="AO124" start="0" length="0">
    <dxf>
      <font>
        <sz val="11"/>
        <color theme="1"/>
        <name val="Calibri"/>
        <scheme val="none"/>
      </font>
    </dxf>
  </rfmt>
  <rfmt sheetId="1" sqref="AP124" start="0" length="0">
    <dxf>
      <font>
        <sz val="11"/>
        <color theme="1"/>
        <name val="Calibri"/>
        <scheme val="none"/>
      </font>
    </dxf>
  </rfmt>
  <rfmt sheetId="1" sqref="AQ124" start="0" length="0">
    <dxf>
      <font>
        <sz val="11"/>
        <color theme="1"/>
        <name val="Calibri"/>
        <scheme val="none"/>
      </font>
      <numFmt numFmtId="164" formatCode="_-* #,##0_-;\-* #,##0_-;_-* &quot;-&quot;??_-;_-@_-"/>
    </dxf>
  </rfmt>
  <rfmt sheetId="1" sqref="AR124" start="0" length="0">
    <dxf>
      <font>
        <sz val="11"/>
        <color theme="1"/>
        <name val="Calibri"/>
        <scheme val="none"/>
      </font>
      <numFmt numFmtId="164" formatCode="_-* #,##0_-;\-* #,##0_-;_-* &quot;-&quot;??_-;_-@_-"/>
    </dxf>
  </rfmt>
  <rfmt sheetId="1" sqref="AS124" start="0" length="0">
    <dxf>
      <font>
        <sz val="11"/>
        <color theme="1"/>
        <name val="Calibri"/>
        <scheme val="none"/>
      </font>
      <numFmt numFmtId="164" formatCode="_-* #,##0_-;\-* #,##0_-;_-* &quot;-&quot;??_-;_-@_-"/>
    </dxf>
  </rfmt>
  <rfmt sheetId="1" sqref="AT124" start="0" length="0">
    <dxf>
      <font>
        <sz val="11"/>
        <color theme="1"/>
        <name val="Calibri"/>
        <scheme val="none"/>
      </font>
      <numFmt numFmtId="164" formatCode="_-* #,##0_-;\-* #,##0_-;_-* &quot;-&quot;??_-;_-@_-"/>
    </dxf>
  </rfmt>
  <rfmt sheetId="1" sqref="AU124" start="0" length="0">
    <dxf>
      <font>
        <sz val="11"/>
        <color theme="1"/>
        <name val="Calibri"/>
        <scheme val="none"/>
      </font>
    </dxf>
  </rfmt>
  <rfmt sheetId="1" sqref="AV124" start="0" length="0">
    <dxf>
      <font>
        <sz val="11"/>
        <color theme="1"/>
        <name val="Calibri"/>
        <scheme val="none"/>
      </font>
    </dxf>
  </rfmt>
  <rfmt sheetId="1" sqref="AW124" start="0" length="0">
    <dxf>
      <font>
        <sz val="11"/>
        <color theme="1"/>
        <name val="Calibri"/>
        <scheme val="none"/>
      </font>
    </dxf>
  </rfmt>
  <rfmt sheetId="1" sqref="AX124" start="0" length="0">
    <dxf>
      <font>
        <sz val="11"/>
        <color theme="1"/>
        <name val="Calibri"/>
        <scheme val="none"/>
      </font>
    </dxf>
  </rfmt>
  <rfmt sheetId="1" sqref="AY124" start="0" length="0">
    <dxf>
      <font>
        <sz val="11"/>
        <color theme="1"/>
        <name val="Calibri"/>
        <scheme val="none"/>
      </font>
    </dxf>
  </rfmt>
  <rfmt sheetId="1" sqref="A124:XFD124" start="0" length="0">
    <dxf>
      <font>
        <sz val="11"/>
        <color theme="1"/>
        <name val="Calibri"/>
        <scheme val="none"/>
      </font>
    </dxf>
  </rfmt>
  <rfmt sheetId="1" sqref="A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2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2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25" start="0" length="0">
    <dxf>
      <font>
        <sz val="11"/>
        <color theme="1"/>
        <name val="Calibri"/>
        <scheme val="none"/>
      </font>
    </dxf>
  </rfmt>
  <rfmt sheetId="1" sqref="AM125" start="0" length="0">
    <dxf>
      <font>
        <sz val="11"/>
        <color theme="1"/>
        <name val="Calibri"/>
        <scheme val="none"/>
      </font>
      <numFmt numFmtId="1" formatCode="0"/>
    </dxf>
  </rfmt>
  <rfmt sheetId="1" sqref="AN125" start="0" length="0">
    <dxf>
      <font>
        <sz val="11"/>
        <color theme="1"/>
        <name val="Calibri"/>
        <scheme val="none"/>
      </font>
      <numFmt numFmtId="1" formatCode="0"/>
    </dxf>
  </rfmt>
  <rfmt sheetId="1" sqref="AO125" start="0" length="0">
    <dxf>
      <font>
        <sz val="11"/>
        <color theme="1"/>
        <name val="Calibri"/>
        <scheme val="none"/>
      </font>
    </dxf>
  </rfmt>
  <rfmt sheetId="1" sqref="AP125" start="0" length="0">
    <dxf>
      <font>
        <sz val="11"/>
        <color theme="1"/>
        <name val="Calibri"/>
        <scheme val="none"/>
      </font>
    </dxf>
  </rfmt>
  <rfmt sheetId="1" sqref="AQ125" start="0" length="0">
    <dxf>
      <font>
        <sz val="11"/>
        <color theme="1"/>
        <name val="Calibri"/>
        <scheme val="none"/>
      </font>
      <numFmt numFmtId="164" formatCode="_-* #,##0_-;\-* #,##0_-;_-* &quot;-&quot;??_-;_-@_-"/>
    </dxf>
  </rfmt>
  <rfmt sheetId="1" sqref="AR125" start="0" length="0">
    <dxf>
      <font>
        <sz val="11"/>
        <color theme="1"/>
        <name val="Calibri"/>
        <scheme val="none"/>
      </font>
      <numFmt numFmtId="164" formatCode="_-* #,##0_-;\-* #,##0_-;_-* &quot;-&quot;??_-;_-@_-"/>
    </dxf>
  </rfmt>
  <rfmt sheetId="1" sqref="AS125" start="0" length="0">
    <dxf>
      <font>
        <sz val="11"/>
        <color theme="1"/>
        <name val="Calibri"/>
        <scheme val="none"/>
      </font>
      <numFmt numFmtId="164" formatCode="_-* #,##0_-;\-* #,##0_-;_-* &quot;-&quot;??_-;_-@_-"/>
    </dxf>
  </rfmt>
  <rfmt sheetId="1" sqref="AT125" start="0" length="0">
    <dxf>
      <font>
        <sz val="11"/>
        <color theme="1"/>
        <name val="Calibri"/>
        <scheme val="none"/>
      </font>
      <numFmt numFmtId="164" formatCode="_-* #,##0_-;\-* #,##0_-;_-* &quot;-&quot;??_-;_-@_-"/>
    </dxf>
  </rfmt>
  <rfmt sheetId="1" sqref="AU125" start="0" length="0">
    <dxf>
      <font>
        <sz val="11"/>
        <color theme="1"/>
        <name val="Calibri"/>
        <scheme val="none"/>
      </font>
    </dxf>
  </rfmt>
  <rfmt sheetId="1" sqref="AV125" start="0" length="0">
    <dxf>
      <font>
        <sz val="11"/>
        <color theme="1"/>
        <name val="Calibri"/>
        <scheme val="none"/>
      </font>
    </dxf>
  </rfmt>
  <rfmt sheetId="1" sqref="AW125" start="0" length="0">
    <dxf>
      <font>
        <sz val="11"/>
        <color theme="1"/>
        <name val="Calibri"/>
        <scheme val="none"/>
      </font>
    </dxf>
  </rfmt>
  <rfmt sheetId="1" sqref="AX125" start="0" length="0">
    <dxf>
      <font>
        <sz val="11"/>
        <color theme="1"/>
        <name val="Calibri"/>
        <scheme val="none"/>
      </font>
    </dxf>
  </rfmt>
  <rfmt sheetId="1" sqref="AY125" start="0" length="0">
    <dxf>
      <font>
        <sz val="11"/>
        <color theme="1"/>
        <name val="Calibri"/>
        <scheme val="none"/>
      </font>
    </dxf>
  </rfmt>
  <rfmt sheetId="1" sqref="A125:XFD125" start="0" length="0">
    <dxf>
      <font>
        <sz val="11"/>
        <color theme="1"/>
        <name val="Calibri"/>
        <scheme val="none"/>
      </font>
    </dxf>
  </rfmt>
  <rfmt sheetId="1" sqref="A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2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2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26" start="0" length="0">
    <dxf>
      <font>
        <sz val="11"/>
        <color theme="1"/>
        <name val="Calibri"/>
        <scheme val="none"/>
      </font>
    </dxf>
  </rfmt>
  <rfmt sheetId="1" sqref="AM126" start="0" length="0">
    <dxf>
      <font>
        <sz val="11"/>
        <color theme="1"/>
        <name val="Calibri"/>
        <scheme val="none"/>
      </font>
      <numFmt numFmtId="1" formatCode="0"/>
    </dxf>
  </rfmt>
  <rfmt sheetId="1" sqref="AN126" start="0" length="0">
    <dxf>
      <font>
        <sz val="11"/>
        <color theme="1"/>
        <name val="Calibri"/>
        <scheme val="none"/>
      </font>
      <numFmt numFmtId="1" formatCode="0"/>
    </dxf>
  </rfmt>
  <rfmt sheetId="1" sqref="AO126" start="0" length="0">
    <dxf>
      <font>
        <sz val="11"/>
        <color theme="1"/>
        <name val="Calibri"/>
        <scheme val="none"/>
      </font>
    </dxf>
  </rfmt>
  <rfmt sheetId="1" sqref="AP126" start="0" length="0">
    <dxf>
      <font>
        <sz val="11"/>
        <color theme="1"/>
        <name val="Calibri"/>
        <scheme val="none"/>
      </font>
    </dxf>
  </rfmt>
  <rfmt sheetId="1" sqref="AQ126" start="0" length="0">
    <dxf>
      <font>
        <sz val="11"/>
        <color theme="1"/>
        <name val="Calibri"/>
        <scheme val="none"/>
      </font>
      <numFmt numFmtId="164" formatCode="_-* #,##0_-;\-* #,##0_-;_-* &quot;-&quot;??_-;_-@_-"/>
    </dxf>
  </rfmt>
  <rfmt sheetId="1" sqref="AR126" start="0" length="0">
    <dxf>
      <font>
        <sz val="11"/>
        <color theme="1"/>
        <name val="Calibri"/>
        <scheme val="none"/>
      </font>
      <numFmt numFmtId="164" formatCode="_-* #,##0_-;\-* #,##0_-;_-* &quot;-&quot;??_-;_-@_-"/>
    </dxf>
  </rfmt>
  <rfmt sheetId="1" sqref="AS126" start="0" length="0">
    <dxf>
      <font>
        <sz val="11"/>
        <color theme="1"/>
        <name val="Calibri"/>
        <scheme val="none"/>
      </font>
      <numFmt numFmtId="164" formatCode="_-* #,##0_-;\-* #,##0_-;_-* &quot;-&quot;??_-;_-@_-"/>
    </dxf>
  </rfmt>
  <rfmt sheetId="1" sqref="AT126" start="0" length="0">
    <dxf>
      <font>
        <sz val="11"/>
        <color theme="1"/>
        <name val="Calibri"/>
        <scheme val="none"/>
      </font>
      <numFmt numFmtId="164" formatCode="_-* #,##0_-;\-* #,##0_-;_-* &quot;-&quot;??_-;_-@_-"/>
    </dxf>
  </rfmt>
  <rfmt sheetId="1" sqref="AU126" start="0" length="0">
    <dxf>
      <font>
        <sz val="11"/>
        <color theme="1"/>
        <name val="Calibri"/>
        <scheme val="none"/>
      </font>
    </dxf>
  </rfmt>
  <rfmt sheetId="1" sqref="AV126" start="0" length="0">
    <dxf>
      <font>
        <sz val="11"/>
        <color theme="1"/>
        <name val="Calibri"/>
        <scheme val="none"/>
      </font>
    </dxf>
  </rfmt>
  <rfmt sheetId="1" sqref="AW126" start="0" length="0">
    <dxf>
      <font>
        <sz val="11"/>
        <color theme="1"/>
        <name val="Calibri"/>
        <scheme val="none"/>
      </font>
    </dxf>
  </rfmt>
  <rfmt sheetId="1" sqref="AX126" start="0" length="0">
    <dxf>
      <font>
        <sz val="11"/>
        <color theme="1"/>
        <name val="Calibri"/>
        <scheme val="none"/>
      </font>
    </dxf>
  </rfmt>
  <rfmt sheetId="1" sqref="AY126" start="0" length="0">
    <dxf>
      <font>
        <sz val="11"/>
        <color theme="1"/>
        <name val="Calibri"/>
        <scheme val="none"/>
      </font>
    </dxf>
  </rfmt>
  <rfmt sheetId="1" sqref="A126:XFD126" start="0" length="0">
    <dxf>
      <font>
        <sz val="11"/>
        <color theme="1"/>
        <name val="Calibri"/>
        <scheme val="none"/>
      </font>
    </dxf>
  </rfmt>
  <rfmt sheetId="1" sqref="A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2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2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27" start="0" length="0">
    <dxf>
      <font>
        <sz val="11"/>
        <color theme="1"/>
        <name val="Calibri"/>
        <scheme val="none"/>
      </font>
    </dxf>
  </rfmt>
  <rfmt sheetId="1" sqref="AM127" start="0" length="0">
    <dxf>
      <font>
        <sz val="11"/>
        <color theme="1"/>
        <name val="Calibri"/>
        <scheme val="none"/>
      </font>
      <numFmt numFmtId="1" formatCode="0"/>
    </dxf>
  </rfmt>
  <rfmt sheetId="1" sqref="AN127" start="0" length="0">
    <dxf>
      <font>
        <sz val="11"/>
        <color theme="1"/>
        <name val="Calibri"/>
        <scheme val="none"/>
      </font>
      <numFmt numFmtId="1" formatCode="0"/>
    </dxf>
  </rfmt>
  <rfmt sheetId="1" sqref="AO127" start="0" length="0">
    <dxf>
      <font>
        <sz val="11"/>
        <color theme="1"/>
        <name val="Calibri"/>
        <scheme val="none"/>
      </font>
    </dxf>
  </rfmt>
  <rfmt sheetId="1" sqref="AP127" start="0" length="0">
    <dxf>
      <font>
        <sz val="11"/>
        <color theme="1"/>
        <name val="Calibri"/>
        <scheme val="none"/>
      </font>
    </dxf>
  </rfmt>
  <rfmt sheetId="1" sqref="AQ127" start="0" length="0">
    <dxf>
      <font>
        <sz val="11"/>
        <color theme="1"/>
        <name val="Calibri"/>
        <scheme val="none"/>
      </font>
      <numFmt numFmtId="164" formatCode="_-* #,##0_-;\-* #,##0_-;_-* &quot;-&quot;??_-;_-@_-"/>
    </dxf>
  </rfmt>
  <rfmt sheetId="1" sqref="AR127" start="0" length="0">
    <dxf>
      <font>
        <sz val="11"/>
        <color theme="1"/>
        <name val="Calibri"/>
        <scheme val="none"/>
      </font>
      <numFmt numFmtId="164" formatCode="_-* #,##0_-;\-* #,##0_-;_-* &quot;-&quot;??_-;_-@_-"/>
    </dxf>
  </rfmt>
  <rfmt sheetId="1" sqref="AS127" start="0" length="0">
    <dxf>
      <font>
        <sz val="11"/>
        <color theme="1"/>
        <name val="Calibri"/>
        <scheme val="none"/>
      </font>
      <numFmt numFmtId="164" formatCode="_-* #,##0_-;\-* #,##0_-;_-* &quot;-&quot;??_-;_-@_-"/>
    </dxf>
  </rfmt>
  <rfmt sheetId="1" sqref="AT127" start="0" length="0">
    <dxf>
      <font>
        <sz val="11"/>
        <color theme="1"/>
        <name val="Calibri"/>
        <scheme val="none"/>
      </font>
      <numFmt numFmtId="164" formatCode="_-* #,##0_-;\-* #,##0_-;_-* &quot;-&quot;??_-;_-@_-"/>
    </dxf>
  </rfmt>
  <rfmt sheetId="1" sqref="AU127" start="0" length="0">
    <dxf>
      <font>
        <sz val="11"/>
        <color theme="1"/>
        <name val="Calibri"/>
        <scheme val="none"/>
      </font>
    </dxf>
  </rfmt>
  <rfmt sheetId="1" sqref="AV127" start="0" length="0">
    <dxf>
      <font>
        <sz val="11"/>
        <color theme="1"/>
        <name val="Calibri"/>
        <scheme val="none"/>
      </font>
    </dxf>
  </rfmt>
  <rfmt sheetId="1" sqref="AW127" start="0" length="0">
    <dxf>
      <font>
        <sz val="11"/>
        <color theme="1"/>
        <name val="Calibri"/>
        <scheme val="none"/>
      </font>
    </dxf>
  </rfmt>
  <rfmt sheetId="1" sqref="AX127" start="0" length="0">
    <dxf>
      <font>
        <sz val="11"/>
        <color theme="1"/>
        <name val="Calibri"/>
        <scheme val="none"/>
      </font>
    </dxf>
  </rfmt>
  <rfmt sheetId="1" sqref="AY127" start="0" length="0">
    <dxf>
      <font>
        <sz val="11"/>
        <color theme="1"/>
        <name val="Calibri"/>
        <scheme val="none"/>
      </font>
    </dxf>
  </rfmt>
  <rfmt sheetId="1" sqref="A127:XFD127" start="0" length="0">
    <dxf>
      <font>
        <sz val="11"/>
        <color theme="1"/>
        <name val="Calibri"/>
        <scheme val="none"/>
      </font>
    </dxf>
  </rfmt>
  <rfmt sheetId="1" sqref="A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2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2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28" start="0" length="0">
    <dxf>
      <font>
        <sz val="11"/>
        <color theme="1"/>
        <name val="Calibri"/>
        <scheme val="none"/>
      </font>
    </dxf>
  </rfmt>
  <rfmt sheetId="1" sqref="AM128" start="0" length="0">
    <dxf>
      <font>
        <sz val="11"/>
        <color theme="1"/>
        <name val="Calibri"/>
        <scheme val="none"/>
      </font>
      <numFmt numFmtId="1" formatCode="0"/>
    </dxf>
  </rfmt>
  <rfmt sheetId="1" sqref="AN128" start="0" length="0">
    <dxf>
      <font>
        <sz val="11"/>
        <color theme="1"/>
        <name val="Calibri"/>
        <scheme val="none"/>
      </font>
      <numFmt numFmtId="1" formatCode="0"/>
    </dxf>
  </rfmt>
  <rfmt sheetId="1" sqref="AO128" start="0" length="0">
    <dxf>
      <font>
        <sz val="11"/>
        <color theme="1"/>
        <name val="Calibri"/>
        <scheme val="none"/>
      </font>
    </dxf>
  </rfmt>
  <rfmt sheetId="1" sqref="AP128" start="0" length="0">
    <dxf>
      <font>
        <sz val="11"/>
        <color theme="1"/>
        <name val="Calibri"/>
        <scheme val="none"/>
      </font>
    </dxf>
  </rfmt>
  <rfmt sheetId="1" sqref="AQ128" start="0" length="0">
    <dxf>
      <font>
        <sz val="11"/>
        <color theme="1"/>
        <name val="Calibri"/>
        <scheme val="none"/>
      </font>
      <numFmt numFmtId="164" formatCode="_-* #,##0_-;\-* #,##0_-;_-* &quot;-&quot;??_-;_-@_-"/>
    </dxf>
  </rfmt>
  <rfmt sheetId="1" sqref="AR128" start="0" length="0">
    <dxf>
      <font>
        <sz val="11"/>
        <color theme="1"/>
        <name val="Calibri"/>
        <scheme val="none"/>
      </font>
      <numFmt numFmtId="164" formatCode="_-* #,##0_-;\-* #,##0_-;_-* &quot;-&quot;??_-;_-@_-"/>
    </dxf>
  </rfmt>
  <rfmt sheetId="1" sqref="AS128" start="0" length="0">
    <dxf>
      <font>
        <sz val="11"/>
        <color theme="1"/>
        <name val="Calibri"/>
        <scheme val="none"/>
      </font>
      <numFmt numFmtId="164" formatCode="_-* #,##0_-;\-* #,##0_-;_-* &quot;-&quot;??_-;_-@_-"/>
    </dxf>
  </rfmt>
  <rfmt sheetId="1" sqref="AT128" start="0" length="0">
    <dxf>
      <font>
        <sz val="11"/>
        <color theme="1"/>
        <name val="Calibri"/>
        <scheme val="none"/>
      </font>
      <numFmt numFmtId="164" formatCode="_-* #,##0_-;\-* #,##0_-;_-* &quot;-&quot;??_-;_-@_-"/>
    </dxf>
  </rfmt>
  <rfmt sheetId="1" sqref="AU128" start="0" length="0">
    <dxf>
      <font>
        <sz val="11"/>
        <color theme="1"/>
        <name val="Calibri"/>
        <scheme val="none"/>
      </font>
    </dxf>
  </rfmt>
  <rfmt sheetId="1" sqref="AV128" start="0" length="0">
    <dxf>
      <font>
        <sz val="11"/>
        <color theme="1"/>
        <name val="Calibri"/>
        <scheme val="none"/>
      </font>
    </dxf>
  </rfmt>
  <rfmt sheetId="1" sqref="AW128" start="0" length="0">
    <dxf>
      <font>
        <sz val="11"/>
        <color theme="1"/>
        <name val="Calibri"/>
        <scheme val="none"/>
      </font>
    </dxf>
  </rfmt>
  <rfmt sheetId="1" sqref="AX128" start="0" length="0">
    <dxf>
      <font>
        <sz val="11"/>
        <color theme="1"/>
        <name val="Calibri"/>
        <scheme val="none"/>
      </font>
    </dxf>
  </rfmt>
  <rfmt sheetId="1" sqref="AY128" start="0" length="0">
    <dxf>
      <font>
        <sz val="11"/>
        <color theme="1"/>
        <name val="Calibri"/>
        <scheme val="none"/>
      </font>
    </dxf>
  </rfmt>
  <rfmt sheetId="1" sqref="A128:XFD128" start="0" length="0">
    <dxf>
      <font>
        <sz val="11"/>
        <color theme="1"/>
        <name val="Calibri"/>
        <scheme val="none"/>
      </font>
    </dxf>
  </rfmt>
  <rfmt sheetId="1" sqref="A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2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2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29" start="0" length="0">
    <dxf>
      <font>
        <sz val="11"/>
        <color theme="1"/>
        <name val="Calibri"/>
        <scheme val="none"/>
      </font>
    </dxf>
  </rfmt>
  <rfmt sheetId="1" sqref="AM129" start="0" length="0">
    <dxf>
      <font>
        <sz val="11"/>
        <color theme="1"/>
        <name val="Calibri"/>
        <scheme val="none"/>
      </font>
      <numFmt numFmtId="1" formatCode="0"/>
    </dxf>
  </rfmt>
  <rfmt sheetId="1" sqref="AN129" start="0" length="0">
    <dxf>
      <font>
        <sz val="11"/>
        <color theme="1"/>
        <name val="Calibri"/>
        <scheme val="none"/>
      </font>
      <numFmt numFmtId="1" formatCode="0"/>
    </dxf>
  </rfmt>
  <rfmt sheetId="1" sqref="AO129" start="0" length="0">
    <dxf>
      <font>
        <sz val="11"/>
        <color theme="1"/>
        <name val="Calibri"/>
        <scheme val="none"/>
      </font>
    </dxf>
  </rfmt>
  <rfmt sheetId="1" sqref="AP129" start="0" length="0">
    <dxf>
      <font>
        <sz val="11"/>
        <color theme="1"/>
        <name val="Calibri"/>
        <scheme val="none"/>
      </font>
    </dxf>
  </rfmt>
  <rfmt sheetId="1" sqref="AQ129" start="0" length="0">
    <dxf>
      <font>
        <sz val="11"/>
        <color theme="1"/>
        <name val="Calibri"/>
        <scheme val="none"/>
      </font>
      <numFmt numFmtId="164" formatCode="_-* #,##0_-;\-* #,##0_-;_-* &quot;-&quot;??_-;_-@_-"/>
    </dxf>
  </rfmt>
  <rfmt sheetId="1" sqref="AR129" start="0" length="0">
    <dxf>
      <font>
        <sz val="11"/>
        <color theme="1"/>
        <name val="Calibri"/>
        <scheme val="none"/>
      </font>
      <numFmt numFmtId="164" formatCode="_-* #,##0_-;\-* #,##0_-;_-* &quot;-&quot;??_-;_-@_-"/>
    </dxf>
  </rfmt>
  <rfmt sheetId="1" sqref="AS129" start="0" length="0">
    <dxf>
      <font>
        <sz val="11"/>
        <color theme="1"/>
        <name val="Calibri"/>
        <scheme val="none"/>
      </font>
      <numFmt numFmtId="164" formatCode="_-* #,##0_-;\-* #,##0_-;_-* &quot;-&quot;??_-;_-@_-"/>
    </dxf>
  </rfmt>
  <rfmt sheetId="1" sqref="AT129" start="0" length="0">
    <dxf>
      <font>
        <sz val="11"/>
        <color theme="1"/>
        <name val="Calibri"/>
        <scheme val="none"/>
      </font>
      <numFmt numFmtId="164" formatCode="_-* #,##0_-;\-* #,##0_-;_-* &quot;-&quot;??_-;_-@_-"/>
    </dxf>
  </rfmt>
  <rfmt sheetId="1" sqref="AU129" start="0" length="0">
    <dxf>
      <font>
        <sz val="11"/>
        <color theme="1"/>
        <name val="Calibri"/>
        <scheme val="none"/>
      </font>
    </dxf>
  </rfmt>
  <rfmt sheetId="1" sqref="AV129" start="0" length="0">
    <dxf>
      <font>
        <sz val="11"/>
        <color theme="1"/>
        <name val="Calibri"/>
        <scheme val="none"/>
      </font>
    </dxf>
  </rfmt>
  <rfmt sheetId="1" sqref="AW129" start="0" length="0">
    <dxf>
      <font>
        <sz val="11"/>
        <color theme="1"/>
        <name val="Calibri"/>
        <scheme val="none"/>
      </font>
    </dxf>
  </rfmt>
  <rfmt sheetId="1" sqref="AX129" start="0" length="0">
    <dxf>
      <font>
        <sz val="11"/>
        <color theme="1"/>
        <name val="Calibri"/>
        <scheme val="none"/>
      </font>
    </dxf>
  </rfmt>
  <rfmt sheetId="1" sqref="AY129" start="0" length="0">
    <dxf>
      <font>
        <sz val="11"/>
        <color theme="1"/>
        <name val="Calibri"/>
        <scheme val="none"/>
      </font>
    </dxf>
  </rfmt>
  <rfmt sheetId="1" sqref="A129:XFD129" start="0" length="0">
    <dxf>
      <font>
        <sz val="11"/>
        <color theme="1"/>
        <name val="Calibri"/>
        <scheme val="none"/>
      </font>
    </dxf>
  </rfmt>
  <rfmt sheetId="1" sqref="A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3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3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30" start="0" length="0">
    <dxf>
      <font>
        <sz val="11"/>
        <color theme="1"/>
        <name val="Calibri"/>
        <scheme val="none"/>
      </font>
    </dxf>
  </rfmt>
  <rfmt sheetId="1" sqref="AM130" start="0" length="0">
    <dxf>
      <font>
        <sz val="11"/>
        <color theme="1"/>
        <name val="Calibri"/>
        <scheme val="none"/>
      </font>
      <numFmt numFmtId="1" formatCode="0"/>
    </dxf>
  </rfmt>
  <rfmt sheetId="1" sqref="AN130" start="0" length="0">
    <dxf>
      <font>
        <sz val="11"/>
        <color theme="1"/>
        <name val="Calibri"/>
        <scheme val="none"/>
      </font>
      <numFmt numFmtId="1" formatCode="0"/>
    </dxf>
  </rfmt>
  <rfmt sheetId="1" sqref="AO130" start="0" length="0">
    <dxf>
      <font>
        <sz val="11"/>
        <color theme="1"/>
        <name val="Calibri"/>
        <scheme val="none"/>
      </font>
    </dxf>
  </rfmt>
  <rfmt sheetId="1" sqref="AP130" start="0" length="0">
    <dxf>
      <font>
        <sz val="11"/>
        <color theme="1"/>
        <name val="Calibri"/>
        <scheme val="none"/>
      </font>
    </dxf>
  </rfmt>
  <rfmt sheetId="1" sqref="AQ130" start="0" length="0">
    <dxf>
      <font>
        <sz val="11"/>
        <color theme="1"/>
        <name val="Calibri"/>
        <scheme val="none"/>
      </font>
      <numFmt numFmtId="164" formatCode="_-* #,##0_-;\-* #,##0_-;_-* &quot;-&quot;??_-;_-@_-"/>
    </dxf>
  </rfmt>
  <rfmt sheetId="1" sqref="AR130" start="0" length="0">
    <dxf>
      <font>
        <sz val="11"/>
        <color theme="1"/>
        <name val="Calibri"/>
        <scheme val="none"/>
      </font>
      <numFmt numFmtId="164" formatCode="_-* #,##0_-;\-* #,##0_-;_-* &quot;-&quot;??_-;_-@_-"/>
    </dxf>
  </rfmt>
  <rfmt sheetId="1" sqref="AS130" start="0" length="0">
    <dxf>
      <font>
        <sz val="11"/>
        <color theme="1"/>
        <name val="Calibri"/>
        <scheme val="none"/>
      </font>
      <numFmt numFmtId="164" formatCode="_-* #,##0_-;\-* #,##0_-;_-* &quot;-&quot;??_-;_-@_-"/>
    </dxf>
  </rfmt>
  <rfmt sheetId="1" sqref="AT130" start="0" length="0">
    <dxf>
      <font>
        <sz val="11"/>
        <color theme="1"/>
        <name val="Calibri"/>
        <scheme val="none"/>
      </font>
      <numFmt numFmtId="164" formatCode="_-* #,##0_-;\-* #,##0_-;_-* &quot;-&quot;??_-;_-@_-"/>
    </dxf>
  </rfmt>
  <rfmt sheetId="1" sqref="AU130" start="0" length="0">
    <dxf>
      <font>
        <sz val="11"/>
        <color theme="1"/>
        <name val="Calibri"/>
        <scheme val="none"/>
      </font>
    </dxf>
  </rfmt>
  <rfmt sheetId="1" sqref="AV130" start="0" length="0">
    <dxf>
      <font>
        <sz val="11"/>
        <color theme="1"/>
        <name val="Calibri"/>
        <scheme val="none"/>
      </font>
    </dxf>
  </rfmt>
  <rfmt sheetId="1" sqref="AW130" start="0" length="0">
    <dxf>
      <font>
        <sz val="11"/>
        <color theme="1"/>
        <name val="Calibri"/>
        <scheme val="none"/>
      </font>
    </dxf>
  </rfmt>
  <rfmt sheetId="1" sqref="AX130" start="0" length="0">
    <dxf>
      <font>
        <sz val="11"/>
        <color theme="1"/>
        <name val="Calibri"/>
        <scheme val="none"/>
      </font>
    </dxf>
  </rfmt>
  <rfmt sheetId="1" sqref="AY130" start="0" length="0">
    <dxf>
      <font>
        <sz val="11"/>
        <color theme="1"/>
        <name val="Calibri"/>
        <scheme val="none"/>
      </font>
    </dxf>
  </rfmt>
  <rfmt sheetId="1" sqref="A130:XFD130" start="0" length="0">
    <dxf>
      <font>
        <sz val="11"/>
        <color theme="1"/>
        <name val="Calibri"/>
        <scheme val="none"/>
      </font>
    </dxf>
  </rfmt>
  <rfmt sheetId="1" sqref="A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3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3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31" start="0" length="0">
    <dxf>
      <font>
        <sz val="11"/>
        <color theme="1"/>
        <name val="Calibri"/>
        <scheme val="none"/>
      </font>
    </dxf>
  </rfmt>
  <rfmt sheetId="1" sqref="AM131" start="0" length="0">
    <dxf>
      <font>
        <sz val="11"/>
        <color theme="1"/>
        <name val="Calibri"/>
        <scheme val="none"/>
      </font>
      <numFmt numFmtId="1" formatCode="0"/>
    </dxf>
  </rfmt>
  <rfmt sheetId="1" sqref="AN131" start="0" length="0">
    <dxf>
      <font>
        <sz val="11"/>
        <color theme="1"/>
        <name val="Calibri"/>
        <scheme val="none"/>
      </font>
      <numFmt numFmtId="1" formatCode="0"/>
    </dxf>
  </rfmt>
  <rfmt sheetId="1" sqref="AO131" start="0" length="0">
    <dxf>
      <font>
        <sz val="11"/>
        <color theme="1"/>
        <name val="Calibri"/>
        <scheme val="none"/>
      </font>
    </dxf>
  </rfmt>
  <rfmt sheetId="1" sqref="AP131" start="0" length="0">
    <dxf>
      <font>
        <sz val="11"/>
        <color theme="1"/>
        <name val="Calibri"/>
        <scheme val="none"/>
      </font>
    </dxf>
  </rfmt>
  <rfmt sheetId="1" sqref="AQ131" start="0" length="0">
    <dxf>
      <font>
        <sz val="11"/>
        <color theme="1"/>
        <name val="Calibri"/>
        <scheme val="none"/>
      </font>
      <numFmt numFmtId="164" formatCode="_-* #,##0_-;\-* #,##0_-;_-* &quot;-&quot;??_-;_-@_-"/>
    </dxf>
  </rfmt>
  <rfmt sheetId="1" sqref="AR131" start="0" length="0">
    <dxf>
      <font>
        <sz val="11"/>
        <color theme="1"/>
        <name val="Calibri"/>
        <scheme val="none"/>
      </font>
      <numFmt numFmtId="164" formatCode="_-* #,##0_-;\-* #,##0_-;_-* &quot;-&quot;??_-;_-@_-"/>
    </dxf>
  </rfmt>
  <rfmt sheetId="1" sqref="AS131" start="0" length="0">
    <dxf>
      <font>
        <sz val="11"/>
        <color theme="1"/>
        <name val="Calibri"/>
        <scheme val="none"/>
      </font>
      <numFmt numFmtId="164" formatCode="_-* #,##0_-;\-* #,##0_-;_-* &quot;-&quot;??_-;_-@_-"/>
    </dxf>
  </rfmt>
  <rfmt sheetId="1" sqref="AT131" start="0" length="0">
    <dxf>
      <font>
        <sz val="11"/>
        <color theme="1"/>
        <name val="Calibri"/>
        <scheme val="none"/>
      </font>
      <numFmt numFmtId="164" formatCode="_-* #,##0_-;\-* #,##0_-;_-* &quot;-&quot;??_-;_-@_-"/>
    </dxf>
  </rfmt>
  <rfmt sheetId="1" sqref="AU131" start="0" length="0">
    <dxf>
      <font>
        <sz val="11"/>
        <color theme="1"/>
        <name val="Calibri"/>
        <scheme val="none"/>
      </font>
    </dxf>
  </rfmt>
  <rfmt sheetId="1" sqref="AV131" start="0" length="0">
    <dxf>
      <font>
        <sz val="11"/>
        <color theme="1"/>
        <name val="Calibri"/>
        <scheme val="none"/>
      </font>
    </dxf>
  </rfmt>
  <rfmt sheetId="1" sqref="AW131" start="0" length="0">
    <dxf>
      <font>
        <sz val="11"/>
        <color theme="1"/>
        <name val="Calibri"/>
        <scheme val="none"/>
      </font>
    </dxf>
  </rfmt>
  <rfmt sheetId="1" sqref="AX131" start="0" length="0">
    <dxf>
      <font>
        <sz val="11"/>
        <color theme="1"/>
        <name val="Calibri"/>
        <scheme val="none"/>
      </font>
    </dxf>
  </rfmt>
  <rfmt sheetId="1" sqref="AY131" start="0" length="0">
    <dxf>
      <font>
        <sz val="11"/>
        <color theme="1"/>
        <name val="Calibri"/>
        <scheme val="none"/>
      </font>
    </dxf>
  </rfmt>
  <rfmt sheetId="1" sqref="A131:XFD131" start="0" length="0">
    <dxf>
      <font>
        <sz val="11"/>
        <color theme="1"/>
        <name val="Calibri"/>
        <scheme val="none"/>
      </font>
    </dxf>
  </rfmt>
  <rfmt sheetId="1" sqref="A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3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3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32" start="0" length="0">
    <dxf>
      <font>
        <sz val="11"/>
        <color theme="1"/>
        <name val="Calibri"/>
        <scheme val="none"/>
      </font>
    </dxf>
  </rfmt>
  <rfmt sheetId="1" sqref="AM132" start="0" length="0">
    <dxf>
      <font>
        <sz val="11"/>
        <color theme="1"/>
        <name val="Calibri"/>
        <scheme val="none"/>
      </font>
      <numFmt numFmtId="1" formatCode="0"/>
    </dxf>
  </rfmt>
  <rfmt sheetId="1" sqref="AN132" start="0" length="0">
    <dxf>
      <font>
        <sz val="11"/>
        <color theme="1"/>
        <name val="Calibri"/>
        <scheme val="none"/>
      </font>
      <numFmt numFmtId="1" formatCode="0"/>
    </dxf>
  </rfmt>
  <rfmt sheetId="1" sqref="AO132" start="0" length="0">
    <dxf>
      <font>
        <sz val="11"/>
        <color theme="1"/>
        <name val="Calibri"/>
        <scheme val="none"/>
      </font>
    </dxf>
  </rfmt>
  <rfmt sheetId="1" sqref="AP132" start="0" length="0">
    <dxf>
      <font>
        <sz val="11"/>
        <color theme="1"/>
        <name val="Calibri"/>
        <scheme val="none"/>
      </font>
    </dxf>
  </rfmt>
  <rfmt sheetId="1" sqref="AQ132" start="0" length="0">
    <dxf>
      <font>
        <sz val="11"/>
        <color theme="1"/>
        <name val="Calibri"/>
        <scheme val="none"/>
      </font>
      <numFmt numFmtId="164" formatCode="_-* #,##0_-;\-* #,##0_-;_-* &quot;-&quot;??_-;_-@_-"/>
    </dxf>
  </rfmt>
  <rfmt sheetId="1" sqref="AR132" start="0" length="0">
    <dxf>
      <font>
        <sz val="11"/>
        <color theme="1"/>
        <name val="Calibri"/>
        <scheme val="none"/>
      </font>
      <numFmt numFmtId="164" formatCode="_-* #,##0_-;\-* #,##0_-;_-* &quot;-&quot;??_-;_-@_-"/>
    </dxf>
  </rfmt>
  <rfmt sheetId="1" sqref="AS132" start="0" length="0">
    <dxf>
      <font>
        <sz val="11"/>
        <color theme="1"/>
        <name val="Calibri"/>
        <scheme val="none"/>
      </font>
      <numFmt numFmtId="164" formatCode="_-* #,##0_-;\-* #,##0_-;_-* &quot;-&quot;??_-;_-@_-"/>
    </dxf>
  </rfmt>
  <rfmt sheetId="1" sqref="AT132" start="0" length="0">
    <dxf>
      <font>
        <sz val="11"/>
        <color theme="1"/>
        <name val="Calibri"/>
        <scheme val="none"/>
      </font>
      <numFmt numFmtId="164" formatCode="_-* #,##0_-;\-* #,##0_-;_-* &quot;-&quot;??_-;_-@_-"/>
    </dxf>
  </rfmt>
  <rfmt sheetId="1" sqref="AU132" start="0" length="0">
    <dxf>
      <font>
        <sz val="11"/>
        <color theme="1"/>
        <name val="Calibri"/>
        <scheme val="none"/>
      </font>
    </dxf>
  </rfmt>
  <rfmt sheetId="1" sqref="AV132" start="0" length="0">
    <dxf>
      <font>
        <sz val="11"/>
        <color theme="1"/>
        <name val="Calibri"/>
        <scheme val="none"/>
      </font>
    </dxf>
  </rfmt>
  <rfmt sheetId="1" sqref="AW132" start="0" length="0">
    <dxf>
      <font>
        <sz val="11"/>
        <color theme="1"/>
        <name val="Calibri"/>
        <scheme val="none"/>
      </font>
    </dxf>
  </rfmt>
  <rfmt sheetId="1" sqref="AX132" start="0" length="0">
    <dxf>
      <font>
        <sz val="11"/>
        <color theme="1"/>
        <name val="Calibri"/>
        <scheme val="none"/>
      </font>
    </dxf>
  </rfmt>
  <rfmt sheetId="1" sqref="AY132" start="0" length="0">
    <dxf>
      <font>
        <sz val="11"/>
        <color theme="1"/>
        <name val="Calibri"/>
        <scheme val="none"/>
      </font>
    </dxf>
  </rfmt>
  <rfmt sheetId="1" sqref="A132:XFD132" start="0" length="0">
    <dxf>
      <font>
        <sz val="11"/>
        <color theme="1"/>
        <name val="Calibri"/>
        <scheme val="none"/>
      </font>
    </dxf>
  </rfmt>
  <rfmt sheetId="1" sqref="A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3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3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33" start="0" length="0">
    <dxf>
      <font>
        <sz val="11"/>
        <color theme="1"/>
        <name val="Calibri"/>
        <scheme val="none"/>
      </font>
    </dxf>
  </rfmt>
  <rfmt sheetId="1" sqref="AM133" start="0" length="0">
    <dxf>
      <font>
        <sz val="11"/>
        <color theme="1"/>
        <name val="Calibri"/>
        <scheme val="none"/>
      </font>
      <numFmt numFmtId="1" formatCode="0"/>
    </dxf>
  </rfmt>
  <rfmt sheetId="1" sqref="AN133" start="0" length="0">
    <dxf>
      <font>
        <sz val="11"/>
        <color theme="1"/>
        <name val="Calibri"/>
        <scheme val="none"/>
      </font>
      <numFmt numFmtId="1" formatCode="0"/>
    </dxf>
  </rfmt>
  <rfmt sheetId="1" sqref="AO133" start="0" length="0">
    <dxf>
      <font>
        <sz val="11"/>
        <color theme="1"/>
        <name val="Calibri"/>
        <scheme val="none"/>
      </font>
    </dxf>
  </rfmt>
  <rfmt sheetId="1" sqref="AP133" start="0" length="0">
    <dxf>
      <font>
        <sz val="11"/>
        <color theme="1"/>
        <name val="Calibri"/>
        <scheme val="none"/>
      </font>
    </dxf>
  </rfmt>
  <rfmt sheetId="1" sqref="AQ133" start="0" length="0">
    <dxf>
      <font>
        <sz val="11"/>
        <color theme="1"/>
        <name val="Calibri"/>
        <scheme val="none"/>
      </font>
      <numFmt numFmtId="164" formatCode="_-* #,##0_-;\-* #,##0_-;_-* &quot;-&quot;??_-;_-@_-"/>
    </dxf>
  </rfmt>
  <rfmt sheetId="1" sqref="AR133" start="0" length="0">
    <dxf>
      <font>
        <sz val="11"/>
        <color theme="1"/>
        <name val="Calibri"/>
        <scheme val="none"/>
      </font>
      <numFmt numFmtId="164" formatCode="_-* #,##0_-;\-* #,##0_-;_-* &quot;-&quot;??_-;_-@_-"/>
    </dxf>
  </rfmt>
  <rfmt sheetId="1" sqref="AS133" start="0" length="0">
    <dxf>
      <font>
        <sz val="11"/>
        <color theme="1"/>
        <name val="Calibri"/>
        <scheme val="none"/>
      </font>
      <numFmt numFmtId="164" formatCode="_-* #,##0_-;\-* #,##0_-;_-* &quot;-&quot;??_-;_-@_-"/>
    </dxf>
  </rfmt>
  <rfmt sheetId="1" sqref="AT133" start="0" length="0">
    <dxf>
      <font>
        <sz val="11"/>
        <color theme="1"/>
        <name val="Calibri"/>
        <scheme val="none"/>
      </font>
      <numFmt numFmtId="164" formatCode="_-* #,##0_-;\-* #,##0_-;_-* &quot;-&quot;??_-;_-@_-"/>
    </dxf>
  </rfmt>
  <rfmt sheetId="1" sqref="AU133" start="0" length="0">
    <dxf>
      <font>
        <sz val="11"/>
        <color theme="1"/>
        <name val="Calibri"/>
        <scheme val="none"/>
      </font>
    </dxf>
  </rfmt>
  <rfmt sheetId="1" sqref="AV133" start="0" length="0">
    <dxf>
      <font>
        <sz val="11"/>
        <color theme="1"/>
        <name val="Calibri"/>
        <scheme val="none"/>
      </font>
    </dxf>
  </rfmt>
  <rfmt sheetId="1" sqref="AW133" start="0" length="0">
    <dxf>
      <font>
        <sz val="11"/>
        <color theme="1"/>
        <name val="Calibri"/>
        <scheme val="none"/>
      </font>
    </dxf>
  </rfmt>
  <rfmt sheetId="1" sqref="AX133" start="0" length="0">
    <dxf>
      <font>
        <sz val="11"/>
        <color theme="1"/>
        <name val="Calibri"/>
        <scheme val="none"/>
      </font>
    </dxf>
  </rfmt>
  <rfmt sheetId="1" sqref="AY133" start="0" length="0">
    <dxf>
      <font>
        <sz val="11"/>
        <color theme="1"/>
        <name val="Calibri"/>
        <scheme val="none"/>
      </font>
    </dxf>
  </rfmt>
  <rfmt sheetId="1" sqref="A133:XFD133" start="0" length="0">
    <dxf>
      <font>
        <sz val="11"/>
        <color theme="1"/>
        <name val="Calibri"/>
        <scheme val="none"/>
      </font>
    </dxf>
  </rfmt>
  <rfmt sheetId="1" sqref="A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3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3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34" start="0" length="0">
    <dxf>
      <font>
        <sz val="11"/>
        <color theme="1"/>
        <name val="Calibri"/>
        <scheme val="none"/>
      </font>
    </dxf>
  </rfmt>
  <rfmt sheetId="1" sqref="AM134" start="0" length="0">
    <dxf>
      <font>
        <sz val="11"/>
        <color theme="1"/>
        <name val="Calibri"/>
        <scheme val="none"/>
      </font>
      <numFmt numFmtId="1" formatCode="0"/>
    </dxf>
  </rfmt>
  <rfmt sheetId="1" sqref="AN134" start="0" length="0">
    <dxf>
      <font>
        <sz val="11"/>
        <color theme="1"/>
        <name val="Calibri"/>
        <scheme val="none"/>
      </font>
      <numFmt numFmtId="1" formatCode="0"/>
    </dxf>
  </rfmt>
  <rfmt sheetId="1" sqref="AO134" start="0" length="0">
    <dxf>
      <font>
        <sz val="11"/>
        <color theme="1"/>
        <name val="Calibri"/>
        <scheme val="none"/>
      </font>
    </dxf>
  </rfmt>
  <rfmt sheetId="1" sqref="AP134" start="0" length="0">
    <dxf>
      <font>
        <sz val="11"/>
        <color theme="1"/>
        <name val="Calibri"/>
        <scheme val="none"/>
      </font>
    </dxf>
  </rfmt>
  <rfmt sheetId="1" sqref="AQ134" start="0" length="0">
    <dxf>
      <font>
        <sz val="11"/>
        <color theme="1"/>
        <name val="Calibri"/>
        <scheme val="none"/>
      </font>
      <numFmt numFmtId="164" formatCode="_-* #,##0_-;\-* #,##0_-;_-* &quot;-&quot;??_-;_-@_-"/>
    </dxf>
  </rfmt>
  <rfmt sheetId="1" sqref="AR134" start="0" length="0">
    <dxf>
      <font>
        <sz val="11"/>
        <color theme="1"/>
        <name val="Calibri"/>
        <scheme val="none"/>
      </font>
      <numFmt numFmtId="164" formatCode="_-* #,##0_-;\-* #,##0_-;_-* &quot;-&quot;??_-;_-@_-"/>
    </dxf>
  </rfmt>
  <rfmt sheetId="1" sqref="AS134" start="0" length="0">
    <dxf>
      <font>
        <sz val="11"/>
        <color theme="1"/>
        <name val="Calibri"/>
        <scheme val="none"/>
      </font>
      <numFmt numFmtId="164" formatCode="_-* #,##0_-;\-* #,##0_-;_-* &quot;-&quot;??_-;_-@_-"/>
    </dxf>
  </rfmt>
  <rfmt sheetId="1" sqref="AT134" start="0" length="0">
    <dxf>
      <font>
        <sz val="11"/>
        <color theme="1"/>
        <name val="Calibri"/>
        <scheme val="none"/>
      </font>
      <numFmt numFmtId="164" formatCode="_-* #,##0_-;\-* #,##0_-;_-* &quot;-&quot;??_-;_-@_-"/>
    </dxf>
  </rfmt>
  <rfmt sheetId="1" sqref="AU134" start="0" length="0">
    <dxf>
      <font>
        <sz val="11"/>
        <color theme="1"/>
        <name val="Calibri"/>
        <scheme val="none"/>
      </font>
    </dxf>
  </rfmt>
  <rfmt sheetId="1" sqref="AV134" start="0" length="0">
    <dxf>
      <font>
        <sz val="11"/>
        <color theme="1"/>
        <name val="Calibri"/>
        <scheme val="none"/>
      </font>
    </dxf>
  </rfmt>
  <rfmt sheetId="1" sqref="AW134" start="0" length="0">
    <dxf>
      <font>
        <sz val="11"/>
        <color theme="1"/>
        <name val="Calibri"/>
        <scheme val="none"/>
      </font>
    </dxf>
  </rfmt>
  <rfmt sheetId="1" sqref="AX134" start="0" length="0">
    <dxf>
      <font>
        <sz val="11"/>
        <color theme="1"/>
        <name val="Calibri"/>
        <scheme val="none"/>
      </font>
    </dxf>
  </rfmt>
  <rfmt sheetId="1" sqref="AY134" start="0" length="0">
    <dxf>
      <font>
        <sz val="11"/>
        <color theme="1"/>
        <name val="Calibri"/>
        <scheme val="none"/>
      </font>
    </dxf>
  </rfmt>
  <rfmt sheetId="1" sqref="A134:XFD134" start="0" length="0">
    <dxf>
      <font>
        <sz val="11"/>
        <color theme="1"/>
        <name val="Calibri"/>
        <scheme val="none"/>
      </font>
    </dxf>
  </rfmt>
  <rfmt sheetId="1" sqref="A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3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3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35" start="0" length="0">
    <dxf>
      <font>
        <sz val="11"/>
        <color theme="1"/>
        <name val="Calibri"/>
        <scheme val="none"/>
      </font>
    </dxf>
  </rfmt>
  <rfmt sheetId="1" sqref="AM135" start="0" length="0">
    <dxf>
      <font>
        <sz val="11"/>
        <color theme="1"/>
        <name val="Calibri"/>
        <scheme val="none"/>
      </font>
      <numFmt numFmtId="1" formatCode="0"/>
    </dxf>
  </rfmt>
  <rfmt sheetId="1" sqref="AN135" start="0" length="0">
    <dxf>
      <font>
        <sz val="11"/>
        <color theme="1"/>
        <name val="Calibri"/>
        <scheme val="none"/>
      </font>
      <numFmt numFmtId="1" formatCode="0"/>
    </dxf>
  </rfmt>
  <rfmt sheetId="1" sqref="AO135" start="0" length="0">
    <dxf>
      <font>
        <sz val="11"/>
        <color theme="1"/>
        <name val="Calibri"/>
        <scheme val="none"/>
      </font>
    </dxf>
  </rfmt>
  <rfmt sheetId="1" sqref="AP135" start="0" length="0">
    <dxf>
      <font>
        <sz val="11"/>
        <color theme="1"/>
        <name val="Calibri"/>
        <scheme val="none"/>
      </font>
    </dxf>
  </rfmt>
  <rfmt sheetId="1" sqref="AQ135" start="0" length="0">
    <dxf>
      <font>
        <sz val="11"/>
        <color theme="1"/>
        <name val="Calibri"/>
        <scheme val="none"/>
      </font>
      <numFmt numFmtId="164" formatCode="_-* #,##0_-;\-* #,##0_-;_-* &quot;-&quot;??_-;_-@_-"/>
    </dxf>
  </rfmt>
  <rfmt sheetId="1" sqref="AR135" start="0" length="0">
    <dxf>
      <font>
        <sz val="11"/>
        <color theme="1"/>
        <name val="Calibri"/>
        <scheme val="none"/>
      </font>
      <numFmt numFmtId="164" formatCode="_-* #,##0_-;\-* #,##0_-;_-* &quot;-&quot;??_-;_-@_-"/>
    </dxf>
  </rfmt>
  <rfmt sheetId="1" sqref="AS135" start="0" length="0">
    <dxf>
      <font>
        <sz val="11"/>
        <color theme="1"/>
        <name val="Calibri"/>
        <scheme val="none"/>
      </font>
      <numFmt numFmtId="164" formatCode="_-* #,##0_-;\-* #,##0_-;_-* &quot;-&quot;??_-;_-@_-"/>
    </dxf>
  </rfmt>
  <rfmt sheetId="1" sqref="AT135" start="0" length="0">
    <dxf>
      <font>
        <sz val="11"/>
        <color theme="1"/>
        <name val="Calibri"/>
        <scheme val="none"/>
      </font>
      <numFmt numFmtId="164" formatCode="_-* #,##0_-;\-* #,##0_-;_-* &quot;-&quot;??_-;_-@_-"/>
    </dxf>
  </rfmt>
  <rfmt sheetId="1" sqref="AU135" start="0" length="0">
    <dxf>
      <font>
        <sz val="11"/>
        <color theme="1"/>
        <name val="Calibri"/>
        <scheme val="none"/>
      </font>
    </dxf>
  </rfmt>
  <rfmt sheetId="1" sqref="AV135" start="0" length="0">
    <dxf>
      <font>
        <sz val="11"/>
        <color theme="1"/>
        <name val="Calibri"/>
        <scheme val="none"/>
      </font>
    </dxf>
  </rfmt>
  <rfmt sheetId="1" sqref="AW135" start="0" length="0">
    <dxf>
      <font>
        <sz val="11"/>
        <color theme="1"/>
        <name val="Calibri"/>
        <scheme val="none"/>
      </font>
    </dxf>
  </rfmt>
  <rfmt sheetId="1" sqref="AX135" start="0" length="0">
    <dxf>
      <font>
        <sz val="11"/>
        <color theme="1"/>
        <name val="Calibri"/>
        <scheme val="none"/>
      </font>
    </dxf>
  </rfmt>
  <rfmt sheetId="1" sqref="AY135" start="0" length="0">
    <dxf>
      <font>
        <sz val="11"/>
        <color theme="1"/>
        <name val="Calibri"/>
        <scheme val="none"/>
      </font>
    </dxf>
  </rfmt>
  <rfmt sheetId="1" sqref="A135:XFD135" start="0" length="0">
    <dxf>
      <font>
        <sz val="11"/>
        <color theme="1"/>
        <name val="Calibri"/>
        <scheme val="none"/>
      </font>
    </dxf>
  </rfmt>
  <rfmt sheetId="1" sqref="A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3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3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36" start="0" length="0">
    <dxf>
      <font>
        <sz val="11"/>
        <color theme="1"/>
        <name val="Calibri"/>
        <scheme val="none"/>
      </font>
    </dxf>
  </rfmt>
  <rfmt sheetId="1" sqref="AM136" start="0" length="0">
    <dxf>
      <font>
        <sz val="11"/>
        <color theme="1"/>
        <name val="Calibri"/>
        <scheme val="none"/>
      </font>
      <numFmt numFmtId="1" formatCode="0"/>
    </dxf>
  </rfmt>
  <rfmt sheetId="1" sqref="AN136" start="0" length="0">
    <dxf>
      <font>
        <sz val="11"/>
        <color theme="1"/>
        <name val="Calibri"/>
        <scheme val="none"/>
      </font>
      <numFmt numFmtId="1" formatCode="0"/>
    </dxf>
  </rfmt>
  <rfmt sheetId="1" sqref="AO136" start="0" length="0">
    <dxf>
      <font>
        <sz val="11"/>
        <color theme="1"/>
        <name val="Calibri"/>
        <scheme val="none"/>
      </font>
    </dxf>
  </rfmt>
  <rfmt sheetId="1" sqref="AP136" start="0" length="0">
    <dxf>
      <font>
        <sz val="11"/>
        <color theme="1"/>
        <name val="Calibri"/>
        <scheme val="none"/>
      </font>
    </dxf>
  </rfmt>
  <rfmt sheetId="1" sqref="AQ136" start="0" length="0">
    <dxf>
      <font>
        <sz val="11"/>
        <color theme="1"/>
        <name val="Calibri"/>
        <scheme val="none"/>
      </font>
      <numFmt numFmtId="164" formatCode="_-* #,##0_-;\-* #,##0_-;_-* &quot;-&quot;??_-;_-@_-"/>
    </dxf>
  </rfmt>
  <rfmt sheetId="1" sqref="AR136" start="0" length="0">
    <dxf>
      <font>
        <sz val="11"/>
        <color theme="1"/>
        <name val="Calibri"/>
        <scheme val="none"/>
      </font>
      <numFmt numFmtId="164" formatCode="_-* #,##0_-;\-* #,##0_-;_-* &quot;-&quot;??_-;_-@_-"/>
    </dxf>
  </rfmt>
  <rfmt sheetId="1" sqref="AS136" start="0" length="0">
    <dxf>
      <font>
        <sz val="11"/>
        <color theme="1"/>
        <name val="Calibri"/>
        <scheme val="none"/>
      </font>
      <numFmt numFmtId="164" formatCode="_-* #,##0_-;\-* #,##0_-;_-* &quot;-&quot;??_-;_-@_-"/>
    </dxf>
  </rfmt>
  <rfmt sheetId="1" sqref="AT136" start="0" length="0">
    <dxf>
      <font>
        <sz val="11"/>
        <color theme="1"/>
        <name val="Calibri"/>
        <scheme val="none"/>
      </font>
      <numFmt numFmtId="164" formatCode="_-* #,##0_-;\-* #,##0_-;_-* &quot;-&quot;??_-;_-@_-"/>
    </dxf>
  </rfmt>
  <rfmt sheetId="1" sqref="AU136" start="0" length="0">
    <dxf>
      <font>
        <sz val="11"/>
        <color theme="1"/>
        <name val="Calibri"/>
        <scheme val="none"/>
      </font>
    </dxf>
  </rfmt>
  <rfmt sheetId="1" sqref="AV136" start="0" length="0">
    <dxf>
      <font>
        <sz val="11"/>
        <color theme="1"/>
        <name val="Calibri"/>
        <scheme val="none"/>
      </font>
    </dxf>
  </rfmt>
  <rfmt sheetId="1" sqref="AW136" start="0" length="0">
    <dxf>
      <font>
        <sz val="11"/>
        <color theme="1"/>
        <name val="Calibri"/>
        <scheme val="none"/>
      </font>
    </dxf>
  </rfmt>
  <rfmt sheetId="1" sqref="AX136" start="0" length="0">
    <dxf>
      <font>
        <sz val="11"/>
        <color theme="1"/>
        <name val="Calibri"/>
        <scheme val="none"/>
      </font>
    </dxf>
  </rfmt>
  <rfmt sheetId="1" sqref="AY136" start="0" length="0">
    <dxf>
      <font>
        <sz val="11"/>
        <color theme="1"/>
        <name val="Calibri"/>
        <scheme val="none"/>
      </font>
    </dxf>
  </rfmt>
  <rfmt sheetId="1" sqref="A136:XFD136" start="0" length="0">
    <dxf>
      <font>
        <sz val="11"/>
        <color theme="1"/>
        <name val="Calibri"/>
        <scheme val="none"/>
      </font>
    </dxf>
  </rfmt>
  <rfmt sheetId="1" sqref="A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3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3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37" start="0" length="0">
    <dxf>
      <font>
        <sz val="11"/>
        <color theme="1"/>
        <name val="Calibri"/>
        <scheme val="none"/>
      </font>
    </dxf>
  </rfmt>
  <rfmt sheetId="1" sqref="AM137" start="0" length="0">
    <dxf>
      <font>
        <sz val="11"/>
        <color theme="1"/>
        <name val="Calibri"/>
        <scheme val="none"/>
      </font>
      <numFmt numFmtId="1" formatCode="0"/>
    </dxf>
  </rfmt>
  <rfmt sheetId="1" sqref="AN137" start="0" length="0">
    <dxf>
      <font>
        <sz val="11"/>
        <color theme="1"/>
        <name val="Calibri"/>
        <scheme val="none"/>
      </font>
      <numFmt numFmtId="1" formatCode="0"/>
    </dxf>
  </rfmt>
  <rfmt sheetId="1" sqref="AO137" start="0" length="0">
    <dxf>
      <font>
        <sz val="11"/>
        <color theme="1"/>
        <name val="Calibri"/>
        <scheme val="none"/>
      </font>
    </dxf>
  </rfmt>
  <rfmt sheetId="1" sqref="AP137" start="0" length="0">
    <dxf>
      <font>
        <sz val="11"/>
        <color theme="1"/>
        <name val="Calibri"/>
        <scheme val="none"/>
      </font>
    </dxf>
  </rfmt>
  <rfmt sheetId="1" sqref="AQ137" start="0" length="0">
    <dxf>
      <font>
        <sz val="11"/>
        <color theme="1"/>
        <name val="Calibri"/>
        <scheme val="none"/>
      </font>
      <numFmt numFmtId="164" formatCode="_-* #,##0_-;\-* #,##0_-;_-* &quot;-&quot;??_-;_-@_-"/>
    </dxf>
  </rfmt>
  <rfmt sheetId="1" sqref="AR137" start="0" length="0">
    <dxf>
      <font>
        <sz val="11"/>
        <color theme="1"/>
        <name val="Calibri"/>
        <scheme val="none"/>
      </font>
      <numFmt numFmtId="164" formatCode="_-* #,##0_-;\-* #,##0_-;_-* &quot;-&quot;??_-;_-@_-"/>
    </dxf>
  </rfmt>
  <rfmt sheetId="1" sqref="AS137" start="0" length="0">
    <dxf>
      <font>
        <sz val="11"/>
        <color theme="1"/>
        <name val="Calibri"/>
        <scheme val="none"/>
      </font>
      <numFmt numFmtId="164" formatCode="_-* #,##0_-;\-* #,##0_-;_-* &quot;-&quot;??_-;_-@_-"/>
    </dxf>
  </rfmt>
  <rfmt sheetId="1" sqref="AT137" start="0" length="0">
    <dxf>
      <font>
        <sz val="11"/>
        <color theme="1"/>
        <name val="Calibri"/>
        <scheme val="none"/>
      </font>
      <numFmt numFmtId="164" formatCode="_-* #,##0_-;\-* #,##0_-;_-* &quot;-&quot;??_-;_-@_-"/>
    </dxf>
  </rfmt>
  <rfmt sheetId="1" sqref="AU137" start="0" length="0">
    <dxf>
      <font>
        <sz val="11"/>
        <color theme="1"/>
        <name val="Calibri"/>
        <scheme val="none"/>
      </font>
    </dxf>
  </rfmt>
  <rfmt sheetId="1" sqref="AV137" start="0" length="0">
    <dxf>
      <font>
        <sz val="11"/>
        <color theme="1"/>
        <name val="Calibri"/>
        <scheme val="none"/>
      </font>
    </dxf>
  </rfmt>
  <rfmt sheetId="1" sqref="AW137" start="0" length="0">
    <dxf>
      <font>
        <sz val="11"/>
        <color theme="1"/>
        <name val="Calibri"/>
        <scheme val="none"/>
      </font>
    </dxf>
  </rfmt>
  <rfmt sheetId="1" sqref="AX137" start="0" length="0">
    <dxf>
      <font>
        <sz val="11"/>
        <color theme="1"/>
        <name val="Calibri"/>
        <scheme val="none"/>
      </font>
    </dxf>
  </rfmt>
  <rfmt sheetId="1" sqref="AY137" start="0" length="0">
    <dxf>
      <font>
        <sz val="11"/>
        <color theme="1"/>
        <name val="Calibri"/>
        <scheme val="none"/>
      </font>
    </dxf>
  </rfmt>
  <rfmt sheetId="1" sqref="A137:XFD137" start="0" length="0">
    <dxf>
      <font>
        <sz val="11"/>
        <color theme="1"/>
        <name val="Calibri"/>
        <scheme val="none"/>
      </font>
    </dxf>
  </rfmt>
  <rfmt sheetId="1" sqref="A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3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3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38" start="0" length="0">
    <dxf>
      <font>
        <sz val="11"/>
        <color theme="1"/>
        <name val="Calibri"/>
        <scheme val="none"/>
      </font>
    </dxf>
  </rfmt>
  <rfmt sheetId="1" sqref="AM138" start="0" length="0">
    <dxf>
      <font>
        <sz val="11"/>
        <color theme="1"/>
        <name val="Calibri"/>
        <scheme val="none"/>
      </font>
      <numFmt numFmtId="1" formatCode="0"/>
    </dxf>
  </rfmt>
  <rfmt sheetId="1" sqref="AN138" start="0" length="0">
    <dxf>
      <font>
        <sz val="11"/>
        <color theme="1"/>
        <name val="Calibri"/>
        <scheme val="none"/>
      </font>
      <numFmt numFmtId="1" formatCode="0"/>
    </dxf>
  </rfmt>
  <rfmt sheetId="1" sqref="AO138" start="0" length="0">
    <dxf>
      <font>
        <sz val="11"/>
        <color theme="1"/>
        <name val="Calibri"/>
        <scheme val="none"/>
      </font>
    </dxf>
  </rfmt>
  <rfmt sheetId="1" sqref="AP138" start="0" length="0">
    <dxf>
      <font>
        <sz val="11"/>
        <color theme="1"/>
        <name val="Calibri"/>
        <scheme val="none"/>
      </font>
    </dxf>
  </rfmt>
  <rfmt sheetId="1" sqref="AQ138" start="0" length="0">
    <dxf>
      <font>
        <sz val="11"/>
        <color theme="1"/>
        <name val="Calibri"/>
        <scheme val="none"/>
      </font>
      <numFmt numFmtId="164" formatCode="_-* #,##0_-;\-* #,##0_-;_-* &quot;-&quot;??_-;_-@_-"/>
    </dxf>
  </rfmt>
  <rfmt sheetId="1" sqref="AR138" start="0" length="0">
    <dxf>
      <font>
        <sz val="11"/>
        <color theme="1"/>
        <name val="Calibri"/>
        <scheme val="none"/>
      </font>
      <numFmt numFmtId="164" formatCode="_-* #,##0_-;\-* #,##0_-;_-* &quot;-&quot;??_-;_-@_-"/>
    </dxf>
  </rfmt>
  <rfmt sheetId="1" sqref="AS138" start="0" length="0">
    <dxf>
      <font>
        <sz val="11"/>
        <color theme="1"/>
        <name val="Calibri"/>
        <scheme val="none"/>
      </font>
      <numFmt numFmtId="164" formatCode="_-* #,##0_-;\-* #,##0_-;_-* &quot;-&quot;??_-;_-@_-"/>
    </dxf>
  </rfmt>
  <rfmt sheetId="1" sqref="AT138" start="0" length="0">
    <dxf>
      <font>
        <sz val="11"/>
        <color theme="1"/>
        <name val="Calibri"/>
        <scheme val="none"/>
      </font>
      <numFmt numFmtId="164" formatCode="_-* #,##0_-;\-* #,##0_-;_-* &quot;-&quot;??_-;_-@_-"/>
    </dxf>
  </rfmt>
  <rfmt sheetId="1" sqref="AU138" start="0" length="0">
    <dxf>
      <font>
        <sz val="11"/>
        <color theme="1"/>
        <name val="Calibri"/>
        <scheme val="none"/>
      </font>
    </dxf>
  </rfmt>
  <rfmt sheetId="1" sqref="AV138" start="0" length="0">
    <dxf>
      <font>
        <sz val="11"/>
        <color theme="1"/>
        <name val="Calibri"/>
        <scheme val="none"/>
      </font>
    </dxf>
  </rfmt>
  <rfmt sheetId="1" sqref="AW138" start="0" length="0">
    <dxf>
      <font>
        <sz val="11"/>
        <color theme="1"/>
        <name val="Calibri"/>
        <scheme val="none"/>
      </font>
    </dxf>
  </rfmt>
  <rfmt sheetId="1" sqref="AX138" start="0" length="0">
    <dxf>
      <font>
        <sz val="11"/>
        <color theme="1"/>
        <name val="Calibri"/>
        <scheme val="none"/>
      </font>
    </dxf>
  </rfmt>
  <rfmt sheetId="1" sqref="AY138" start="0" length="0">
    <dxf>
      <font>
        <sz val="11"/>
        <color theme="1"/>
        <name val="Calibri"/>
        <scheme val="none"/>
      </font>
    </dxf>
  </rfmt>
  <rfmt sheetId="1" sqref="A138:XFD138" start="0" length="0">
    <dxf>
      <font>
        <sz val="11"/>
        <color theme="1"/>
        <name val="Calibri"/>
        <scheme val="none"/>
      </font>
    </dxf>
  </rfmt>
  <rfmt sheetId="1" sqref="A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3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3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39" start="0" length="0">
    <dxf>
      <font>
        <sz val="11"/>
        <color theme="1"/>
        <name val="Calibri"/>
        <scheme val="none"/>
      </font>
    </dxf>
  </rfmt>
  <rfmt sheetId="1" sqref="AM139" start="0" length="0">
    <dxf>
      <font>
        <sz val="11"/>
        <color theme="1"/>
        <name val="Calibri"/>
        <scheme val="none"/>
      </font>
      <numFmt numFmtId="1" formatCode="0"/>
    </dxf>
  </rfmt>
  <rfmt sheetId="1" sqref="AN139" start="0" length="0">
    <dxf>
      <font>
        <sz val="11"/>
        <color theme="1"/>
        <name val="Calibri"/>
        <scheme val="none"/>
      </font>
      <numFmt numFmtId="1" formatCode="0"/>
    </dxf>
  </rfmt>
  <rfmt sheetId="1" sqref="AO139" start="0" length="0">
    <dxf>
      <font>
        <sz val="11"/>
        <color theme="1"/>
        <name val="Calibri"/>
        <scheme val="none"/>
      </font>
    </dxf>
  </rfmt>
  <rfmt sheetId="1" sqref="AP139" start="0" length="0">
    <dxf>
      <font>
        <sz val="11"/>
        <color theme="1"/>
        <name val="Calibri"/>
        <scheme val="none"/>
      </font>
    </dxf>
  </rfmt>
  <rfmt sheetId="1" sqref="AQ139" start="0" length="0">
    <dxf>
      <font>
        <sz val="11"/>
        <color theme="1"/>
        <name val="Calibri"/>
        <scheme val="none"/>
      </font>
      <numFmt numFmtId="164" formatCode="_-* #,##0_-;\-* #,##0_-;_-* &quot;-&quot;??_-;_-@_-"/>
    </dxf>
  </rfmt>
  <rfmt sheetId="1" sqref="AR139" start="0" length="0">
    <dxf>
      <font>
        <sz val="11"/>
        <color theme="1"/>
        <name val="Calibri"/>
        <scheme val="none"/>
      </font>
      <numFmt numFmtId="164" formatCode="_-* #,##0_-;\-* #,##0_-;_-* &quot;-&quot;??_-;_-@_-"/>
    </dxf>
  </rfmt>
  <rfmt sheetId="1" sqref="AS139" start="0" length="0">
    <dxf>
      <font>
        <sz val="11"/>
        <color theme="1"/>
        <name val="Calibri"/>
        <scheme val="none"/>
      </font>
      <numFmt numFmtId="164" formatCode="_-* #,##0_-;\-* #,##0_-;_-* &quot;-&quot;??_-;_-@_-"/>
    </dxf>
  </rfmt>
  <rfmt sheetId="1" sqref="AT139" start="0" length="0">
    <dxf>
      <font>
        <sz val="11"/>
        <color theme="1"/>
        <name val="Calibri"/>
        <scheme val="none"/>
      </font>
      <numFmt numFmtId="164" formatCode="_-* #,##0_-;\-* #,##0_-;_-* &quot;-&quot;??_-;_-@_-"/>
    </dxf>
  </rfmt>
  <rfmt sheetId="1" sqref="AU139" start="0" length="0">
    <dxf>
      <font>
        <sz val="11"/>
        <color theme="1"/>
        <name val="Calibri"/>
        <scheme val="none"/>
      </font>
    </dxf>
  </rfmt>
  <rfmt sheetId="1" sqref="AV139" start="0" length="0">
    <dxf>
      <font>
        <sz val="11"/>
        <color theme="1"/>
        <name val="Calibri"/>
        <scheme val="none"/>
      </font>
    </dxf>
  </rfmt>
  <rfmt sheetId="1" sqref="AW139" start="0" length="0">
    <dxf>
      <font>
        <sz val="11"/>
        <color theme="1"/>
        <name val="Calibri"/>
        <scheme val="none"/>
      </font>
    </dxf>
  </rfmt>
  <rfmt sheetId="1" sqref="AX139" start="0" length="0">
    <dxf>
      <font>
        <sz val="11"/>
        <color theme="1"/>
        <name val="Calibri"/>
        <scheme val="none"/>
      </font>
    </dxf>
  </rfmt>
  <rfmt sheetId="1" sqref="AY139" start="0" length="0">
    <dxf>
      <font>
        <sz val="11"/>
        <color theme="1"/>
        <name val="Calibri"/>
        <scheme val="none"/>
      </font>
    </dxf>
  </rfmt>
  <rfmt sheetId="1" sqref="A139:XFD139" start="0" length="0">
    <dxf>
      <font>
        <sz val="11"/>
        <color theme="1"/>
        <name val="Calibri"/>
        <scheme val="none"/>
      </font>
    </dxf>
  </rfmt>
  <rfmt sheetId="1" sqref="A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4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4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40" start="0" length="0">
    <dxf>
      <font>
        <sz val="11"/>
        <color theme="1"/>
        <name val="Calibri"/>
        <scheme val="none"/>
      </font>
    </dxf>
  </rfmt>
  <rfmt sheetId="1" sqref="AM140" start="0" length="0">
    <dxf>
      <font>
        <sz val="11"/>
        <color theme="1"/>
        <name val="Calibri"/>
        <scheme val="none"/>
      </font>
      <numFmt numFmtId="1" formatCode="0"/>
    </dxf>
  </rfmt>
  <rfmt sheetId="1" sqref="AN140" start="0" length="0">
    <dxf>
      <font>
        <sz val="11"/>
        <color theme="1"/>
        <name val="Calibri"/>
        <scheme val="none"/>
      </font>
      <numFmt numFmtId="1" formatCode="0"/>
    </dxf>
  </rfmt>
  <rfmt sheetId="1" sqref="AO140" start="0" length="0">
    <dxf>
      <font>
        <sz val="11"/>
        <color theme="1"/>
        <name val="Calibri"/>
        <scheme val="none"/>
      </font>
    </dxf>
  </rfmt>
  <rfmt sheetId="1" sqref="AP140" start="0" length="0">
    <dxf>
      <font>
        <sz val="11"/>
        <color theme="1"/>
        <name val="Calibri"/>
        <scheme val="none"/>
      </font>
    </dxf>
  </rfmt>
  <rfmt sheetId="1" sqref="AQ140" start="0" length="0">
    <dxf>
      <font>
        <sz val="11"/>
        <color theme="1"/>
        <name val="Calibri"/>
        <scheme val="none"/>
      </font>
      <numFmt numFmtId="164" formatCode="_-* #,##0_-;\-* #,##0_-;_-* &quot;-&quot;??_-;_-@_-"/>
    </dxf>
  </rfmt>
  <rfmt sheetId="1" sqref="AR140" start="0" length="0">
    <dxf>
      <font>
        <sz val="11"/>
        <color theme="1"/>
        <name val="Calibri"/>
        <scheme val="none"/>
      </font>
      <numFmt numFmtId="164" formatCode="_-* #,##0_-;\-* #,##0_-;_-* &quot;-&quot;??_-;_-@_-"/>
    </dxf>
  </rfmt>
  <rfmt sheetId="1" sqref="AS140" start="0" length="0">
    <dxf>
      <font>
        <sz val="11"/>
        <color theme="1"/>
        <name val="Calibri"/>
        <scheme val="none"/>
      </font>
      <numFmt numFmtId="164" formatCode="_-* #,##0_-;\-* #,##0_-;_-* &quot;-&quot;??_-;_-@_-"/>
    </dxf>
  </rfmt>
  <rfmt sheetId="1" sqref="AT140" start="0" length="0">
    <dxf>
      <font>
        <sz val="11"/>
        <color theme="1"/>
        <name val="Calibri"/>
        <scheme val="none"/>
      </font>
      <numFmt numFmtId="164" formatCode="_-* #,##0_-;\-* #,##0_-;_-* &quot;-&quot;??_-;_-@_-"/>
    </dxf>
  </rfmt>
  <rfmt sheetId="1" sqref="AU140" start="0" length="0">
    <dxf>
      <font>
        <sz val="11"/>
        <color theme="1"/>
        <name val="Calibri"/>
        <scheme val="none"/>
      </font>
    </dxf>
  </rfmt>
  <rfmt sheetId="1" sqref="AV140" start="0" length="0">
    <dxf>
      <font>
        <sz val="11"/>
        <color theme="1"/>
        <name val="Calibri"/>
        <scheme val="none"/>
      </font>
    </dxf>
  </rfmt>
  <rfmt sheetId="1" sqref="AW140" start="0" length="0">
    <dxf>
      <font>
        <sz val="11"/>
        <color theme="1"/>
        <name val="Calibri"/>
        <scheme val="none"/>
      </font>
    </dxf>
  </rfmt>
  <rfmt sheetId="1" sqref="AX140" start="0" length="0">
    <dxf>
      <font>
        <sz val="11"/>
        <color theme="1"/>
        <name val="Calibri"/>
        <scheme val="none"/>
      </font>
    </dxf>
  </rfmt>
  <rfmt sheetId="1" sqref="AY140" start="0" length="0">
    <dxf>
      <font>
        <sz val="11"/>
        <color theme="1"/>
        <name val="Calibri"/>
        <scheme val="none"/>
      </font>
    </dxf>
  </rfmt>
  <rfmt sheetId="1" sqref="A140:XFD140" start="0" length="0">
    <dxf>
      <font>
        <sz val="11"/>
        <color theme="1"/>
        <name val="Calibri"/>
        <scheme val="none"/>
      </font>
    </dxf>
  </rfmt>
  <rfmt sheetId="1" sqref="A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4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4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41" start="0" length="0">
    <dxf>
      <font>
        <sz val="11"/>
        <color theme="1"/>
        <name val="Calibri"/>
        <scheme val="none"/>
      </font>
    </dxf>
  </rfmt>
  <rfmt sheetId="1" sqref="AM141" start="0" length="0">
    <dxf>
      <font>
        <sz val="11"/>
        <color theme="1"/>
        <name val="Calibri"/>
        <scheme val="none"/>
      </font>
      <numFmt numFmtId="1" formatCode="0"/>
    </dxf>
  </rfmt>
  <rfmt sheetId="1" sqref="AN141" start="0" length="0">
    <dxf>
      <font>
        <sz val="11"/>
        <color theme="1"/>
        <name val="Calibri"/>
        <scheme val="none"/>
      </font>
      <numFmt numFmtId="1" formatCode="0"/>
    </dxf>
  </rfmt>
  <rfmt sheetId="1" sqref="AO141" start="0" length="0">
    <dxf>
      <font>
        <sz val="11"/>
        <color theme="1"/>
        <name val="Calibri"/>
        <scheme val="none"/>
      </font>
    </dxf>
  </rfmt>
  <rfmt sheetId="1" sqref="AP141" start="0" length="0">
    <dxf>
      <font>
        <sz val="11"/>
        <color theme="1"/>
        <name val="Calibri"/>
        <scheme val="none"/>
      </font>
    </dxf>
  </rfmt>
  <rfmt sheetId="1" sqref="AQ141" start="0" length="0">
    <dxf>
      <font>
        <sz val="11"/>
        <color theme="1"/>
        <name val="Calibri"/>
        <scheme val="none"/>
      </font>
      <numFmt numFmtId="164" formatCode="_-* #,##0_-;\-* #,##0_-;_-* &quot;-&quot;??_-;_-@_-"/>
    </dxf>
  </rfmt>
  <rfmt sheetId="1" sqref="AR141" start="0" length="0">
    <dxf>
      <font>
        <sz val="11"/>
        <color theme="1"/>
        <name val="Calibri"/>
        <scheme val="none"/>
      </font>
      <numFmt numFmtId="164" formatCode="_-* #,##0_-;\-* #,##0_-;_-* &quot;-&quot;??_-;_-@_-"/>
    </dxf>
  </rfmt>
  <rfmt sheetId="1" sqref="AS141" start="0" length="0">
    <dxf>
      <font>
        <sz val="11"/>
        <color theme="1"/>
        <name val="Calibri"/>
        <scheme val="none"/>
      </font>
      <numFmt numFmtId="164" formatCode="_-* #,##0_-;\-* #,##0_-;_-* &quot;-&quot;??_-;_-@_-"/>
    </dxf>
  </rfmt>
  <rfmt sheetId="1" sqref="AT141" start="0" length="0">
    <dxf>
      <font>
        <sz val="11"/>
        <color theme="1"/>
        <name val="Calibri"/>
        <scheme val="none"/>
      </font>
      <numFmt numFmtId="164" formatCode="_-* #,##0_-;\-* #,##0_-;_-* &quot;-&quot;??_-;_-@_-"/>
    </dxf>
  </rfmt>
  <rfmt sheetId="1" sqref="AU141" start="0" length="0">
    <dxf>
      <font>
        <sz val="11"/>
        <color theme="1"/>
        <name val="Calibri"/>
        <scheme val="none"/>
      </font>
    </dxf>
  </rfmt>
  <rfmt sheetId="1" sqref="AV141" start="0" length="0">
    <dxf>
      <font>
        <sz val="11"/>
        <color theme="1"/>
        <name val="Calibri"/>
        <scheme val="none"/>
      </font>
    </dxf>
  </rfmt>
  <rfmt sheetId="1" sqref="AW141" start="0" length="0">
    <dxf>
      <font>
        <sz val="11"/>
        <color theme="1"/>
        <name val="Calibri"/>
        <scheme val="none"/>
      </font>
    </dxf>
  </rfmt>
  <rfmt sheetId="1" sqref="AX141" start="0" length="0">
    <dxf>
      <font>
        <sz val="11"/>
        <color theme="1"/>
        <name val="Calibri"/>
        <scheme val="none"/>
      </font>
    </dxf>
  </rfmt>
  <rfmt sheetId="1" sqref="AY141" start="0" length="0">
    <dxf>
      <font>
        <sz val="11"/>
        <color theme="1"/>
        <name val="Calibri"/>
        <scheme val="none"/>
      </font>
    </dxf>
  </rfmt>
  <rfmt sheetId="1" sqref="A141:XFD141" start="0" length="0">
    <dxf>
      <font>
        <sz val="11"/>
        <color theme="1"/>
        <name val="Calibri"/>
        <scheme val="none"/>
      </font>
    </dxf>
  </rfmt>
  <rfmt sheetId="1" sqref="A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4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4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42" start="0" length="0">
    <dxf>
      <font>
        <sz val="11"/>
        <color theme="1"/>
        <name val="Calibri"/>
        <scheme val="none"/>
      </font>
    </dxf>
  </rfmt>
  <rfmt sheetId="1" sqref="AM142" start="0" length="0">
    <dxf>
      <font>
        <sz val="11"/>
        <color theme="1"/>
        <name val="Calibri"/>
        <scheme val="none"/>
      </font>
      <numFmt numFmtId="1" formatCode="0"/>
    </dxf>
  </rfmt>
  <rfmt sheetId="1" sqref="AN142" start="0" length="0">
    <dxf>
      <font>
        <sz val="11"/>
        <color theme="1"/>
        <name val="Calibri"/>
        <scheme val="none"/>
      </font>
      <numFmt numFmtId="1" formatCode="0"/>
    </dxf>
  </rfmt>
  <rfmt sheetId="1" sqref="AO142" start="0" length="0">
    <dxf>
      <font>
        <sz val="11"/>
        <color theme="1"/>
        <name val="Calibri"/>
        <scheme val="none"/>
      </font>
    </dxf>
  </rfmt>
  <rfmt sheetId="1" sqref="AP142" start="0" length="0">
    <dxf>
      <font>
        <sz val="11"/>
        <color theme="1"/>
        <name val="Calibri"/>
        <scheme val="none"/>
      </font>
    </dxf>
  </rfmt>
  <rfmt sheetId="1" sqref="AQ142" start="0" length="0">
    <dxf>
      <font>
        <sz val="11"/>
        <color theme="1"/>
        <name val="Calibri"/>
        <scheme val="none"/>
      </font>
      <numFmt numFmtId="164" formatCode="_-* #,##0_-;\-* #,##0_-;_-* &quot;-&quot;??_-;_-@_-"/>
    </dxf>
  </rfmt>
  <rfmt sheetId="1" sqref="AR142" start="0" length="0">
    <dxf>
      <font>
        <sz val="11"/>
        <color theme="1"/>
        <name val="Calibri"/>
        <scheme val="none"/>
      </font>
      <numFmt numFmtId="164" formatCode="_-* #,##0_-;\-* #,##0_-;_-* &quot;-&quot;??_-;_-@_-"/>
    </dxf>
  </rfmt>
  <rfmt sheetId="1" sqref="AS142" start="0" length="0">
    <dxf>
      <font>
        <sz val="11"/>
        <color theme="1"/>
        <name val="Calibri"/>
        <scheme val="none"/>
      </font>
      <numFmt numFmtId="164" formatCode="_-* #,##0_-;\-* #,##0_-;_-* &quot;-&quot;??_-;_-@_-"/>
    </dxf>
  </rfmt>
  <rfmt sheetId="1" sqref="AT142" start="0" length="0">
    <dxf>
      <font>
        <sz val="11"/>
        <color theme="1"/>
        <name val="Calibri"/>
        <scheme val="none"/>
      </font>
      <numFmt numFmtId="164" formatCode="_-* #,##0_-;\-* #,##0_-;_-* &quot;-&quot;??_-;_-@_-"/>
    </dxf>
  </rfmt>
  <rfmt sheetId="1" sqref="AU142" start="0" length="0">
    <dxf>
      <font>
        <sz val="11"/>
        <color theme="1"/>
        <name val="Calibri"/>
        <scheme val="none"/>
      </font>
    </dxf>
  </rfmt>
  <rfmt sheetId="1" sqref="AV142" start="0" length="0">
    <dxf>
      <font>
        <sz val="11"/>
        <color theme="1"/>
        <name val="Calibri"/>
        <scheme val="none"/>
      </font>
    </dxf>
  </rfmt>
  <rfmt sheetId="1" sqref="AW142" start="0" length="0">
    <dxf>
      <font>
        <sz val="11"/>
        <color theme="1"/>
        <name val="Calibri"/>
        <scheme val="none"/>
      </font>
    </dxf>
  </rfmt>
  <rfmt sheetId="1" sqref="AX142" start="0" length="0">
    <dxf>
      <font>
        <sz val="11"/>
        <color theme="1"/>
        <name val="Calibri"/>
        <scheme val="none"/>
      </font>
    </dxf>
  </rfmt>
  <rfmt sheetId="1" sqref="AY142" start="0" length="0">
    <dxf>
      <font>
        <sz val="11"/>
        <color theme="1"/>
        <name val="Calibri"/>
        <scheme val="none"/>
      </font>
    </dxf>
  </rfmt>
  <rfmt sheetId="1" sqref="A142:XFD142" start="0" length="0">
    <dxf>
      <font>
        <sz val="11"/>
        <color theme="1"/>
        <name val="Calibri"/>
        <scheme val="none"/>
      </font>
    </dxf>
  </rfmt>
  <rfmt sheetId="1" sqref="A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4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4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43" start="0" length="0">
    <dxf>
      <font>
        <sz val="11"/>
        <color theme="1"/>
        <name val="Calibri"/>
        <scheme val="none"/>
      </font>
    </dxf>
  </rfmt>
  <rfmt sheetId="1" sqref="AM143" start="0" length="0">
    <dxf>
      <font>
        <sz val="11"/>
        <color theme="1"/>
        <name val="Calibri"/>
        <scheme val="none"/>
      </font>
      <numFmt numFmtId="1" formatCode="0"/>
    </dxf>
  </rfmt>
  <rfmt sheetId="1" sqref="AN143" start="0" length="0">
    <dxf>
      <font>
        <sz val="11"/>
        <color theme="1"/>
        <name val="Calibri"/>
        <scheme val="none"/>
      </font>
      <numFmt numFmtId="1" formatCode="0"/>
    </dxf>
  </rfmt>
  <rfmt sheetId="1" sqref="AO143" start="0" length="0">
    <dxf>
      <font>
        <sz val="11"/>
        <color theme="1"/>
        <name val="Calibri"/>
        <scheme val="none"/>
      </font>
    </dxf>
  </rfmt>
  <rfmt sheetId="1" sqref="AP143" start="0" length="0">
    <dxf>
      <font>
        <sz val="11"/>
        <color theme="1"/>
        <name val="Calibri"/>
        <scheme val="none"/>
      </font>
    </dxf>
  </rfmt>
  <rfmt sheetId="1" sqref="AQ143" start="0" length="0">
    <dxf>
      <font>
        <sz val="11"/>
        <color theme="1"/>
        <name val="Calibri"/>
        <scheme val="none"/>
      </font>
      <numFmt numFmtId="164" formatCode="_-* #,##0_-;\-* #,##0_-;_-* &quot;-&quot;??_-;_-@_-"/>
    </dxf>
  </rfmt>
  <rfmt sheetId="1" sqref="AR143" start="0" length="0">
    <dxf>
      <font>
        <sz val="11"/>
        <color theme="1"/>
        <name val="Calibri"/>
        <scheme val="none"/>
      </font>
      <numFmt numFmtId="164" formatCode="_-* #,##0_-;\-* #,##0_-;_-* &quot;-&quot;??_-;_-@_-"/>
    </dxf>
  </rfmt>
  <rfmt sheetId="1" sqref="AS143" start="0" length="0">
    <dxf>
      <font>
        <sz val="11"/>
        <color theme="1"/>
        <name val="Calibri"/>
        <scheme val="none"/>
      </font>
      <numFmt numFmtId="164" formatCode="_-* #,##0_-;\-* #,##0_-;_-* &quot;-&quot;??_-;_-@_-"/>
    </dxf>
  </rfmt>
  <rfmt sheetId="1" sqref="AT143" start="0" length="0">
    <dxf>
      <font>
        <sz val="11"/>
        <color theme="1"/>
        <name val="Calibri"/>
        <scheme val="none"/>
      </font>
      <numFmt numFmtId="164" formatCode="_-* #,##0_-;\-* #,##0_-;_-* &quot;-&quot;??_-;_-@_-"/>
    </dxf>
  </rfmt>
  <rfmt sheetId="1" sqref="AU143" start="0" length="0">
    <dxf>
      <font>
        <sz val="11"/>
        <color theme="1"/>
        <name val="Calibri"/>
        <scheme val="none"/>
      </font>
    </dxf>
  </rfmt>
  <rfmt sheetId="1" sqref="AV143" start="0" length="0">
    <dxf>
      <font>
        <sz val="11"/>
        <color theme="1"/>
        <name val="Calibri"/>
        <scheme val="none"/>
      </font>
    </dxf>
  </rfmt>
  <rfmt sheetId="1" sqref="AW143" start="0" length="0">
    <dxf>
      <font>
        <sz val="11"/>
        <color theme="1"/>
        <name val="Calibri"/>
        <scheme val="none"/>
      </font>
    </dxf>
  </rfmt>
  <rfmt sheetId="1" sqref="AX143" start="0" length="0">
    <dxf>
      <font>
        <sz val="11"/>
        <color theme="1"/>
        <name val="Calibri"/>
        <scheme val="none"/>
      </font>
    </dxf>
  </rfmt>
  <rfmt sheetId="1" sqref="AY143" start="0" length="0">
    <dxf>
      <font>
        <sz val="11"/>
        <color theme="1"/>
        <name val="Calibri"/>
        <scheme val="none"/>
      </font>
    </dxf>
  </rfmt>
  <rfmt sheetId="1" sqref="A143:XFD143" start="0" length="0">
    <dxf>
      <font>
        <sz val="11"/>
        <color theme="1"/>
        <name val="Calibri"/>
        <scheme val="none"/>
      </font>
    </dxf>
  </rfmt>
  <rfmt sheetId="1" sqref="A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4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4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44" start="0" length="0">
    <dxf>
      <font>
        <sz val="11"/>
        <color theme="1"/>
        <name val="Calibri"/>
        <scheme val="none"/>
      </font>
    </dxf>
  </rfmt>
  <rfmt sheetId="1" sqref="AM144" start="0" length="0">
    <dxf>
      <font>
        <sz val="11"/>
        <color theme="1"/>
        <name val="Calibri"/>
        <scheme val="none"/>
      </font>
      <numFmt numFmtId="1" formatCode="0"/>
    </dxf>
  </rfmt>
  <rfmt sheetId="1" sqref="AN144" start="0" length="0">
    <dxf>
      <font>
        <sz val="11"/>
        <color theme="1"/>
        <name val="Calibri"/>
        <scheme val="none"/>
      </font>
      <numFmt numFmtId="1" formatCode="0"/>
    </dxf>
  </rfmt>
  <rfmt sheetId="1" sqref="AO144" start="0" length="0">
    <dxf>
      <font>
        <sz val="11"/>
        <color theme="1"/>
        <name val="Calibri"/>
        <scheme val="none"/>
      </font>
    </dxf>
  </rfmt>
  <rfmt sheetId="1" sqref="AP144" start="0" length="0">
    <dxf>
      <font>
        <sz val="11"/>
        <color theme="1"/>
        <name val="Calibri"/>
        <scheme val="none"/>
      </font>
    </dxf>
  </rfmt>
  <rfmt sheetId="1" sqref="AQ144" start="0" length="0">
    <dxf>
      <font>
        <sz val="11"/>
        <color theme="1"/>
        <name val="Calibri"/>
        <scheme val="none"/>
      </font>
      <numFmt numFmtId="164" formatCode="_-* #,##0_-;\-* #,##0_-;_-* &quot;-&quot;??_-;_-@_-"/>
    </dxf>
  </rfmt>
  <rfmt sheetId="1" sqref="AR144" start="0" length="0">
    <dxf>
      <font>
        <sz val="11"/>
        <color theme="1"/>
        <name val="Calibri"/>
        <scheme val="none"/>
      </font>
      <numFmt numFmtId="164" formatCode="_-* #,##0_-;\-* #,##0_-;_-* &quot;-&quot;??_-;_-@_-"/>
    </dxf>
  </rfmt>
  <rfmt sheetId="1" sqref="AS144" start="0" length="0">
    <dxf>
      <font>
        <sz val="11"/>
        <color theme="1"/>
        <name val="Calibri"/>
        <scheme val="none"/>
      </font>
      <numFmt numFmtId="164" formatCode="_-* #,##0_-;\-* #,##0_-;_-* &quot;-&quot;??_-;_-@_-"/>
    </dxf>
  </rfmt>
  <rfmt sheetId="1" sqref="AT144" start="0" length="0">
    <dxf>
      <font>
        <sz val="11"/>
        <color theme="1"/>
        <name val="Calibri"/>
        <scheme val="none"/>
      </font>
      <numFmt numFmtId="164" formatCode="_-* #,##0_-;\-* #,##0_-;_-* &quot;-&quot;??_-;_-@_-"/>
    </dxf>
  </rfmt>
  <rfmt sheetId="1" sqref="AU144" start="0" length="0">
    <dxf>
      <font>
        <sz val="11"/>
        <color theme="1"/>
        <name val="Calibri"/>
        <scheme val="none"/>
      </font>
    </dxf>
  </rfmt>
  <rfmt sheetId="1" sqref="AV144" start="0" length="0">
    <dxf>
      <font>
        <sz val="11"/>
        <color theme="1"/>
        <name val="Calibri"/>
        <scheme val="none"/>
      </font>
    </dxf>
  </rfmt>
  <rfmt sheetId="1" sqref="AW144" start="0" length="0">
    <dxf>
      <font>
        <sz val="11"/>
        <color theme="1"/>
        <name val="Calibri"/>
        <scheme val="none"/>
      </font>
    </dxf>
  </rfmt>
  <rfmt sheetId="1" sqref="AX144" start="0" length="0">
    <dxf>
      <font>
        <sz val="11"/>
        <color theme="1"/>
        <name val="Calibri"/>
        <scheme val="none"/>
      </font>
    </dxf>
  </rfmt>
  <rfmt sheetId="1" sqref="AY144" start="0" length="0">
    <dxf>
      <font>
        <sz val="11"/>
        <color theme="1"/>
        <name val="Calibri"/>
        <scheme val="none"/>
      </font>
    </dxf>
  </rfmt>
  <rfmt sheetId="1" sqref="A144:XFD144" start="0" length="0">
    <dxf>
      <font>
        <sz val="11"/>
        <color theme="1"/>
        <name val="Calibri"/>
        <scheme val="none"/>
      </font>
    </dxf>
  </rfmt>
  <rfmt sheetId="1" sqref="A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4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4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45" start="0" length="0">
    <dxf>
      <font>
        <sz val="11"/>
        <color theme="1"/>
        <name val="Calibri"/>
        <scheme val="none"/>
      </font>
    </dxf>
  </rfmt>
  <rfmt sheetId="1" sqref="AM145" start="0" length="0">
    <dxf>
      <font>
        <sz val="11"/>
        <color theme="1"/>
        <name val="Calibri"/>
        <scheme val="none"/>
      </font>
      <numFmt numFmtId="1" formatCode="0"/>
    </dxf>
  </rfmt>
  <rfmt sheetId="1" sqref="AN145" start="0" length="0">
    <dxf>
      <font>
        <sz val="11"/>
        <color theme="1"/>
        <name val="Calibri"/>
        <scheme val="none"/>
      </font>
      <numFmt numFmtId="1" formatCode="0"/>
    </dxf>
  </rfmt>
  <rfmt sheetId="1" sqref="AO145" start="0" length="0">
    <dxf>
      <font>
        <sz val="11"/>
        <color theme="1"/>
        <name val="Calibri"/>
        <scheme val="none"/>
      </font>
    </dxf>
  </rfmt>
  <rfmt sheetId="1" sqref="AP145" start="0" length="0">
    <dxf>
      <font>
        <sz val="11"/>
        <color theme="1"/>
        <name val="Calibri"/>
        <scheme val="none"/>
      </font>
    </dxf>
  </rfmt>
  <rfmt sheetId="1" sqref="AQ145" start="0" length="0">
    <dxf>
      <font>
        <sz val="11"/>
        <color theme="1"/>
        <name val="Calibri"/>
        <scheme val="none"/>
      </font>
      <numFmt numFmtId="164" formatCode="_-* #,##0_-;\-* #,##0_-;_-* &quot;-&quot;??_-;_-@_-"/>
    </dxf>
  </rfmt>
  <rfmt sheetId="1" sqref="AR145" start="0" length="0">
    <dxf>
      <font>
        <sz val="11"/>
        <color theme="1"/>
        <name val="Calibri"/>
        <scheme val="none"/>
      </font>
      <numFmt numFmtId="164" formatCode="_-* #,##0_-;\-* #,##0_-;_-* &quot;-&quot;??_-;_-@_-"/>
    </dxf>
  </rfmt>
  <rfmt sheetId="1" sqref="AS145" start="0" length="0">
    <dxf>
      <font>
        <sz val="11"/>
        <color theme="1"/>
        <name val="Calibri"/>
        <scheme val="none"/>
      </font>
      <numFmt numFmtId="164" formatCode="_-* #,##0_-;\-* #,##0_-;_-* &quot;-&quot;??_-;_-@_-"/>
    </dxf>
  </rfmt>
  <rfmt sheetId="1" sqref="AT145" start="0" length="0">
    <dxf>
      <font>
        <sz val="11"/>
        <color theme="1"/>
        <name val="Calibri"/>
        <scheme val="none"/>
      </font>
      <numFmt numFmtId="164" formatCode="_-* #,##0_-;\-* #,##0_-;_-* &quot;-&quot;??_-;_-@_-"/>
    </dxf>
  </rfmt>
  <rfmt sheetId="1" sqref="AU145" start="0" length="0">
    <dxf>
      <font>
        <sz val="11"/>
        <color theme="1"/>
        <name val="Calibri"/>
        <scheme val="none"/>
      </font>
    </dxf>
  </rfmt>
  <rfmt sheetId="1" sqref="AV145" start="0" length="0">
    <dxf>
      <font>
        <sz val="11"/>
        <color theme="1"/>
        <name val="Calibri"/>
        <scheme val="none"/>
      </font>
    </dxf>
  </rfmt>
  <rfmt sheetId="1" sqref="AW145" start="0" length="0">
    <dxf>
      <font>
        <sz val="11"/>
        <color theme="1"/>
        <name val="Calibri"/>
        <scheme val="none"/>
      </font>
    </dxf>
  </rfmt>
  <rfmt sheetId="1" sqref="AX145" start="0" length="0">
    <dxf>
      <font>
        <sz val="11"/>
        <color theme="1"/>
        <name val="Calibri"/>
        <scheme val="none"/>
      </font>
    </dxf>
  </rfmt>
  <rfmt sheetId="1" sqref="AY145" start="0" length="0">
    <dxf>
      <font>
        <sz val="11"/>
        <color theme="1"/>
        <name val="Calibri"/>
        <scheme val="none"/>
      </font>
    </dxf>
  </rfmt>
  <rfmt sheetId="1" sqref="A145:XFD145" start="0" length="0">
    <dxf>
      <font>
        <sz val="11"/>
        <color theme="1"/>
        <name val="Calibri"/>
        <scheme val="none"/>
      </font>
    </dxf>
  </rfmt>
  <rfmt sheetId="1" sqref="A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4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4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46" start="0" length="0">
    <dxf>
      <font>
        <sz val="11"/>
        <color theme="1"/>
        <name val="Calibri"/>
        <scheme val="none"/>
      </font>
    </dxf>
  </rfmt>
  <rfmt sheetId="1" sqref="AM146" start="0" length="0">
    <dxf>
      <font>
        <sz val="11"/>
        <color theme="1"/>
        <name val="Calibri"/>
        <scheme val="none"/>
      </font>
      <numFmt numFmtId="1" formatCode="0"/>
    </dxf>
  </rfmt>
  <rfmt sheetId="1" sqref="AN146" start="0" length="0">
    <dxf>
      <font>
        <sz val="11"/>
        <color theme="1"/>
        <name val="Calibri"/>
        <scheme val="none"/>
      </font>
      <numFmt numFmtId="1" formatCode="0"/>
    </dxf>
  </rfmt>
  <rfmt sheetId="1" sqref="AO146" start="0" length="0">
    <dxf>
      <font>
        <sz val="11"/>
        <color theme="1"/>
        <name val="Calibri"/>
        <scheme val="none"/>
      </font>
    </dxf>
  </rfmt>
  <rfmt sheetId="1" sqref="AP146" start="0" length="0">
    <dxf>
      <font>
        <sz val="11"/>
        <color theme="1"/>
        <name val="Calibri"/>
        <scheme val="none"/>
      </font>
    </dxf>
  </rfmt>
  <rfmt sheetId="1" sqref="AQ146" start="0" length="0">
    <dxf>
      <font>
        <sz val="11"/>
        <color theme="1"/>
        <name val="Calibri"/>
        <scheme val="none"/>
      </font>
      <numFmt numFmtId="164" formatCode="_-* #,##0_-;\-* #,##0_-;_-* &quot;-&quot;??_-;_-@_-"/>
    </dxf>
  </rfmt>
  <rfmt sheetId="1" sqref="AR146" start="0" length="0">
    <dxf>
      <font>
        <sz val="11"/>
        <color theme="1"/>
        <name val="Calibri"/>
        <scheme val="none"/>
      </font>
      <numFmt numFmtId="164" formatCode="_-* #,##0_-;\-* #,##0_-;_-* &quot;-&quot;??_-;_-@_-"/>
    </dxf>
  </rfmt>
  <rfmt sheetId="1" sqref="AS146" start="0" length="0">
    <dxf>
      <font>
        <sz val="11"/>
        <color theme="1"/>
        <name val="Calibri"/>
        <scheme val="none"/>
      </font>
      <numFmt numFmtId="164" formatCode="_-* #,##0_-;\-* #,##0_-;_-* &quot;-&quot;??_-;_-@_-"/>
    </dxf>
  </rfmt>
  <rfmt sheetId="1" sqref="AT146" start="0" length="0">
    <dxf>
      <font>
        <sz val="11"/>
        <color theme="1"/>
        <name val="Calibri"/>
        <scheme val="none"/>
      </font>
      <numFmt numFmtId="164" formatCode="_-* #,##0_-;\-* #,##0_-;_-* &quot;-&quot;??_-;_-@_-"/>
    </dxf>
  </rfmt>
  <rfmt sheetId="1" sqref="AU146" start="0" length="0">
    <dxf>
      <font>
        <sz val="11"/>
        <color theme="1"/>
        <name val="Calibri"/>
        <scheme val="none"/>
      </font>
    </dxf>
  </rfmt>
  <rfmt sheetId="1" sqref="AV146" start="0" length="0">
    <dxf>
      <font>
        <sz val="11"/>
        <color theme="1"/>
        <name val="Calibri"/>
        <scheme val="none"/>
      </font>
    </dxf>
  </rfmt>
  <rfmt sheetId="1" sqref="AW146" start="0" length="0">
    <dxf>
      <font>
        <sz val="11"/>
        <color theme="1"/>
        <name val="Calibri"/>
        <scheme val="none"/>
      </font>
    </dxf>
  </rfmt>
  <rfmt sheetId="1" sqref="AX146" start="0" length="0">
    <dxf>
      <font>
        <sz val="11"/>
        <color theme="1"/>
        <name val="Calibri"/>
        <scheme val="none"/>
      </font>
    </dxf>
  </rfmt>
  <rfmt sheetId="1" sqref="AY146" start="0" length="0">
    <dxf>
      <font>
        <sz val="11"/>
        <color theme="1"/>
        <name val="Calibri"/>
        <scheme val="none"/>
      </font>
    </dxf>
  </rfmt>
  <rfmt sheetId="1" sqref="A146:XFD146" start="0" length="0">
    <dxf>
      <font>
        <sz val="11"/>
        <color theme="1"/>
        <name val="Calibri"/>
        <scheme val="none"/>
      </font>
    </dxf>
  </rfmt>
  <rfmt sheetId="1" sqref="A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4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4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47" start="0" length="0">
    <dxf>
      <font>
        <sz val="11"/>
        <color theme="1"/>
        <name val="Calibri"/>
        <scheme val="none"/>
      </font>
    </dxf>
  </rfmt>
  <rfmt sheetId="1" sqref="AM147" start="0" length="0">
    <dxf>
      <font>
        <sz val="11"/>
        <color theme="1"/>
        <name val="Calibri"/>
        <scheme val="none"/>
      </font>
      <numFmt numFmtId="1" formatCode="0"/>
    </dxf>
  </rfmt>
  <rfmt sheetId="1" sqref="AN147" start="0" length="0">
    <dxf>
      <font>
        <sz val="11"/>
        <color theme="1"/>
        <name val="Calibri"/>
        <scheme val="none"/>
      </font>
      <numFmt numFmtId="1" formatCode="0"/>
    </dxf>
  </rfmt>
  <rfmt sheetId="1" sqref="AO147" start="0" length="0">
    <dxf>
      <font>
        <sz val="11"/>
        <color theme="1"/>
        <name val="Calibri"/>
        <scheme val="none"/>
      </font>
    </dxf>
  </rfmt>
  <rfmt sheetId="1" sqref="AP147" start="0" length="0">
    <dxf>
      <font>
        <sz val="11"/>
        <color theme="1"/>
        <name val="Calibri"/>
        <scheme val="none"/>
      </font>
    </dxf>
  </rfmt>
  <rfmt sheetId="1" sqref="AQ147" start="0" length="0">
    <dxf>
      <font>
        <sz val="11"/>
        <color theme="1"/>
        <name val="Calibri"/>
        <scheme val="none"/>
      </font>
      <numFmt numFmtId="164" formatCode="_-* #,##0_-;\-* #,##0_-;_-* &quot;-&quot;??_-;_-@_-"/>
    </dxf>
  </rfmt>
  <rfmt sheetId="1" sqref="AR147" start="0" length="0">
    <dxf>
      <font>
        <sz val="11"/>
        <color theme="1"/>
        <name val="Calibri"/>
        <scheme val="none"/>
      </font>
      <numFmt numFmtId="164" formatCode="_-* #,##0_-;\-* #,##0_-;_-* &quot;-&quot;??_-;_-@_-"/>
    </dxf>
  </rfmt>
  <rfmt sheetId="1" sqref="AS147" start="0" length="0">
    <dxf>
      <font>
        <sz val="11"/>
        <color theme="1"/>
        <name val="Calibri"/>
        <scheme val="none"/>
      </font>
      <numFmt numFmtId="164" formatCode="_-* #,##0_-;\-* #,##0_-;_-* &quot;-&quot;??_-;_-@_-"/>
    </dxf>
  </rfmt>
  <rfmt sheetId="1" sqref="AT147" start="0" length="0">
    <dxf>
      <font>
        <sz val="11"/>
        <color theme="1"/>
        <name val="Calibri"/>
        <scheme val="none"/>
      </font>
      <numFmt numFmtId="164" formatCode="_-* #,##0_-;\-* #,##0_-;_-* &quot;-&quot;??_-;_-@_-"/>
    </dxf>
  </rfmt>
  <rfmt sheetId="1" sqref="AU147" start="0" length="0">
    <dxf>
      <font>
        <sz val="11"/>
        <color theme="1"/>
        <name val="Calibri"/>
        <scheme val="none"/>
      </font>
    </dxf>
  </rfmt>
  <rfmt sheetId="1" sqref="AV147" start="0" length="0">
    <dxf>
      <font>
        <sz val="11"/>
        <color theme="1"/>
        <name val="Calibri"/>
        <scheme val="none"/>
      </font>
    </dxf>
  </rfmt>
  <rfmt sheetId="1" sqref="AW147" start="0" length="0">
    <dxf>
      <font>
        <sz val="11"/>
        <color theme="1"/>
        <name val="Calibri"/>
        <scheme val="none"/>
      </font>
    </dxf>
  </rfmt>
  <rfmt sheetId="1" sqref="AX147" start="0" length="0">
    <dxf>
      <font>
        <sz val="11"/>
        <color theme="1"/>
        <name val="Calibri"/>
        <scheme val="none"/>
      </font>
    </dxf>
  </rfmt>
  <rfmt sheetId="1" sqref="AY147" start="0" length="0">
    <dxf>
      <font>
        <sz val="11"/>
        <color theme="1"/>
        <name val="Calibri"/>
        <scheme val="none"/>
      </font>
    </dxf>
  </rfmt>
  <rfmt sheetId="1" sqref="A147:XFD147" start="0" length="0">
    <dxf>
      <font>
        <sz val="11"/>
        <color theme="1"/>
        <name val="Calibri"/>
        <scheme val="none"/>
      </font>
    </dxf>
  </rfmt>
  <rfmt sheetId="1" sqref="A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4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4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48" start="0" length="0">
    <dxf>
      <font>
        <sz val="11"/>
        <color theme="1"/>
        <name val="Calibri"/>
        <scheme val="none"/>
      </font>
    </dxf>
  </rfmt>
  <rfmt sheetId="1" sqref="AM148" start="0" length="0">
    <dxf>
      <font>
        <sz val="11"/>
        <color theme="1"/>
        <name val="Calibri"/>
        <scheme val="none"/>
      </font>
      <numFmt numFmtId="1" formatCode="0"/>
    </dxf>
  </rfmt>
  <rfmt sheetId="1" sqref="AN148" start="0" length="0">
    <dxf>
      <font>
        <sz val="11"/>
        <color theme="1"/>
        <name val="Calibri"/>
        <scheme val="none"/>
      </font>
      <numFmt numFmtId="1" formatCode="0"/>
    </dxf>
  </rfmt>
  <rfmt sheetId="1" sqref="AO148" start="0" length="0">
    <dxf>
      <font>
        <sz val="11"/>
        <color theme="1"/>
        <name val="Calibri"/>
        <scheme val="none"/>
      </font>
    </dxf>
  </rfmt>
  <rfmt sheetId="1" sqref="AP148" start="0" length="0">
    <dxf>
      <font>
        <sz val="11"/>
        <color theme="1"/>
        <name val="Calibri"/>
        <scheme val="none"/>
      </font>
    </dxf>
  </rfmt>
  <rfmt sheetId="1" sqref="AQ148" start="0" length="0">
    <dxf>
      <font>
        <sz val="11"/>
        <color theme="1"/>
        <name val="Calibri"/>
        <scheme val="none"/>
      </font>
      <numFmt numFmtId="164" formatCode="_-* #,##0_-;\-* #,##0_-;_-* &quot;-&quot;??_-;_-@_-"/>
    </dxf>
  </rfmt>
  <rfmt sheetId="1" sqref="AR148" start="0" length="0">
    <dxf>
      <font>
        <sz val="11"/>
        <color theme="1"/>
        <name val="Calibri"/>
        <scheme val="none"/>
      </font>
      <numFmt numFmtId="164" formatCode="_-* #,##0_-;\-* #,##0_-;_-* &quot;-&quot;??_-;_-@_-"/>
    </dxf>
  </rfmt>
  <rfmt sheetId="1" sqref="AS148" start="0" length="0">
    <dxf>
      <font>
        <sz val="11"/>
        <color theme="1"/>
        <name val="Calibri"/>
        <scheme val="none"/>
      </font>
      <numFmt numFmtId="164" formatCode="_-* #,##0_-;\-* #,##0_-;_-* &quot;-&quot;??_-;_-@_-"/>
    </dxf>
  </rfmt>
  <rfmt sheetId="1" sqref="AT148" start="0" length="0">
    <dxf>
      <font>
        <sz val="11"/>
        <color theme="1"/>
        <name val="Calibri"/>
        <scheme val="none"/>
      </font>
      <numFmt numFmtId="164" formatCode="_-* #,##0_-;\-* #,##0_-;_-* &quot;-&quot;??_-;_-@_-"/>
    </dxf>
  </rfmt>
  <rfmt sheetId="1" sqref="AU148" start="0" length="0">
    <dxf>
      <font>
        <sz val="11"/>
        <color theme="1"/>
        <name val="Calibri"/>
        <scheme val="none"/>
      </font>
    </dxf>
  </rfmt>
  <rfmt sheetId="1" sqref="AV148" start="0" length="0">
    <dxf>
      <font>
        <sz val="11"/>
        <color theme="1"/>
        <name val="Calibri"/>
        <scheme val="none"/>
      </font>
    </dxf>
  </rfmt>
  <rfmt sheetId="1" sqref="AW148" start="0" length="0">
    <dxf>
      <font>
        <sz val="11"/>
        <color theme="1"/>
        <name val="Calibri"/>
        <scheme val="none"/>
      </font>
    </dxf>
  </rfmt>
  <rfmt sheetId="1" sqref="AX148" start="0" length="0">
    <dxf>
      <font>
        <sz val="11"/>
        <color theme="1"/>
        <name val="Calibri"/>
        <scheme val="none"/>
      </font>
    </dxf>
  </rfmt>
  <rfmt sheetId="1" sqref="AY148" start="0" length="0">
    <dxf>
      <font>
        <sz val="11"/>
        <color theme="1"/>
        <name val="Calibri"/>
        <scheme val="none"/>
      </font>
    </dxf>
  </rfmt>
  <rfmt sheetId="1" sqref="A148:XFD148" start="0" length="0">
    <dxf>
      <font>
        <sz val="11"/>
        <color theme="1"/>
        <name val="Calibri"/>
        <scheme val="none"/>
      </font>
    </dxf>
  </rfmt>
  <rfmt sheetId="1" sqref="A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4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4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49" start="0" length="0">
    <dxf>
      <font>
        <sz val="11"/>
        <color theme="1"/>
        <name val="Calibri"/>
        <scheme val="none"/>
      </font>
    </dxf>
  </rfmt>
  <rfmt sheetId="1" sqref="AM149" start="0" length="0">
    <dxf>
      <font>
        <sz val="11"/>
        <color theme="1"/>
        <name val="Calibri"/>
        <scheme val="none"/>
      </font>
      <numFmt numFmtId="1" formatCode="0"/>
    </dxf>
  </rfmt>
  <rfmt sheetId="1" sqref="AN149" start="0" length="0">
    <dxf>
      <font>
        <sz val="11"/>
        <color theme="1"/>
        <name val="Calibri"/>
        <scheme val="none"/>
      </font>
      <numFmt numFmtId="1" formatCode="0"/>
    </dxf>
  </rfmt>
  <rfmt sheetId="1" sqref="AO149" start="0" length="0">
    <dxf>
      <font>
        <sz val="11"/>
        <color theme="1"/>
        <name val="Calibri"/>
        <scheme val="none"/>
      </font>
    </dxf>
  </rfmt>
  <rfmt sheetId="1" sqref="AP149" start="0" length="0">
    <dxf>
      <font>
        <sz val="11"/>
        <color theme="1"/>
        <name val="Calibri"/>
        <scheme val="none"/>
      </font>
    </dxf>
  </rfmt>
  <rfmt sheetId="1" sqref="AQ149" start="0" length="0">
    <dxf>
      <font>
        <sz val="11"/>
        <color theme="1"/>
        <name val="Calibri"/>
        <scheme val="none"/>
      </font>
      <numFmt numFmtId="164" formatCode="_-* #,##0_-;\-* #,##0_-;_-* &quot;-&quot;??_-;_-@_-"/>
    </dxf>
  </rfmt>
  <rfmt sheetId="1" sqref="AR149" start="0" length="0">
    <dxf>
      <font>
        <sz val="11"/>
        <color theme="1"/>
        <name val="Calibri"/>
        <scheme val="none"/>
      </font>
      <numFmt numFmtId="164" formatCode="_-* #,##0_-;\-* #,##0_-;_-* &quot;-&quot;??_-;_-@_-"/>
    </dxf>
  </rfmt>
  <rfmt sheetId="1" sqref="AS149" start="0" length="0">
    <dxf>
      <font>
        <sz val="11"/>
        <color theme="1"/>
        <name val="Calibri"/>
        <scheme val="none"/>
      </font>
      <numFmt numFmtId="164" formatCode="_-* #,##0_-;\-* #,##0_-;_-* &quot;-&quot;??_-;_-@_-"/>
    </dxf>
  </rfmt>
  <rfmt sheetId="1" sqref="AT149" start="0" length="0">
    <dxf>
      <font>
        <sz val="11"/>
        <color theme="1"/>
        <name val="Calibri"/>
        <scheme val="none"/>
      </font>
      <numFmt numFmtId="164" formatCode="_-* #,##0_-;\-* #,##0_-;_-* &quot;-&quot;??_-;_-@_-"/>
    </dxf>
  </rfmt>
  <rfmt sheetId="1" sqref="AU149" start="0" length="0">
    <dxf>
      <font>
        <sz val="11"/>
        <color theme="1"/>
        <name val="Calibri"/>
        <scheme val="none"/>
      </font>
    </dxf>
  </rfmt>
  <rfmt sheetId="1" sqref="AV149" start="0" length="0">
    <dxf>
      <font>
        <sz val="11"/>
        <color theme="1"/>
        <name val="Calibri"/>
        <scheme val="none"/>
      </font>
    </dxf>
  </rfmt>
  <rfmt sheetId="1" sqref="AW149" start="0" length="0">
    <dxf>
      <font>
        <sz val="11"/>
        <color theme="1"/>
        <name val="Calibri"/>
        <scheme val="none"/>
      </font>
    </dxf>
  </rfmt>
  <rfmt sheetId="1" sqref="AX149" start="0" length="0">
    <dxf>
      <font>
        <sz val="11"/>
        <color theme="1"/>
        <name val="Calibri"/>
        <scheme val="none"/>
      </font>
    </dxf>
  </rfmt>
  <rfmt sheetId="1" sqref="AY149" start="0" length="0">
    <dxf>
      <font>
        <sz val="11"/>
        <color theme="1"/>
        <name val="Calibri"/>
        <scheme val="none"/>
      </font>
    </dxf>
  </rfmt>
  <rfmt sheetId="1" sqref="A149:XFD149" start="0" length="0">
    <dxf>
      <font>
        <sz val="11"/>
        <color theme="1"/>
        <name val="Calibri"/>
        <scheme val="none"/>
      </font>
    </dxf>
  </rfmt>
  <rfmt sheetId="1" sqref="A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5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5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50" start="0" length="0">
    <dxf>
      <font>
        <sz val="11"/>
        <color theme="1"/>
        <name val="Calibri"/>
        <scheme val="none"/>
      </font>
    </dxf>
  </rfmt>
  <rfmt sheetId="1" sqref="AM150" start="0" length="0">
    <dxf>
      <font>
        <sz val="11"/>
        <color theme="1"/>
        <name val="Calibri"/>
        <scheme val="none"/>
      </font>
      <numFmt numFmtId="1" formatCode="0"/>
    </dxf>
  </rfmt>
  <rfmt sheetId="1" sqref="AN150" start="0" length="0">
    <dxf>
      <font>
        <sz val="11"/>
        <color theme="1"/>
        <name val="Calibri"/>
        <scheme val="none"/>
      </font>
      <numFmt numFmtId="1" formatCode="0"/>
    </dxf>
  </rfmt>
  <rfmt sheetId="1" sqref="AO150" start="0" length="0">
    <dxf>
      <font>
        <sz val="11"/>
        <color theme="1"/>
        <name val="Calibri"/>
        <scheme val="none"/>
      </font>
    </dxf>
  </rfmt>
  <rfmt sheetId="1" sqref="AP150" start="0" length="0">
    <dxf>
      <font>
        <sz val="11"/>
        <color theme="1"/>
        <name val="Calibri"/>
        <scheme val="none"/>
      </font>
    </dxf>
  </rfmt>
  <rfmt sheetId="1" sqref="AQ150" start="0" length="0">
    <dxf>
      <font>
        <sz val="11"/>
        <color theme="1"/>
        <name val="Calibri"/>
        <scheme val="none"/>
      </font>
      <numFmt numFmtId="164" formatCode="_-* #,##0_-;\-* #,##0_-;_-* &quot;-&quot;??_-;_-@_-"/>
    </dxf>
  </rfmt>
  <rfmt sheetId="1" sqref="AR150" start="0" length="0">
    <dxf>
      <font>
        <sz val="11"/>
        <color theme="1"/>
        <name val="Calibri"/>
        <scheme val="none"/>
      </font>
      <numFmt numFmtId="164" formatCode="_-* #,##0_-;\-* #,##0_-;_-* &quot;-&quot;??_-;_-@_-"/>
    </dxf>
  </rfmt>
  <rfmt sheetId="1" sqref="AS150" start="0" length="0">
    <dxf>
      <font>
        <sz val="11"/>
        <color theme="1"/>
        <name val="Calibri"/>
        <scheme val="none"/>
      </font>
      <numFmt numFmtId="164" formatCode="_-* #,##0_-;\-* #,##0_-;_-* &quot;-&quot;??_-;_-@_-"/>
    </dxf>
  </rfmt>
  <rfmt sheetId="1" sqref="AT150" start="0" length="0">
    <dxf>
      <font>
        <sz val="11"/>
        <color theme="1"/>
        <name val="Calibri"/>
        <scheme val="none"/>
      </font>
      <numFmt numFmtId="164" formatCode="_-* #,##0_-;\-* #,##0_-;_-* &quot;-&quot;??_-;_-@_-"/>
    </dxf>
  </rfmt>
  <rfmt sheetId="1" sqref="AU150" start="0" length="0">
    <dxf>
      <font>
        <sz val="11"/>
        <color theme="1"/>
        <name val="Calibri"/>
        <scheme val="none"/>
      </font>
    </dxf>
  </rfmt>
  <rfmt sheetId="1" sqref="AV150" start="0" length="0">
    <dxf>
      <font>
        <sz val="11"/>
        <color theme="1"/>
        <name val="Calibri"/>
        <scheme val="none"/>
      </font>
    </dxf>
  </rfmt>
  <rfmt sheetId="1" sqref="AW150" start="0" length="0">
    <dxf>
      <font>
        <sz val="11"/>
        <color theme="1"/>
        <name val="Calibri"/>
        <scheme val="none"/>
      </font>
    </dxf>
  </rfmt>
  <rfmt sheetId="1" sqref="AX150" start="0" length="0">
    <dxf>
      <font>
        <sz val="11"/>
        <color theme="1"/>
        <name val="Calibri"/>
        <scheme val="none"/>
      </font>
    </dxf>
  </rfmt>
  <rfmt sheetId="1" sqref="AY150" start="0" length="0">
    <dxf>
      <font>
        <sz val="11"/>
        <color theme="1"/>
        <name val="Calibri"/>
        <scheme val="none"/>
      </font>
    </dxf>
  </rfmt>
  <rfmt sheetId="1" sqref="A150:XFD150" start="0" length="0">
    <dxf>
      <font>
        <sz val="11"/>
        <color theme="1"/>
        <name val="Calibri"/>
        <scheme val="none"/>
      </font>
    </dxf>
  </rfmt>
  <rfmt sheetId="1" sqref="A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5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5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51" start="0" length="0">
    <dxf>
      <font>
        <sz val="11"/>
        <color theme="1"/>
        <name val="Calibri"/>
        <scheme val="none"/>
      </font>
    </dxf>
  </rfmt>
  <rfmt sheetId="1" sqref="AM151" start="0" length="0">
    <dxf>
      <font>
        <sz val="11"/>
        <color theme="1"/>
        <name val="Calibri"/>
        <scheme val="none"/>
      </font>
      <numFmt numFmtId="1" formatCode="0"/>
    </dxf>
  </rfmt>
  <rfmt sheetId="1" sqref="AN151" start="0" length="0">
    <dxf>
      <font>
        <sz val="11"/>
        <color theme="1"/>
        <name val="Calibri"/>
        <scheme val="none"/>
      </font>
      <numFmt numFmtId="1" formatCode="0"/>
    </dxf>
  </rfmt>
  <rfmt sheetId="1" sqref="AO151" start="0" length="0">
    <dxf>
      <font>
        <sz val="11"/>
        <color theme="1"/>
        <name val="Calibri"/>
        <scheme val="none"/>
      </font>
    </dxf>
  </rfmt>
  <rfmt sheetId="1" sqref="AP151" start="0" length="0">
    <dxf>
      <font>
        <sz val="11"/>
        <color theme="1"/>
        <name val="Calibri"/>
        <scheme val="none"/>
      </font>
    </dxf>
  </rfmt>
  <rfmt sheetId="1" sqref="AQ151" start="0" length="0">
    <dxf>
      <font>
        <sz val="11"/>
        <color theme="1"/>
        <name val="Calibri"/>
        <scheme val="none"/>
      </font>
      <numFmt numFmtId="164" formatCode="_-* #,##0_-;\-* #,##0_-;_-* &quot;-&quot;??_-;_-@_-"/>
    </dxf>
  </rfmt>
  <rfmt sheetId="1" sqref="AR151" start="0" length="0">
    <dxf>
      <font>
        <sz val="11"/>
        <color theme="1"/>
        <name val="Calibri"/>
        <scheme val="none"/>
      </font>
      <numFmt numFmtId="164" formatCode="_-* #,##0_-;\-* #,##0_-;_-* &quot;-&quot;??_-;_-@_-"/>
    </dxf>
  </rfmt>
  <rfmt sheetId="1" sqref="AS151" start="0" length="0">
    <dxf>
      <font>
        <sz val="11"/>
        <color theme="1"/>
        <name val="Calibri"/>
        <scheme val="none"/>
      </font>
      <numFmt numFmtId="164" formatCode="_-* #,##0_-;\-* #,##0_-;_-* &quot;-&quot;??_-;_-@_-"/>
    </dxf>
  </rfmt>
  <rfmt sheetId="1" sqref="AT151" start="0" length="0">
    <dxf>
      <font>
        <sz val="11"/>
        <color theme="1"/>
        <name val="Calibri"/>
        <scheme val="none"/>
      </font>
      <numFmt numFmtId="164" formatCode="_-* #,##0_-;\-* #,##0_-;_-* &quot;-&quot;??_-;_-@_-"/>
    </dxf>
  </rfmt>
  <rfmt sheetId="1" sqref="AU151" start="0" length="0">
    <dxf>
      <font>
        <sz val="11"/>
        <color theme="1"/>
        <name val="Calibri"/>
        <scheme val="none"/>
      </font>
    </dxf>
  </rfmt>
  <rfmt sheetId="1" sqref="AV151" start="0" length="0">
    <dxf>
      <font>
        <sz val="11"/>
        <color theme="1"/>
        <name val="Calibri"/>
        <scheme val="none"/>
      </font>
    </dxf>
  </rfmt>
  <rfmt sheetId="1" sqref="AW151" start="0" length="0">
    <dxf>
      <font>
        <sz val="11"/>
        <color theme="1"/>
        <name val="Calibri"/>
        <scheme val="none"/>
      </font>
    </dxf>
  </rfmt>
  <rfmt sheetId="1" sqref="AX151" start="0" length="0">
    <dxf>
      <font>
        <sz val="11"/>
        <color theme="1"/>
        <name val="Calibri"/>
        <scheme val="none"/>
      </font>
    </dxf>
  </rfmt>
  <rfmt sheetId="1" sqref="AY151" start="0" length="0">
    <dxf>
      <font>
        <sz val="11"/>
        <color theme="1"/>
        <name val="Calibri"/>
        <scheme val="none"/>
      </font>
    </dxf>
  </rfmt>
  <rfmt sheetId="1" sqref="A151:XFD151" start="0" length="0">
    <dxf>
      <font>
        <sz val="11"/>
        <color theme="1"/>
        <name val="Calibri"/>
        <scheme val="none"/>
      </font>
    </dxf>
  </rfmt>
  <rfmt sheetId="1" sqref="A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5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5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52" start="0" length="0">
    <dxf>
      <font>
        <sz val="11"/>
        <color theme="1"/>
        <name val="Calibri"/>
        <scheme val="none"/>
      </font>
    </dxf>
  </rfmt>
  <rfmt sheetId="1" sqref="AM152" start="0" length="0">
    <dxf>
      <font>
        <sz val="11"/>
        <color theme="1"/>
        <name val="Calibri"/>
        <scheme val="none"/>
      </font>
      <numFmt numFmtId="1" formatCode="0"/>
    </dxf>
  </rfmt>
  <rfmt sheetId="1" sqref="AN152" start="0" length="0">
    <dxf>
      <font>
        <sz val="11"/>
        <color theme="1"/>
        <name val="Calibri"/>
        <scheme val="none"/>
      </font>
      <numFmt numFmtId="1" formatCode="0"/>
    </dxf>
  </rfmt>
  <rfmt sheetId="1" sqref="AO152" start="0" length="0">
    <dxf>
      <font>
        <sz val="11"/>
        <color theme="1"/>
        <name val="Calibri"/>
        <scheme val="none"/>
      </font>
    </dxf>
  </rfmt>
  <rfmt sheetId="1" sqref="AP152" start="0" length="0">
    <dxf>
      <font>
        <sz val="11"/>
        <color theme="1"/>
        <name val="Calibri"/>
        <scheme val="none"/>
      </font>
    </dxf>
  </rfmt>
  <rfmt sheetId="1" sqref="AQ152" start="0" length="0">
    <dxf>
      <font>
        <sz val="11"/>
        <color theme="1"/>
        <name val="Calibri"/>
        <scheme val="none"/>
      </font>
      <numFmt numFmtId="164" formatCode="_-* #,##0_-;\-* #,##0_-;_-* &quot;-&quot;??_-;_-@_-"/>
    </dxf>
  </rfmt>
  <rfmt sheetId="1" sqref="AR152" start="0" length="0">
    <dxf>
      <font>
        <sz val="11"/>
        <color theme="1"/>
        <name val="Calibri"/>
        <scheme val="none"/>
      </font>
      <numFmt numFmtId="164" formatCode="_-* #,##0_-;\-* #,##0_-;_-* &quot;-&quot;??_-;_-@_-"/>
    </dxf>
  </rfmt>
  <rfmt sheetId="1" sqref="AS152" start="0" length="0">
    <dxf>
      <font>
        <sz val="11"/>
        <color theme="1"/>
        <name val="Calibri"/>
        <scheme val="none"/>
      </font>
      <numFmt numFmtId="164" formatCode="_-* #,##0_-;\-* #,##0_-;_-* &quot;-&quot;??_-;_-@_-"/>
    </dxf>
  </rfmt>
  <rfmt sheetId="1" sqref="AT152" start="0" length="0">
    <dxf>
      <font>
        <sz val="11"/>
        <color theme="1"/>
        <name val="Calibri"/>
        <scheme val="none"/>
      </font>
      <numFmt numFmtId="164" formatCode="_-* #,##0_-;\-* #,##0_-;_-* &quot;-&quot;??_-;_-@_-"/>
    </dxf>
  </rfmt>
  <rfmt sheetId="1" sqref="AU152" start="0" length="0">
    <dxf>
      <font>
        <sz val="11"/>
        <color theme="1"/>
        <name val="Calibri"/>
        <scheme val="none"/>
      </font>
    </dxf>
  </rfmt>
  <rfmt sheetId="1" sqref="AV152" start="0" length="0">
    <dxf>
      <font>
        <sz val="11"/>
        <color theme="1"/>
        <name val="Calibri"/>
        <scheme val="none"/>
      </font>
    </dxf>
  </rfmt>
  <rfmt sheetId="1" sqref="AW152" start="0" length="0">
    <dxf>
      <font>
        <sz val="11"/>
        <color theme="1"/>
        <name val="Calibri"/>
        <scheme val="none"/>
      </font>
    </dxf>
  </rfmt>
  <rfmt sheetId="1" sqref="AX152" start="0" length="0">
    <dxf>
      <font>
        <sz val="11"/>
        <color theme="1"/>
        <name val="Calibri"/>
        <scheme val="none"/>
      </font>
    </dxf>
  </rfmt>
  <rfmt sheetId="1" sqref="AY152" start="0" length="0">
    <dxf>
      <font>
        <sz val="11"/>
        <color theme="1"/>
        <name val="Calibri"/>
        <scheme val="none"/>
      </font>
    </dxf>
  </rfmt>
  <rfmt sheetId="1" sqref="A152:XFD152" start="0" length="0">
    <dxf>
      <font>
        <sz val="11"/>
        <color theme="1"/>
        <name val="Calibri"/>
        <scheme val="none"/>
      </font>
    </dxf>
  </rfmt>
  <rfmt sheetId="1" sqref="A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5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5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53" start="0" length="0">
    <dxf>
      <font>
        <sz val="11"/>
        <color theme="1"/>
        <name val="Calibri"/>
        <scheme val="none"/>
      </font>
    </dxf>
  </rfmt>
  <rfmt sheetId="1" sqref="AM153" start="0" length="0">
    <dxf>
      <font>
        <sz val="11"/>
        <color theme="1"/>
        <name val="Calibri"/>
        <scheme val="none"/>
      </font>
      <numFmt numFmtId="1" formatCode="0"/>
    </dxf>
  </rfmt>
  <rfmt sheetId="1" sqref="AN153" start="0" length="0">
    <dxf>
      <font>
        <sz val="11"/>
        <color theme="1"/>
        <name val="Calibri"/>
        <scheme val="none"/>
      </font>
      <numFmt numFmtId="1" formatCode="0"/>
    </dxf>
  </rfmt>
  <rfmt sheetId="1" sqref="AO153" start="0" length="0">
    <dxf>
      <font>
        <sz val="11"/>
        <color theme="1"/>
        <name val="Calibri"/>
        <scheme val="none"/>
      </font>
    </dxf>
  </rfmt>
  <rfmt sheetId="1" sqref="AP153" start="0" length="0">
    <dxf>
      <font>
        <sz val="11"/>
        <color theme="1"/>
        <name val="Calibri"/>
        <scheme val="none"/>
      </font>
    </dxf>
  </rfmt>
  <rfmt sheetId="1" sqref="AQ153" start="0" length="0">
    <dxf>
      <font>
        <sz val="11"/>
        <color theme="1"/>
        <name val="Calibri"/>
        <scheme val="none"/>
      </font>
      <numFmt numFmtId="164" formatCode="_-* #,##0_-;\-* #,##0_-;_-* &quot;-&quot;??_-;_-@_-"/>
    </dxf>
  </rfmt>
  <rfmt sheetId="1" sqref="AR153" start="0" length="0">
    <dxf>
      <font>
        <sz val="11"/>
        <color theme="1"/>
        <name val="Calibri"/>
        <scheme val="none"/>
      </font>
      <numFmt numFmtId="164" formatCode="_-* #,##0_-;\-* #,##0_-;_-* &quot;-&quot;??_-;_-@_-"/>
    </dxf>
  </rfmt>
  <rfmt sheetId="1" sqref="AS153" start="0" length="0">
    <dxf>
      <font>
        <sz val="11"/>
        <color theme="1"/>
        <name val="Calibri"/>
        <scheme val="none"/>
      </font>
      <numFmt numFmtId="164" formatCode="_-* #,##0_-;\-* #,##0_-;_-* &quot;-&quot;??_-;_-@_-"/>
    </dxf>
  </rfmt>
  <rfmt sheetId="1" sqref="AT153" start="0" length="0">
    <dxf>
      <font>
        <sz val="11"/>
        <color theme="1"/>
        <name val="Calibri"/>
        <scheme val="none"/>
      </font>
      <numFmt numFmtId="164" formatCode="_-* #,##0_-;\-* #,##0_-;_-* &quot;-&quot;??_-;_-@_-"/>
    </dxf>
  </rfmt>
  <rfmt sheetId="1" sqref="AU153" start="0" length="0">
    <dxf>
      <font>
        <sz val="11"/>
        <color theme="1"/>
        <name val="Calibri"/>
        <scheme val="none"/>
      </font>
    </dxf>
  </rfmt>
  <rfmt sheetId="1" sqref="AV153" start="0" length="0">
    <dxf>
      <font>
        <sz val="11"/>
        <color theme="1"/>
        <name val="Calibri"/>
        <scheme val="none"/>
      </font>
    </dxf>
  </rfmt>
  <rfmt sheetId="1" sqref="AW153" start="0" length="0">
    <dxf>
      <font>
        <sz val="11"/>
        <color theme="1"/>
        <name val="Calibri"/>
        <scheme val="none"/>
      </font>
    </dxf>
  </rfmt>
  <rfmt sheetId="1" sqref="AX153" start="0" length="0">
    <dxf>
      <font>
        <sz val="11"/>
        <color theme="1"/>
        <name val="Calibri"/>
        <scheme val="none"/>
      </font>
    </dxf>
  </rfmt>
  <rfmt sheetId="1" sqref="AY153" start="0" length="0">
    <dxf>
      <font>
        <sz val="11"/>
        <color theme="1"/>
        <name val="Calibri"/>
        <scheme val="none"/>
      </font>
    </dxf>
  </rfmt>
  <rfmt sheetId="1" sqref="A153:XFD153" start="0" length="0">
    <dxf>
      <font>
        <sz val="11"/>
        <color theme="1"/>
        <name val="Calibri"/>
        <scheme val="none"/>
      </font>
    </dxf>
  </rfmt>
  <rfmt sheetId="1" sqref="A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5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5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54" start="0" length="0">
    <dxf>
      <font>
        <sz val="11"/>
        <color theme="1"/>
        <name val="Calibri"/>
        <scheme val="none"/>
      </font>
    </dxf>
  </rfmt>
  <rfmt sheetId="1" sqref="AM154" start="0" length="0">
    <dxf>
      <font>
        <sz val="11"/>
        <color theme="1"/>
        <name val="Calibri"/>
        <scheme val="none"/>
      </font>
      <numFmt numFmtId="1" formatCode="0"/>
    </dxf>
  </rfmt>
  <rfmt sheetId="1" sqref="AN154" start="0" length="0">
    <dxf>
      <font>
        <sz val="11"/>
        <color theme="1"/>
        <name val="Calibri"/>
        <scheme val="none"/>
      </font>
      <numFmt numFmtId="1" formatCode="0"/>
    </dxf>
  </rfmt>
  <rfmt sheetId="1" sqref="AO154" start="0" length="0">
    <dxf>
      <font>
        <sz val="11"/>
        <color theme="1"/>
        <name val="Calibri"/>
        <scheme val="none"/>
      </font>
    </dxf>
  </rfmt>
  <rfmt sheetId="1" sqref="AP154" start="0" length="0">
    <dxf>
      <font>
        <sz val="11"/>
        <color theme="1"/>
        <name val="Calibri"/>
        <scheme val="none"/>
      </font>
    </dxf>
  </rfmt>
  <rfmt sheetId="1" sqref="AQ154" start="0" length="0">
    <dxf>
      <font>
        <sz val="11"/>
        <color theme="1"/>
        <name val="Calibri"/>
        <scheme val="none"/>
      </font>
      <numFmt numFmtId="164" formatCode="_-* #,##0_-;\-* #,##0_-;_-* &quot;-&quot;??_-;_-@_-"/>
    </dxf>
  </rfmt>
  <rfmt sheetId="1" sqref="AR154" start="0" length="0">
    <dxf>
      <font>
        <sz val="11"/>
        <color theme="1"/>
        <name val="Calibri"/>
        <scheme val="none"/>
      </font>
      <numFmt numFmtId="164" formatCode="_-* #,##0_-;\-* #,##0_-;_-* &quot;-&quot;??_-;_-@_-"/>
    </dxf>
  </rfmt>
  <rfmt sheetId="1" sqref="AS154" start="0" length="0">
    <dxf>
      <font>
        <sz val="11"/>
        <color theme="1"/>
        <name val="Calibri"/>
        <scheme val="none"/>
      </font>
      <numFmt numFmtId="164" formatCode="_-* #,##0_-;\-* #,##0_-;_-* &quot;-&quot;??_-;_-@_-"/>
    </dxf>
  </rfmt>
  <rfmt sheetId="1" sqref="AT154" start="0" length="0">
    <dxf>
      <font>
        <sz val="11"/>
        <color theme="1"/>
        <name val="Calibri"/>
        <scheme val="none"/>
      </font>
      <numFmt numFmtId="164" formatCode="_-* #,##0_-;\-* #,##0_-;_-* &quot;-&quot;??_-;_-@_-"/>
    </dxf>
  </rfmt>
  <rfmt sheetId="1" sqref="AU154" start="0" length="0">
    <dxf>
      <font>
        <sz val="11"/>
        <color theme="1"/>
        <name val="Calibri"/>
        <scheme val="none"/>
      </font>
    </dxf>
  </rfmt>
  <rfmt sheetId="1" sqref="AV154" start="0" length="0">
    <dxf>
      <font>
        <sz val="11"/>
        <color theme="1"/>
        <name val="Calibri"/>
        <scheme val="none"/>
      </font>
    </dxf>
  </rfmt>
  <rfmt sheetId="1" sqref="AW154" start="0" length="0">
    <dxf>
      <font>
        <sz val="11"/>
        <color theme="1"/>
        <name val="Calibri"/>
        <scheme val="none"/>
      </font>
    </dxf>
  </rfmt>
  <rfmt sheetId="1" sqref="AX154" start="0" length="0">
    <dxf>
      <font>
        <sz val="11"/>
        <color theme="1"/>
        <name val="Calibri"/>
        <scheme val="none"/>
      </font>
    </dxf>
  </rfmt>
  <rfmt sheetId="1" sqref="AY154" start="0" length="0">
    <dxf>
      <font>
        <sz val="11"/>
        <color theme="1"/>
        <name val="Calibri"/>
        <scheme val="none"/>
      </font>
    </dxf>
  </rfmt>
  <rfmt sheetId="1" sqref="A154:XFD154" start="0" length="0">
    <dxf>
      <font>
        <sz val="11"/>
        <color theme="1"/>
        <name val="Calibri"/>
        <scheme val="none"/>
      </font>
    </dxf>
  </rfmt>
  <rfmt sheetId="1" sqref="A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5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5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55" start="0" length="0">
    <dxf>
      <font>
        <sz val="11"/>
        <color theme="1"/>
        <name val="Calibri"/>
        <scheme val="none"/>
      </font>
    </dxf>
  </rfmt>
  <rfmt sheetId="1" sqref="AM155" start="0" length="0">
    <dxf>
      <font>
        <sz val="11"/>
        <color theme="1"/>
        <name val="Calibri"/>
        <scheme val="none"/>
      </font>
      <numFmt numFmtId="1" formatCode="0"/>
    </dxf>
  </rfmt>
  <rfmt sheetId="1" sqref="AN155" start="0" length="0">
    <dxf>
      <font>
        <sz val="11"/>
        <color theme="1"/>
        <name val="Calibri"/>
        <scheme val="none"/>
      </font>
      <numFmt numFmtId="1" formatCode="0"/>
    </dxf>
  </rfmt>
  <rfmt sheetId="1" sqref="AO155" start="0" length="0">
    <dxf>
      <font>
        <sz val="11"/>
        <color theme="1"/>
        <name val="Calibri"/>
        <scheme val="none"/>
      </font>
    </dxf>
  </rfmt>
  <rfmt sheetId="1" sqref="AP155" start="0" length="0">
    <dxf>
      <font>
        <sz val="11"/>
        <color theme="1"/>
        <name val="Calibri"/>
        <scheme val="none"/>
      </font>
    </dxf>
  </rfmt>
  <rfmt sheetId="1" sqref="AQ155" start="0" length="0">
    <dxf>
      <font>
        <sz val="11"/>
        <color theme="1"/>
        <name val="Calibri"/>
        <scheme val="none"/>
      </font>
      <numFmt numFmtId="164" formatCode="_-* #,##0_-;\-* #,##0_-;_-* &quot;-&quot;??_-;_-@_-"/>
    </dxf>
  </rfmt>
  <rfmt sheetId="1" sqref="AR155" start="0" length="0">
    <dxf>
      <font>
        <sz val="11"/>
        <color theme="1"/>
        <name val="Calibri"/>
        <scheme val="none"/>
      </font>
      <numFmt numFmtId="164" formatCode="_-* #,##0_-;\-* #,##0_-;_-* &quot;-&quot;??_-;_-@_-"/>
    </dxf>
  </rfmt>
  <rfmt sheetId="1" sqref="AS155" start="0" length="0">
    <dxf>
      <font>
        <sz val="11"/>
        <color theme="1"/>
        <name val="Calibri"/>
        <scheme val="none"/>
      </font>
      <numFmt numFmtId="164" formatCode="_-* #,##0_-;\-* #,##0_-;_-* &quot;-&quot;??_-;_-@_-"/>
    </dxf>
  </rfmt>
  <rfmt sheetId="1" sqref="AT155" start="0" length="0">
    <dxf>
      <font>
        <sz val="11"/>
        <color theme="1"/>
        <name val="Calibri"/>
        <scheme val="none"/>
      </font>
      <numFmt numFmtId="164" formatCode="_-* #,##0_-;\-* #,##0_-;_-* &quot;-&quot;??_-;_-@_-"/>
    </dxf>
  </rfmt>
  <rfmt sheetId="1" sqref="AU155" start="0" length="0">
    <dxf>
      <font>
        <sz val="11"/>
        <color theme="1"/>
        <name val="Calibri"/>
        <scheme val="none"/>
      </font>
    </dxf>
  </rfmt>
  <rfmt sheetId="1" sqref="AV155" start="0" length="0">
    <dxf>
      <font>
        <sz val="11"/>
        <color theme="1"/>
        <name val="Calibri"/>
        <scheme val="none"/>
      </font>
    </dxf>
  </rfmt>
  <rfmt sheetId="1" sqref="AW155" start="0" length="0">
    <dxf>
      <font>
        <sz val="11"/>
        <color theme="1"/>
        <name val="Calibri"/>
        <scheme val="none"/>
      </font>
    </dxf>
  </rfmt>
  <rfmt sheetId="1" sqref="AX155" start="0" length="0">
    <dxf>
      <font>
        <sz val="11"/>
        <color theme="1"/>
        <name val="Calibri"/>
        <scheme val="none"/>
      </font>
    </dxf>
  </rfmt>
  <rfmt sheetId="1" sqref="AY155" start="0" length="0">
    <dxf>
      <font>
        <sz val="11"/>
        <color theme="1"/>
        <name val="Calibri"/>
        <scheme val="none"/>
      </font>
    </dxf>
  </rfmt>
  <rfmt sheetId="1" sqref="A155:XFD155" start="0" length="0">
    <dxf>
      <font>
        <sz val="11"/>
        <color theme="1"/>
        <name val="Calibri"/>
        <scheme val="none"/>
      </font>
    </dxf>
  </rfmt>
  <rfmt sheetId="1" sqref="A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5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5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56" start="0" length="0">
    <dxf>
      <font>
        <sz val="11"/>
        <color theme="1"/>
        <name val="Calibri"/>
        <scheme val="none"/>
      </font>
    </dxf>
  </rfmt>
  <rfmt sheetId="1" sqref="AM156" start="0" length="0">
    <dxf>
      <font>
        <sz val="11"/>
        <color theme="1"/>
        <name val="Calibri"/>
        <scheme val="none"/>
      </font>
      <numFmt numFmtId="1" formatCode="0"/>
    </dxf>
  </rfmt>
  <rfmt sheetId="1" sqref="AN156" start="0" length="0">
    <dxf>
      <font>
        <sz val="11"/>
        <color theme="1"/>
        <name val="Calibri"/>
        <scheme val="none"/>
      </font>
      <numFmt numFmtId="1" formatCode="0"/>
    </dxf>
  </rfmt>
  <rfmt sheetId="1" sqref="AO156" start="0" length="0">
    <dxf>
      <font>
        <sz val="11"/>
        <color theme="1"/>
        <name val="Calibri"/>
        <scheme val="none"/>
      </font>
    </dxf>
  </rfmt>
  <rfmt sheetId="1" sqref="AP156" start="0" length="0">
    <dxf>
      <font>
        <sz val="11"/>
        <color theme="1"/>
        <name val="Calibri"/>
        <scheme val="none"/>
      </font>
    </dxf>
  </rfmt>
  <rfmt sheetId="1" sqref="AQ156" start="0" length="0">
    <dxf>
      <font>
        <sz val="11"/>
        <color theme="1"/>
        <name val="Calibri"/>
        <scheme val="none"/>
      </font>
      <numFmt numFmtId="164" formatCode="_-* #,##0_-;\-* #,##0_-;_-* &quot;-&quot;??_-;_-@_-"/>
    </dxf>
  </rfmt>
  <rfmt sheetId="1" sqref="AR156" start="0" length="0">
    <dxf>
      <font>
        <sz val="11"/>
        <color theme="1"/>
        <name val="Calibri"/>
        <scheme val="none"/>
      </font>
      <numFmt numFmtId="164" formatCode="_-* #,##0_-;\-* #,##0_-;_-* &quot;-&quot;??_-;_-@_-"/>
    </dxf>
  </rfmt>
  <rfmt sheetId="1" sqref="AS156" start="0" length="0">
    <dxf>
      <font>
        <sz val="11"/>
        <color theme="1"/>
        <name val="Calibri"/>
        <scheme val="none"/>
      </font>
      <numFmt numFmtId="164" formatCode="_-* #,##0_-;\-* #,##0_-;_-* &quot;-&quot;??_-;_-@_-"/>
    </dxf>
  </rfmt>
  <rfmt sheetId="1" sqref="AT156" start="0" length="0">
    <dxf>
      <font>
        <sz val="11"/>
        <color theme="1"/>
        <name val="Calibri"/>
        <scheme val="none"/>
      </font>
      <numFmt numFmtId="164" formatCode="_-* #,##0_-;\-* #,##0_-;_-* &quot;-&quot;??_-;_-@_-"/>
    </dxf>
  </rfmt>
  <rfmt sheetId="1" sqref="AU156" start="0" length="0">
    <dxf>
      <font>
        <sz val="11"/>
        <color theme="1"/>
        <name val="Calibri"/>
        <scheme val="none"/>
      </font>
    </dxf>
  </rfmt>
  <rfmt sheetId="1" sqref="AV156" start="0" length="0">
    <dxf>
      <font>
        <sz val="11"/>
        <color theme="1"/>
        <name val="Calibri"/>
        <scheme val="none"/>
      </font>
    </dxf>
  </rfmt>
  <rfmt sheetId="1" sqref="AW156" start="0" length="0">
    <dxf>
      <font>
        <sz val="11"/>
        <color theme="1"/>
        <name val="Calibri"/>
        <scheme val="none"/>
      </font>
    </dxf>
  </rfmt>
  <rfmt sheetId="1" sqref="AX156" start="0" length="0">
    <dxf>
      <font>
        <sz val="11"/>
        <color theme="1"/>
        <name val="Calibri"/>
        <scheme val="none"/>
      </font>
    </dxf>
  </rfmt>
  <rfmt sheetId="1" sqref="AY156" start="0" length="0">
    <dxf>
      <font>
        <sz val="11"/>
        <color theme="1"/>
        <name val="Calibri"/>
        <scheme val="none"/>
      </font>
    </dxf>
  </rfmt>
  <rfmt sheetId="1" sqref="A156:XFD156" start="0" length="0">
    <dxf>
      <font>
        <sz val="11"/>
        <color theme="1"/>
        <name val="Calibri"/>
        <scheme val="none"/>
      </font>
    </dxf>
  </rfmt>
  <rfmt sheetId="1" sqref="A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5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5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57" start="0" length="0">
    <dxf>
      <font>
        <sz val="11"/>
        <color theme="1"/>
        <name val="Calibri"/>
        <scheme val="none"/>
      </font>
    </dxf>
  </rfmt>
  <rfmt sheetId="1" sqref="AM157" start="0" length="0">
    <dxf>
      <font>
        <sz val="11"/>
        <color theme="1"/>
        <name val="Calibri"/>
        <scheme val="none"/>
      </font>
      <numFmt numFmtId="1" formatCode="0"/>
    </dxf>
  </rfmt>
  <rfmt sheetId="1" sqref="AN157" start="0" length="0">
    <dxf>
      <font>
        <sz val="11"/>
        <color theme="1"/>
        <name val="Calibri"/>
        <scheme val="none"/>
      </font>
      <numFmt numFmtId="1" formatCode="0"/>
    </dxf>
  </rfmt>
  <rfmt sheetId="1" sqref="AO157" start="0" length="0">
    <dxf>
      <font>
        <sz val="11"/>
        <color theme="1"/>
        <name val="Calibri"/>
        <scheme val="none"/>
      </font>
    </dxf>
  </rfmt>
  <rfmt sheetId="1" sqref="AP157" start="0" length="0">
    <dxf>
      <font>
        <sz val="11"/>
        <color theme="1"/>
        <name val="Calibri"/>
        <scheme val="none"/>
      </font>
    </dxf>
  </rfmt>
  <rfmt sheetId="1" sqref="AQ157" start="0" length="0">
    <dxf>
      <font>
        <sz val="11"/>
        <color theme="1"/>
        <name val="Calibri"/>
        <scheme val="none"/>
      </font>
      <numFmt numFmtId="164" formatCode="_-* #,##0_-;\-* #,##0_-;_-* &quot;-&quot;??_-;_-@_-"/>
    </dxf>
  </rfmt>
  <rfmt sheetId="1" sqref="AR157" start="0" length="0">
    <dxf>
      <font>
        <sz val="11"/>
        <color theme="1"/>
        <name val="Calibri"/>
        <scheme val="none"/>
      </font>
      <numFmt numFmtId="164" formatCode="_-* #,##0_-;\-* #,##0_-;_-* &quot;-&quot;??_-;_-@_-"/>
    </dxf>
  </rfmt>
  <rfmt sheetId="1" sqref="AS157" start="0" length="0">
    <dxf>
      <font>
        <sz val="11"/>
        <color theme="1"/>
        <name val="Calibri"/>
        <scheme val="none"/>
      </font>
      <numFmt numFmtId="164" formatCode="_-* #,##0_-;\-* #,##0_-;_-* &quot;-&quot;??_-;_-@_-"/>
    </dxf>
  </rfmt>
  <rfmt sheetId="1" sqref="AT157" start="0" length="0">
    <dxf>
      <font>
        <sz val="11"/>
        <color theme="1"/>
        <name val="Calibri"/>
        <scheme val="none"/>
      </font>
      <numFmt numFmtId="164" formatCode="_-* #,##0_-;\-* #,##0_-;_-* &quot;-&quot;??_-;_-@_-"/>
    </dxf>
  </rfmt>
  <rfmt sheetId="1" sqref="AU157" start="0" length="0">
    <dxf>
      <font>
        <sz val="11"/>
        <color theme="1"/>
        <name val="Calibri"/>
        <scheme val="none"/>
      </font>
    </dxf>
  </rfmt>
  <rfmt sheetId="1" sqref="AV157" start="0" length="0">
    <dxf>
      <font>
        <sz val="11"/>
        <color theme="1"/>
        <name val="Calibri"/>
        <scheme val="none"/>
      </font>
    </dxf>
  </rfmt>
  <rfmt sheetId="1" sqref="AW157" start="0" length="0">
    <dxf>
      <font>
        <sz val="11"/>
        <color theme="1"/>
        <name val="Calibri"/>
        <scheme val="none"/>
      </font>
    </dxf>
  </rfmt>
  <rfmt sheetId="1" sqref="AX157" start="0" length="0">
    <dxf>
      <font>
        <sz val="11"/>
        <color theme="1"/>
        <name val="Calibri"/>
        <scheme val="none"/>
      </font>
    </dxf>
  </rfmt>
  <rfmt sheetId="1" sqref="AY157" start="0" length="0">
    <dxf>
      <font>
        <sz val="11"/>
        <color theme="1"/>
        <name val="Calibri"/>
        <scheme val="none"/>
      </font>
    </dxf>
  </rfmt>
  <rfmt sheetId="1" sqref="A157:XFD157" start="0" length="0">
    <dxf>
      <font>
        <sz val="11"/>
        <color theme="1"/>
        <name val="Calibri"/>
        <scheme val="none"/>
      </font>
    </dxf>
  </rfmt>
  <rfmt sheetId="1" sqref="A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5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5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58" start="0" length="0">
    <dxf>
      <font>
        <sz val="11"/>
        <color theme="1"/>
        <name val="Calibri"/>
        <scheme val="none"/>
      </font>
    </dxf>
  </rfmt>
  <rfmt sheetId="1" sqref="AM158" start="0" length="0">
    <dxf>
      <font>
        <sz val="11"/>
        <color theme="1"/>
        <name val="Calibri"/>
        <scheme val="none"/>
      </font>
      <numFmt numFmtId="1" formatCode="0"/>
    </dxf>
  </rfmt>
  <rfmt sheetId="1" sqref="AN158" start="0" length="0">
    <dxf>
      <font>
        <sz val="11"/>
        <color theme="1"/>
        <name val="Calibri"/>
        <scheme val="none"/>
      </font>
      <numFmt numFmtId="1" formatCode="0"/>
    </dxf>
  </rfmt>
  <rfmt sheetId="1" sqref="AO158" start="0" length="0">
    <dxf>
      <font>
        <sz val="11"/>
        <color theme="1"/>
        <name val="Calibri"/>
        <scheme val="none"/>
      </font>
    </dxf>
  </rfmt>
  <rfmt sheetId="1" sqref="AP158" start="0" length="0">
    <dxf>
      <font>
        <sz val="11"/>
        <color theme="1"/>
        <name val="Calibri"/>
        <scheme val="none"/>
      </font>
    </dxf>
  </rfmt>
  <rfmt sheetId="1" sqref="AQ158" start="0" length="0">
    <dxf>
      <font>
        <sz val="11"/>
        <color theme="1"/>
        <name val="Calibri"/>
        <scheme val="none"/>
      </font>
      <numFmt numFmtId="164" formatCode="_-* #,##0_-;\-* #,##0_-;_-* &quot;-&quot;??_-;_-@_-"/>
    </dxf>
  </rfmt>
  <rfmt sheetId="1" sqref="AR158" start="0" length="0">
    <dxf>
      <font>
        <sz val="11"/>
        <color theme="1"/>
        <name val="Calibri"/>
        <scheme val="none"/>
      </font>
      <numFmt numFmtId="164" formatCode="_-* #,##0_-;\-* #,##0_-;_-* &quot;-&quot;??_-;_-@_-"/>
    </dxf>
  </rfmt>
  <rfmt sheetId="1" sqref="AS158" start="0" length="0">
    <dxf>
      <font>
        <sz val="11"/>
        <color theme="1"/>
        <name val="Calibri"/>
        <scheme val="none"/>
      </font>
      <numFmt numFmtId="164" formatCode="_-* #,##0_-;\-* #,##0_-;_-* &quot;-&quot;??_-;_-@_-"/>
    </dxf>
  </rfmt>
  <rfmt sheetId="1" sqref="AT158" start="0" length="0">
    <dxf>
      <font>
        <sz val="11"/>
        <color theme="1"/>
        <name val="Calibri"/>
        <scheme val="none"/>
      </font>
      <numFmt numFmtId="164" formatCode="_-* #,##0_-;\-* #,##0_-;_-* &quot;-&quot;??_-;_-@_-"/>
    </dxf>
  </rfmt>
  <rfmt sheetId="1" sqref="AU158" start="0" length="0">
    <dxf>
      <font>
        <sz val="11"/>
        <color theme="1"/>
        <name val="Calibri"/>
        <scheme val="none"/>
      </font>
    </dxf>
  </rfmt>
  <rfmt sheetId="1" sqref="AV158" start="0" length="0">
    <dxf>
      <font>
        <sz val="11"/>
        <color theme="1"/>
        <name val="Calibri"/>
        <scheme val="none"/>
      </font>
    </dxf>
  </rfmt>
  <rfmt sheetId="1" sqref="AW158" start="0" length="0">
    <dxf>
      <font>
        <sz val="11"/>
        <color theme="1"/>
        <name val="Calibri"/>
        <scheme val="none"/>
      </font>
    </dxf>
  </rfmt>
  <rfmt sheetId="1" sqref="AX158" start="0" length="0">
    <dxf>
      <font>
        <sz val="11"/>
        <color theme="1"/>
        <name val="Calibri"/>
        <scheme val="none"/>
      </font>
    </dxf>
  </rfmt>
  <rfmt sheetId="1" sqref="AY158" start="0" length="0">
    <dxf>
      <font>
        <sz val="11"/>
        <color theme="1"/>
        <name val="Calibri"/>
        <scheme val="none"/>
      </font>
    </dxf>
  </rfmt>
  <rfmt sheetId="1" sqref="A158:XFD158" start="0" length="0">
    <dxf>
      <font>
        <sz val="11"/>
        <color theme="1"/>
        <name val="Calibri"/>
        <scheme val="none"/>
      </font>
    </dxf>
  </rfmt>
  <rfmt sheetId="1" sqref="A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5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5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59" start="0" length="0">
    <dxf>
      <font>
        <sz val="11"/>
        <color theme="1"/>
        <name val="Calibri"/>
        <scheme val="none"/>
      </font>
    </dxf>
  </rfmt>
  <rfmt sheetId="1" sqref="AM159" start="0" length="0">
    <dxf>
      <font>
        <sz val="11"/>
        <color theme="1"/>
        <name val="Calibri"/>
        <scheme val="none"/>
      </font>
      <numFmt numFmtId="1" formatCode="0"/>
    </dxf>
  </rfmt>
  <rfmt sheetId="1" sqref="AN159" start="0" length="0">
    <dxf>
      <font>
        <sz val="11"/>
        <color theme="1"/>
        <name val="Calibri"/>
        <scheme val="none"/>
      </font>
      <numFmt numFmtId="1" formatCode="0"/>
    </dxf>
  </rfmt>
  <rfmt sheetId="1" sqref="AO159" start="0" length="0">
    <dxf>
      <font>
        <sz val="11"/>
        <color theme="1"/>
        <name val="Calibri"/>
        <scheme val="none"/>
      </font>
    </dxf>
  </rfmt>
  <rfmt sheetId="1" sqref="AP159" start="0" length="0">
    <dxf>
      <font>
        <sz val="11"/>
        <color theme="1"/>
        <name val="Calibri"/>
        <scheme val="none"/>
      </font>
    </dxf>
  </rfmt>
  <rfmt sheetId="1" sqref="AQ159" start="0" length="0">
    <dxf>
      <font>
        <sz val="11"/>
        <color theme="1"/>
        <name val="Calibri"/>
        <scheme val="none"/>
      </font>
      <numFmt numFmtId="164" formatCode="_-* #,##0_-;\-* #,##0_-;_-* &quot;-&quot;??_-;_-@_-"/>
    </dxf>
  </rfmt>
  <rfmt sheetId="1" sqref="AR159" start="0" length="0">
    <dxf>
      <font>
        <sz val="11"/>
        <color theme="1"/>
        <name val="Calibri"/>
        <scheme val="none"/>
      </font>
      <numFmt numFmtId="164" formatCode="_-* #,##0_-;\-* #,##0_-;_-* &quot;-&quot;??_-;_-@_-"/>
    </dxf>
  </rfmt>
  <rfmt sheetId="1" sqref="AS159" start="0" length="0">
    <dxf>
      <font>
        <sz val="11"/>
        <color theme="1"/>
        <name val="Calibri"/>
        <scheme val="none"/>
      </font>
      <numFmt numFmtId="164" formatCode="_-* #,##0_-;\-* #,##0_-;_-* &quot;-&quot;??_-;_-@_-"/>
    </dxf>
  </rfmt>
  <rfmt sheetId="1" sqref="AT159" start="0" length="0">
    <dxf>
      <font>
        <sz val="11"/>
        <color theme="1"/>
        <name val="Calibri"/>
        <scheme val="none"/>
      </font>
      <numFmt numFmtId="164" formatCode="_-* #,##0_-;\-* #,##0_-;_-* &quot;-&quot;??_-;_-@_-"/>
    </dxf>
  </rfmt>
  <rfmt sheetId="1" sqref="AU159" start="0" length="0">
    <dxf>
      <font>
        <sz val="11"/>
        <color theme="1"/>
        <name val="Calibri"/>
        <scheme val="none"/>
      </font>
    </dxf>
  </rfmt>
  <rfmt sheetId="1" sqref="AV159" start="0" length="0">
    <dxf>
      <font>
        <sz val="11"/>
        <color theme="1"/>
        <name val="Calibri"/>
        <scheme val="none"/>
      </font>
    </dxf>
  </rfmt>
  <rfmt sheetId="1" sqref="AW159" start="0" length="0">
    <dxf>
      <font>
        <sz val="11"/>
        <color theme="1"/>
        <name val="Calibri"/>
        <scheme val="none"/>
      </font>
    </dxf>
  </rfmt>
  <rfmt sheetId="1" sqref="AX159" start="0" length="0">
    <dxf>
      <font>
        <sz val="11"/>
        <color theme="1"/>
        <name val="Calibri"/>
        <scheme val="none"/>
      </font>
    </dxf>
  </rfmt>
  <rfmt sheetId="1" sqref="AY159" start="0" length="0">
    <dxf>
      <font>
        <sz val="11"/>
        <color theme="1"/>
        <name val="Calibri"/>
        <scheme val="none"/>
      </font>
    </dxf>
  </rfmt>
  <rfmt sheetId="1" sqref="A159:XFD159" start="0" length="0">
    <dxf>
      <font>
        <sz val="11"/>
        <color theme="1"/>
        <name val="Calibri"/>
        <scheme val="none"/>
      </font>
    </dxf>
  </rfmt>
  <rfmt sheetId="1" sqref="A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6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6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60" start="0" length="0">
    <dxf>
      <font>
        <sz val="11"/>
        <color theme="1"/>
        <name val="Calibri"/>
        <scheme val="none"/>
      </font>
    </dxf>
  </rfmt>
  <rfmt sheetId="1" sqref="AM160" start="0" length="0">
    <dxf>
      <font>
        <sz val="11"/>
        <color theme="1"/>
        <name val="Calibri"/>
        <scheme val="none"/>
      </font>
      <numFmt numFmtId="1" formatCode="0"/>
    </dxf>
  </rfmt>
  <rfmt sheetId="1" sqref="AN160" start="0" length="0">
    <dxf>
      <font>
        <sz val="11"/>
        <color theme="1"/>
        <name val="Calibri"/>
        <scheme val="none"/>
      </font>
      <numFmt numFmtId="1" formatCode="0"/>
    </dxf>
  </rfmt>
  <rfmt sheetId="1" sqref="AO160" start="0" length="0">
    <dxf>
      <font>
        <sz val="11"/>
        <color theme="1"/>
        <name val="Calibri"/>
        <scheme val="none"/>
      </font>
    </dxf>
  </rfmt>
  <rfmt sheetId="1" sqref="AP160" start="0" length="0">
    <dxf>
      <font>
        <sz val="11"/>
        <color theme="1"/>
        <name val="Calibri"/>
        <scheme val="none"/>
      </font>
    </dxf>
  </rfmt>
  <rfmt sheetId="1" sqref="AQ160" start="0" length="0">
    <dxf>
      <font>
        <sz val="11"/>
        <color theme="1"/>
        <name val="Calibri"/>
        <scheme val="none"/>
      </font>
      <numFmt numFmtId="164" formatCode="_-* #,##0_-;\-* #,##0_-;_-* &quot;-&quot;??_-;_-@_-"/>
    </dxf>
  </rfmt>
  <rfmt sheetId="1" sqref="AR160" start="0" length="0">
    <dxf>
      <font>
        <sz val="11"/>
        <color theme="1"/>
        <name val="Calibri"/>
        <scheme val="none"/>
      </font>
      <numFmt numFmtId="164" formatCode="_-* #,##0_-;\-* #,##0_-;_-* &quot;-&quot;??_-;_-@_-"/>
    </dxf>
  </rfmt>
  <rfmt sheetId="1" sqref="AS160" start="0" length="0">
    <dxf>
      <font>
        <sz val="11"/>
        <color theme="1"/>
        <name val="Calibri"/>
        <scheme val="none"/>
      </font>
      <numFmt numFmtId="164" formatCode="_-* #,##0_-;\-* #,##0_-;_-* &quot;-&quot;??_-;_-@_-"/>
    </dxf>
  </rfmt>
  <rfmt sheetId="1" sqref="AT160" start="0" length="0">
    <dxf>
      <font>
        <sz val="11"/>
        <color theme="1"/>
        <name val="Calibri"/>
        <scheme val="none"/>
      </font>
      <numFmt numFmtId="164" formatCode="_-* #,##0_-;\-* #,##0_-;_-* &quot;-&quot;??_-;_-@_-"/>
    </dxf>
  </rfmt>
  <rfmt sheetId="1" sqref="AU160" start="0" length="0">
    <dxf>
      <font>
        <sz val="11"/>
        <color theme="1"/>
        <name val="Calibri"/>
        <scheme val="none"/>
      </font>
    </dxf>
  </rfmt>
  <rfmt sheetId="1" sqref="AV160" start="0" length="0">
    <dxf>
      <font>
        <sz val="11"/>
        <color theme="1"/>
        <name val="Calibri"/>
        <scheme val="none"/>
      </font>
    </dxf>
  </rfmt>
  <rfmt sheetId="1" sqref="AW160" start="0" length="0">
    <dxf>
      <font>
        <sz val="11"/>
        <color theme="1"/>
        <name val="Calibri"/>
        <scheme val="none"/>
      </font>
    </dxf>
  </rfmt>
  <rfmt sheetId="1" sqref="AX160" start="0" length="0">
    <dxf>
      <font>
        <sz val="11"/>
        <color theme="1"/>
        <name val="Calibri"/>
        <scheme val="none"/>
      </font>
    </dxf>
  </rfmt>
  <rfmt sheetId="1" sqref="AY160" start="0" length="0">
    <dxf>
      <font>
        <sz val="11"/>
        <color theme="1"/>
        <name val="Calibri"/>
        <scheme val="none"/>
      </font>
    </dxf>
  </rfmt>
  <rfmt sheetId="1" sqref="A160:XFD160" start="0" length="0">
    <dxf>
      <font>
        <sz val="11"/>
        <color theme="1"/>
        <name val="Calibri"/>
        <scheme val="none"/>
      </font>
    </dxf>
  </rfmt>
  <rfmt sheetId="1" sqref="A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6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6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61" start="0" length="0">
    <dxf>
      <font>
        <sz val="11"/>
        <color theme="1"/>
        <name val="Calibri"/>
        <scheme val="none"/>
      </font>
    </dxf>
  </rfmt>
  <rfmt sheetId="1" sqref="AM161" start="0" length="0">
    <dxf>
      <font>
        <sz val="11"/>
        <color theme="1"/>
        <name val="Calibri"/>
        <scheme val="none"/>
      </font>
      <numFmt numFmtId="1" formatCode="0"/>
    </dxf>
  </rfmt>
  <rfmt sheetId="1" sqref="AN161" start="0" length="0">
    <dxf>
      <font>
        <sz val="11"/>
        <color theme="1"/>
        <name val="Calibri"/>
        <scheme val="none"/>
      </font>
      <numFmt numFmtId="1" formatCode="0"/>
    </dxf>
  </rfmt>
  <rfmt sheetId="1" sqref="AO161" start="0" length="0">
    <dxf>
      <font>
        <sz val="11"/>
        <color theme="1"/>
        <name val="Calibri"/>
        <scheme val="none"/>
      </font>
    </dxf>
  </rfmt>
  <rfmt sheetId="1" sqref="AP161" start="0" length="0">
    <dxf>
      <font>
        <sz val="11"/>
        <color theme="1"/>
        <name val="Calibri"/>
        <scheme val="none"/>
      </font>
    </dxf>
  </rfmt>
  <rfmt sheetId="1" sqref="AQ161" start="0" length="0">
    <dxf>
      <font>
        <sz val="11"/>
        <color theme="1"/>
        <name val="Calibri"/>
        <scheme val="none"/>
      </font>
      <numFmt numFmtId="164" formatCode="_-* #,##0_-;\-* #,##0_-;_-* &quot;-&quot;??_-;_-@_-"/>
    </dxf>
  </rfmt>
  <rfmt sheetId="1" sqref="AR161" start="0" length="0">
    <dxf>
      <font>
        <sz val="11"/>
        <color theme="1"/>
        <name val="Calibri"/>
        <scheme val="none"/>
      </font>
      <numFmt numFmtId="164" formatCode="_-* #,##0_-;\-* #,##0_-;_-* &quot;-&quot;??_-;_-@_-"/>
    </dxf>
  </rfmt>
  <rfmt sheetId="1" sqref="AS161" start="0" length="0">
    <dxf>
      <font>
        <sz val="11"/>
        <color theme="1"/>
        <name val="Calibri"/>
        <scheme val="none"/>
      </font>
      <numFmt numFmtId="164" formatCode="_-* #,##0_-;\-* #,##0_-;_-* &quot;-&quot;??_-;_-@_-"/>
    </dxf>
  </rfmt>
  <rfmt sheetId="1" sqref="AT161" start="0" length="0">
    <dxf>
      <font>
        <sz val="11"/>
        <color theme="1"/>
        <name val="Calibri"/>
        <scheme val="none"/>
      </font>
      <numFmt numFmtId="164" formatCode="_-* #,##0_-;\-* #,##0_-;_-* &quot;-&quot;??_-;_-@_-"/>
    </dxf>
  </rfmt>
  <rfmt sheetId="1" sqref="AU161" start="0" length="0">
    <dxf>
      <font>
        <sz val="11"/>
        <color theme="1"/>
        <name val="Calibri"/>
        <scheme val="none"/>
      </font>
    </dxf>
  </rfmt>
  <rfmt sheetId="1" sqref="AV161" start="0" length="0">
    <dxf>
      <font>
        <sz val="11"/>
        <color theme="1"/>
        <name val="Calibri"/>
        <scheme val="none"/>
      </font>
    </dxf>
  </rfmt>
  <rfmt sheetId="1" sqref="AW161" start="0" length="0">
    <dxf>
      <font>
        <sz val="11"/>
        <color theme="1"/>
        <name val="Calibri"/>
        <scheme val="none"/>
      </font>
    </dxf>
  </rfmt>
  <rfmt sheetId="1" sqref="AX161" start="0" length="0">
    <dxf>
      <font>
        <sz val="11"/>
        <color theme="1"/>
        <name val="Calibri"/>
        <scheme val="none"/>
      </font>
    </dxf>
  </rfmt>
  <rfmt sheetId="1" sqref="AY161" start="0" length="0">
    <dxf>
      <font>
        <sz val="11"/>
        <color theme="1"/>
        <name val="Calibri"/>
        <scheme val="none"/>
      </font>
    </dxf>
  </rfmt>
  <rfmt sheetId="1" sqref="A161:XFD161" start="0" length="0">
    <dxf>
      <font>
        <sz val="11"/>
        <color theme="1"/>
        <name val="Calibri"/>
        <scheme val="none"/>
      </font>
    </dxf>
  </rfmt>
  <rfmt sheetId="1" sqref="A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6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6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62" start="0" length="0">
    <dxf>
      <font>
        <sz val="11"/>
        <color theme="1"/>
        <name val="Calibri"/>
        <scheme val="none"/>
      </font>
    </dxf>
  </rfmt>
  <rfmt sheetId="1" sqref="AM162" start="0" length="0">
    <dxf>
      <font>
        <sz val="11"/>
        <color theme="1"/>
        <name val="Calibri"/>
        <scheme val="none"/>
      </font>
      <numFmt numFmtId="1" formatCode="0"/>
    </dxf>
  </rfmt>
  <rfmt sheetId="1" sqref="AN162" start="0" length="0">
    <dxf>
      <font>
        <sz val="11"/>
        <color theme="1"/>
        <name val="Calibri"/>
        <scheme val="none"/>
      </font>
      <numFmt numFmtId="1" formatCode="0"/>
    </dxf>
  </rfmt>
  <rfmt sheetId="1" sqref="AO162" start="0" length="0">
    <dxf>
      <font>
        <sz val="11"/>
        <color theme="1"/>
        <name val="Calibri"/>
        <scheme val="none"/>
      </font>
    </dxf>
  </rfmt>
  <rfmt sheetId="1" sqref="AP162" start="0" length="0">
    <dxf>
      <font>
        <sz val="11"/>
        <color theme="1"/>
        <name val="Calibri"/>
        <scheme val="none"/>
      </font>
    </dxf>
  </rfmt>
  <rfmt sheetId="1" sqref="AQ162" start="0" length="0">
    <dxf>
      <font>
        <sz val="11"/>
        <color theme="1"/>
        <name val="Calibri"/>
        <scheme val="none"/>
      </font>
      <numFmt numFmtId="164" formatCode="_-* #,##0_-;\-* #,##0_-;_-* &quot;-&quot;??_-;_-@_-"/>
    </dxf>
  </rfmt>
  <rfmt sheetId="1" sqref="AR162" start="0" length="0">
    <dxf>
      <font>
        <sz val="11"/>
        <color theme="1"/>
        <name val="Calibri"/>
        <scheme val="none"/>
      </font>
      <numFmt numFmtId="164" formatCode="_-* #,##0_-;\-* #,##0_-;_-* &quot;-&quot;??_-;_-@_-"/>
    </dxf>
  </rfmt>
  <rfmt sheetId="1" sqref="AS162" start="0" length="0">
    <dxf>
      <font>
        <sz val="11"/>
        <color theme="1"/>
        <name val="Calibri"/>
        <scheme val="none"/>
      </font>
      <numFmt numFmtId="164" formatCode="_-* #,##0_-;\-* #,##0_-;_-* &quot;-&quot;??_-;_-@_-"/>
    </dxf>
  </rfmt>
  <rfmt sheetId="1" sqref="AT162" start="0" length="0">
    <dxf>
      <font>
        <sz val="11"/>
        <color theme="1"/>
        <name val="Calibri"/>
        <scheme val="none"/>
      </font>
      <numFmt numFmtId="164" formatCode="_-* #,##0_-;\-* #,##0_-;_-* &quot;-&quot;??_-;_-@_-"/>
    </dxf>
  </rfmt>
  <rfmt sheetId="1" sqref="AU162" start="0" length="0">
    <dxf>
      <font>
        <sz val="11"/>
        <color theme="1"/>
        <name val="Calibri"/>
        <scheme val="none"/>
      </font>
    </dxf>
  </rfmt>
  <rfmt sheetId="1" sqref="AV162" start="0" length="0">
    <dxf>
      <font>
        <sz val="11"/>
        <color theme="1"/>
        <name val="Calibri"/>
        <scheme val="none"/>
      </font>
    </dxf>
  </rfmt>
  <rfmt sheetId="1" sqref="AW162" start="0" length="0">
    <dxf>
      <font>
        <sz val="11"/>
        <color theme="1"/>
        <name val="Calibri"/>
        <scheme val="none"/>
      </font>
    </dxf>
  </rfmt>
  <rfmt sheetId="1" sqref="AX162" start="0" length="0">
    <dxf>
      <font>
        <sz val="11"/>
        <color theme="1"/>
        <name val="Calibri"/>
        <scheme val="none"/>
      </font>
    </dxf>
  </rfmt>
  <rfmt sheetId="1" sqref="AY162" start="0" length="0">
    <dxf>
      <font>
        <sz val="11"/>
        <color theme="1"/>
        <name val="Calibri"/>
        <scheme val="none"/>
      </font>
    </dxf>
  </rfmt>
  <rfmt sheetId="1" sqref="A162:XFD162" start="0" length="0">
    <dxf>
      <font>
        <sz val="11"/>
        <color theme="1"/>
        <name val="Calibri"/>
        <scheme val="none"/>
      </font>
    </dxf>
  </rfmt>
  <rfmt sheetId="1" sqref="A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6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6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63" start="0" length="0">
    <dxf>
      <font>
        <sz val="11"/>
        <color theme="1"/>
        <name val="Calibri"/>
        <scheme val="none"/>
      </font>
    </dxf>
  </rfmt>
  <rfmt sheetId="1" sqref="AM163" start="0" length="0">
    <dxf>
      <font>
        <sz val="11"/>
        <color theme="1"/>
        <name val="Calibri"/>
        <scheme val="none"/>
      </font>
      <numFmt numFmtId="1" formatCode="0"/>
    </dxf>
  </rfmt>
  <rfmt sheetId="1" sqref="AN163" start="0" length="0">
    <dxf>
      <font>
        <sz val="11"/>
        <color theme="1"/>
        <name val="Calibri"/>
        <scheme val="none"/>
      </font>
      <numFmt numFmtId="1" formatCode="0"/>
    </dxf>
  </rfmt>
  <rfmt sheetId="1" sqref="AO163" start="0" length="0">
    <dxf>
      <font>
        <sz val="11"/>
        <color theme="1"/>
        <name val="Calibri"/>
        <scheme val="none"/>
      </font>
    </dxf>
  </rfmt>
  <rfmt sheetId="1" sqref="AP163" start="0" length="0">
    <dxf>
      <font>
        <sz val="11"/>
        <color theme="1"/>
        <name val="Calibri"/>
        <scheme val="none"/>
      </font>
    </dxf>
  </rfmt>
  <rfmt sheetId="1" sqref="AQ163" start="0" length="0">
    <dxf>
      <font>
        <sz val="11"/>
        <color theme="1"/>
        <name val="Calibri"/>
        <scheme val="none"/>
      </font>
      <numFmt numFmtId="164" formatCode="_-* #,##0_-;\-* #,##0_-;_-* &quot;-&quot;??_-;_-@_-"/>
    </dxf>
  </rfmt>
  <rfmt sheetId="1" sqref="AR163" start="0" length="0">
    <dxf>
      <font>
        <sz val="11"/>
        <color theme="1"/>
        <name val="Calibri"/>
        <scheme val="none"/>
      </font>
      <numFmt numFmtId="164" formatCode="_-* #,##0_-;\-* #,##0_-;_-* &quot;-&quot;??_-;_-@_-"/>
    </dxf>
  </rfmt>
  <rfmt sheetId="1" sqref="AS163" start="0" length="0">
    <dxf>
      <font>
        <sz val="11"/>
        <color theme="1"/>
        <name val="Calibri"/>
        <scheme val="none"/>
      </font>
      <numFmt numFmtId="164" formatCode="_-* #,##0_-;\-* #,##0_-;_-* &quot;-&quot;??_-;_-@_-"/>
    </dxf>
  </rfmt>
  <rfmt sheetId="1" sqref="AT163" start="0" length="0">
    <dxf>
      <font>
        <sz val="11"/>
        <color theme="1"/>
        <name val="Calibri"/>
        <scheme val="none"/>
      </font>
      <numFmt numFmtId="164" formatCode="_-* #,##0_-;\-* #,##0_-;_-* &quot;-&quot;??_-;_-@_-"/>
    </dxf>
  </rfmt>
  <rfmt sheetId="1" sqref="AU163" start="0" length="0">
    <dxf>
      <font>
        <sz val="11"/>
        <color theme="1"/>
        <name val="Calibri"/>
        <scheme val="none"/>
      </font>
    </dxf>
  </rfmt>
  <rfmt sheetId="1" sqref="AV163" start="0" length="0">
    <dxf>
      <font>
        <sz val="11"/>
        <color theme="1"/>
        <name val="Calibri"/>
        <scheme val="none"/>
      </font>
    </dxf>
  </rfmt>
  <rfmt sheetId="1" sqref="AW163" start="0" length="0">
    <dxf>
      <font>
        <sz val="11"/>
        <color theme="1"/>
        <name val="Calibri"/>
        <scheme val="none"/>
      </font>
    </dxf>
  </rfmt>
  <rfmt sheetId="1" sqref="AX163" start="0" length="0">
    <dxf>
      <font>
        <sz val="11"/>
        <color theme="1"/>
        <name val="Calibri"/>
        <scheme val="none"/>
      </font>
    </dxf>
  </rfmt>
  <rfmt sheetId="1" sqref="AY163" start="0" length="0">
    <dxf>
      <font>
        <sz val="11"/>
        <color theme="1"/>
        <name val="Calibri"/>
        <scheme val="none"/>
      </font>
    </dxf>
  </rfmt>
  <rfmt sheetId="1" sqref="A163:XFD163" start="0" length="0">
    <dxf>
      <font>
        <sz val="11"/>
        <color theme="1"/>
        <name val="Calibri"/>
        <scheme val="none"/>
      </font>
    </dxf>
  </rfmt>
  <rfmt sheetId="1" sqref="A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6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6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64" start="0" length="0">
    <dxf>
      <font>
        <sz val="11"/>
        <color theme="1"/>
        <name val="Calibri"/>
        <scheme val="none"/>
      </font>
    </dxf>
  </rfmt>
  <rfmt sheetId="1" sqref="AM164" start="0" length="0">
    <dxf>
      <font>
        <sz val="11"/>
        <color theme="1"/>
        <name val="Calibri"/>
        <scheme val="none"/>
      </font>
      <numFmt numFmtId="1" formatCode="0"/>
    </dxf>
  </rfmt>
  <rfmt sheetId="1" sqref="AN164" start="0" length="0">
    <dxf>
      <font>
        <sz val="11"/>
        <color theme="1"/>
        <name val="Calibri"/>
        <scheme val="none"/>
      </font>
      <numFmt numFmtId="1" formatCode="0"/>
    </dxf>
  </rfmt>
  <rfmt sheetId="1" sqref="AO164" start="0" length="0">
    <dxf>
      <font>
        <sz val="11"/>
        <color theme="1"/>
        <name val="Calibri"/>
        <scheme val="none"/>
      </font>
    </dxf>
  </rfmt>
  <rfmt sheetId="1" sqref="AP164" start="0" length="0">
    <dxf>
      <font>
        <sz val="11"/>
        <color theme="1"/>
        <name val="Calibri"/>
        <scheme val="none"/>
      </font>
    </dxf>
  </rfmt>
  <rfmt sheetId="1" sqref="AQ164" start="0" length="0">
    <dxf>
      <font>
        <sz val="11"/>
        <color theme="1"/>
        <name val="Calibri"/>
        <scheme val="none"/>
      </font>
      <numFmt numFmtId="164" formatCode="_-* #,##0_-;\-* #,##0_-;_-* &quot;-&quot;??_-;_-@_-"/>
    </dxf>
  </rfmt>
  <rfmt sheetId="1" sqref="AR164" start="0" length="0">
    <dxf>
      <font>
        <sz val="11"/>
        <color theme="1"/>
        <name val="Calibri"/>
        <scheme val="none"/>
      </font>
      <numFmt numFmtId="164" formatCode="_-* #,##0_-;\-* #,##0_-;_-* &quot;-&quot;??_-;_-@_-"/>
    </dxf>
  </rfmt>
  <rfmt sheetId="1" sqref="AS164" start="0" length="0">
    <dxf>
      <font>
        <sz val="11"/>
        <color theme="1"/>
        <name val="Calibri"/>
        <scheme val="none"/>
      </font>
      <numFmt numFmtId="164" formatCode="_-* #,##0_-;\-* #,##0_-;_-* &quot;-&quot;??_-;_-@_-"/>
    </dxf>
  </rfmt>
  <rfmt sheetId="1" sqref="AT164" start="0" length="0">
    <dxf>
      <font>
        <sz val="11"/>
        <color theme="1"/>
        <name val="Calibri"/>
        <scheme val="none"/>
      </font>
      <numFmt numFmtId="164" formatCode="_-* #,##0_-;\-* #,##0_-;_-* &quot;-&quot;??_-;_-@_-"/>
    </dxf>
  </rfmt>
  <rfmt sheetId="1" sqref="AU164" start="0" length="0">
    <dxf>
      <font>
        <sz val="11"/>
        <color theme="1"/>
        <name val="Calibri"/>
        <scheme val="none"/>
      </font>
    </dxf>
  </rfmt>
  <rfmt sheetId="1" sqref="AV164" start="0" length="0">
    <dxf>
      <font>
        <sz val="11"/>
        <color theme="1"/>
        <name val="Calibri"/>
        <scheme val="none"/>
      </font>
    </dxf>
  </rfmt>
  <rfmt sheetId="1" sqref="AW164" start="0" length="0">
    <dxf>
      <font>
        <sz val="11"/>
        <color theme="1"/>
        <name val="Calibri"/>
        <scheme val="none"/>
      </font>
    </dxf>
  </rfmt>
  <rfmt sheetId="1" sqref="AX164" start="0" length="0">
    <dxf>
      <font>
        <sz val="11"/>
        <color theme="1"/>
        <name val="Calibri"/>
        <scheme val="none"/>
      </font>
    </dxf>
  </rfmt>
  <rfmt sheetId="1" sqref="AY164" start="0" length="0">
    <dxf>
      <font>
        <sz val="11"/>
        <color theme="1"/>
        <name val="Calibri"/>
        <scheme val="none"/>
      </font>
    </dxf>
  </rfmt>
  <rfmt sheetId="1" sqref="A164:XFD164" start="0" length="0">
    <dxf>
      <font>
        <sz val="11"/>
        <color theme="1"/>
        <name val="Calibri"/>
        <scheme val="none"/>
      </font>
    </dxf>
  </rfmt>
  <rfmt sheetId="1" sqref="A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6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6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65" start="0" length="0">
    <dxf>
      <font>
        <sz val="11"/>
        <color theme="1"/>
        <name val="Calibri"/>
        <scheme val="none"/>
      </font>
    </dxf>
  </rfmt>
  <rfmt sheetId="1" sqref="AM165" start="0" length="0">
    <dxf>
      <font>
        <sz val="11"/>
        <color theme="1"/>
        <name val="Calibri"/>
        <scheme val="none"/>
      </font>
      <numFmt numFmtId="1" formatCode="0"/>
    </dxf>
  </rfmt>
  <rfmt sheetId="1" sqref="AN165" start="0" length="0">
    <dxf>
      <font>
        <sz val="11"/>
        <color theme="1"/>
        <name val="Calibri"/>
        <scheme val="none"/>
      </font>
      <numFmt numFmtId="1" formatCode="0"/>
    </dxf>
  </rfmt>
  <rfmt sheetId="1" sqref="AO165" start="0" length="0">
    <dxf>
      <font>
        <sz val="11"/>
        <color theme="1"/>
        <name val="Calibri"/>
        <scheme val="none"/>
      </font>
    </dxf>
  </rfmt>
  <rfmt sheetId="1" sqref="AP165" start="0" length="0">
    <dxf>
      <font>
        <sz val="11"/>
        <color theme="1"/>
        <name val="Calibri"/>
        <scheme val="none"/>
      </font>
    </dxf>
  </rfmt>
  <rfmt sheetId="1" sqref="AQ165" start="0" length="0">
    <dxf>
      <font>
        <sz val="11"/>
        <color theme="1"/>
        <name val="Calibri"/>
        <scheme val="none"/>
      </font>
      <numFmt numFmtId="164" formatCode="_-* #,##0_-;\-* #,##0_-;_-* &quot;-&quot;??_-;_-@_-"/>
    </dxf>
  </rfmt>
  <rfmt sheetId="1" sqref="AR165" start="0" length="0">
    <dxf>
      <font>
        <sz val="11"/>
        <color theme="1"/>
        <name val="Calibri"/>
        <scheme val="none"/>
      </font>
      <numFmt numFmtId="164" formatCode="_-* #,##0_-;\-* #,##0_-;_-* &quot;-&quot;??_-;_-@_-"/>
    </dxf>
  </rfmt>
  <rfmt sheetId="1" sqref="AS165" start="0" length="0">
    <dxf>
      <font>
        <sz val="11"/>
        <color theme="1"/>
        <name val="Calibri"/>
        <scheme val="none"/>
      </font>
      <numFmt numFmtId="164" formatCode="_-* #,##0_-;\-* #,##0_-;_-* &quot;-&quot;??_-;_-@_-"/>
    </dxf>
  </rfmt>
  <rfmt sheetId="1" sqref="AT165" start="0" length="0">
    <dxf>
      <font>
        <sz val="11"/>
        <color theme="1"/>
        <name val="Calibri"/>
        <scheme val="none"/>
      </font>
      <numFmt numFmtId="164" formatCode="_-* #,##0_-;\-* #,##0_-;_-* &quot;-&quot;??_-;_-@_-"/>
    </dxf>
  </rfmt>
  <rfmt sheetId="1" sqref="AU165" start="0" length="0">
    <dxf>
      <font>
        <sz val="11"/>
        <color theme="1"/>
        <name val="Calibri"/>
        <scheme val="none"/>
      </font>
    </dxf>
  </rfmt>
  <rfmt sheetId="1" sqref="AV165" start="0" length="0">
    <dxf>
      <font>
        <sz val="11"/>
        <color theme="1"/>
        <name val="Calibri"/>
        <scheme val="none"/>
      </font>
    </dxf>
  </rfmt>
  <rfmt sheetId="1" sqref="AW165" start="0" length="0">
    <dxf>
      <font>
        <sz val="11"/>
        <color theme="1"/>
        <name val="Calibri"/>
        <scheme val="none"/>
      </font>
    </dxf>
  </rfmt>
  <rfmt sheetId="1" sqref="AX165" start="0" length="0">
    <dxf>
      <font>
        <sz val="11"/>
        <color theme="1"/>
        <name val="Calibri"/>
        <scheme val="none"/>
      </font>
    </dxf>
  </rfmt>
  <rfmt sheetId="1" sqref="AY165" start="0" length="0">
    <dxf>
      <font>
        <sz val="11"/>
        <color theme="1"/>
        <name val="Calibri"/>
        <scheme val="none"/>
      </font>
    </dxf>
  </rfmt>
  <rfmt sheetId="1" sqref="A165:XFD165" start="0" length="0">
    <dxf>
      <font>
        <sz val="11"/>
        <color theme="1"/>
        <name val="Calibri"/>
        <scheme val="none"/>
      </font>
    </dxf>
  </rfmt>
  <rfmt sheetId="1" sqref="A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6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6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66" start="0" length="0">
    <dxf>
      <font>
        <sz val="11"/>
        <color theme="1"/>
        <name val="Calibri"/>
        <scheme val="none"/>
      </font>
    </dxf>
  </rfmt>
  <rfmt sheetId="1" sqref="AM166" start="0" length="0">
    <dxf>
      <font>
        <sz val="11"/>
        <color theme="1"/>
        <name val="Calibri"/>
        <scheme val="none"/>
      </font>
      <numFmt numFmtId="1" formatCode="0"/>
    </dxf>
  </rfmt>
  <rfmt sheetId="1" sqref="AN166" start="0" length="0">
    <dxf>
      <font>
        <sz val="11"/>
        <color theme="1"/>
        <name val="Calibri"/>
        <scheme val="none"/>
      </font>
      <numFmt numFmtId="1" formatCode="0"/>
    </dxf>
  </rfmt>
  <rfmt sheetId="1" sqref="AO166" start="0" length="0">
    <dxf>
      <font>
        <sz val="11"/>
        <color theme="1"/>
        <name val="Calibri"/>
        <scheme val="none"/>
      </font>
    </dxf>
  </rfmt>
  <rfmt sheetId="1" sqref="AP166" start="0" length="0">
    <dxf>
      <font>
        <sz val="11"/>
        <color theme="1"/>
        <name val="Calibri"/>
        <scheme val="none"/>
      </font>
    </dxf>
  </rfmt>
  <rfmt sheetId="1" sqref="AQ166" start="0" length="0">
    <dxf>
      <font>
        <sz val="11"/>
        <color theme="1"/>
        <name val="Calibri"/>
        <scheme val="none"/>
      </font>
      <numFmt numFmtId="164" formatCode="_-* #,##0_-;\-* #,##0_-;_-* &quot;-&quot;??_-;_-@_-"/>
    </dxf>
  </rfmt>
  <rfmt sheetId="1" sqref="AR166" start="0" length="0">
    <dxf>
      <font>
        <sz val="11"/>
        <color theme="1"/>
        <name val="Calibri"/>
        <scheme val="none"/>
      </font>
      <numFmt numFmtId="164" formatCode="_-* #,##0_-;\-* #,##0_-;_-* &quot;-&quot;??_-;_-@_-"/>
    </dxf>
  </rfmt>
  <rfmt sheetId="1" sqref="AS166" start="0" length="0">
    <dxf>
      <font>
        <sz val="11"/>
        <color theme="1"/>
        <name val="Calibri"/>
        <scheme val="none"/>
      </font>
      <numFmt numFmtId="164" formatCode="_-* #,##0_-;\-* #,##0_-;_-* &quot;-&quot;??_-;_-@_-"/>
    </dxf>
  </rfmt>
  <rfmt sheetId="1" sqref="AT166" start="0" length="0">
    <dxf>
      <font>
        <sz val="11"/>
        <color theme="1"/>
        <name val="Calibri"/>
        <scheme val="none"/>
      </font>
      <numFmt numFmtId="164" formatCode="_-* #,##0_-;\-* #,##0_-;_-* &quot;-&quot;??_-;_-@_-"/>
    </dxf>
  </rfmt>
  <rfmt sheetId="1" sqref="AU166" start="0" length="0">
    <dxf>
      <font>
        <sz val="11"/>
        <color theme="1"/>
        <name val="Calibri"/>
        <scheme val="none"/>
      </font>
    </dxf>
  </rfmt>
  <rfmt sheetId="1" sqref="AV166" start="0" length="0">
    <dxf>
      <font>
        <sz val="11"/>
        <color theme="1"/>
        <name val="Calibri"/>
        <scheme val="none"/>
      </font>
    </dxf>
  </rfmt>
  <rfmt sheetId="1" sqref="AW166" start="0" length="0">
    <dxf>
      <font>
        <sz val="11"/>
        <color theme="1"/>
        <name val="Calibri"/>
        <scheme val="none"/>
      </font>
    </dxf>
  </rfmt>
  <rfmt sheetId="1" sqref="AX166" start="0" length="0">
    <dxf>
      <font>
        <sz val="11"/>
        <color theme="1"/>
        <name val="Calibri"/>
        <scheme val="none"/>
      </font>
    </dxf>
  </rfmt>
  <rfmt sheetId="1" sqref="AY166" start="0" length="0">
    <dxf>
      <font>
        <sz val="11"/>
        <color theme="1"/>
        <name val="Calibri"/>
        <scheme val="none"/>
      </font>
    </dxf>
  </rfmt>
  <rfmt sheetId="1" sqref="A166:XFD166" start="0" length="0">
    <dxf>
      <font>
        <sz val="11"/>
        <color theme="1"/>
        <name val="Calibri"/>
        <scheme val="none"/>
      </font>
    </dxf>
  </rfmt>
  <rfmt sheetId="1" sqref="A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6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6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67" start="0" length="0">
    <dxf>
      <font>
        <sz val="11"/>
        <color theme="1"/>
        <name val="Calibri"/>
        <scheme val="none"/>
      </font>
    </dxf>
  </rfmt>
  <rfmt sheetId="1" sqref="AM167" start="0" length="0">
    <dxf>
      <font>
        <sz val="11"/>
        <color theme="1"/>
        <name val="Calibri"/>
        <scheme val="none"/>
      </font>
      <numFmt numFmtId="1" formatCode="0"/>
    </dxf>
  </rfmt>
  <rfmt sheetId="1" sqref="AN167" start="0" length="0">
    <dxf>
      <font>
        <sz val="11"/>
        <color theme="1"/>
        <name val="Calibri"/>
        <scheme val="none"/>
      </font>
      <numFmt numFmtId="1" formatCode="0"/>
    </dxf>
  </rfmt>
  <rfmt sheetId="1" sqref="AO167" start="0" length="0">
    <dxf>
      <font>
        <sz val="11"/>
        <color theme="1"/>
        <name val="Calibri"/>
        <scheme val="none"/>
      </font>
    </dxf>
  </rfmt>
  <rfmt sheetId="1" sqref="AP167" start="0" length="0">
    <dxf>
      <font>
        <sz val="11"/>
        <color theme="1"/>
        <name val="Calibri"/>
        <scheme val="none"/>
      </font>
    </dxf>
  </rfmt>
  <rfmt sheetId="1" sqref="AQ167" start="0" length="0">
    <dxf>
      <font>
        <sz val="11"/>
        <color theme="1"/>
        <name val="Calibri"/>
        <scheme val="none"/>
      </font>
      <numFmt numFmtId="164" formatCode="_-* #,##0_-;\-* #,##0_-;_-* &quot;-&quot;??_-;_-@_-"/>
    </dxf>
  </rfmt>
  <rfmt sheetId="1" sqref="AR167" start="0" length="0">
    <dxf>
      <font>
        <sz val="11"/>
        <color theme="1"/>
        <name val="Calibri"/>
        <scheme val="none"/>
      </font>
      <numFmt numFmtId="164" formatCode="_-* #,##0_-;\-* #,##0_-;_-* &quot;-&quot;??_-;_-@_-"/>
    </dxf>
  </rfmt>
  <rfmt sheetId="1" sqref="AS167" start="0" length="0">
    <dxf>
      <font>
        <sz val="11"/>
        <color theme="1"/>
        <name val="Calibri"/>
        <scheme val="none"/>
      </font>
      <numFmt numFmtId="164" formatCode="_-* #,##0_-;\-* #,##0_-;_-* &quot;-&quot;??_-;_-@_-"/>
    </dxf>
  </rfmt>
  <rfmt sheetId="1" sqref="AT167" start="0" length="0">
    <dxf>
      <font>
        <sz val="11"/>
        <color theme="1"/>
        <name val="Calibri"/>
        <scheme val="none"/>
      </font>
      <numFmt numFmtId="164" formatCode="_-* #,##0_-;\-* #,##0_-;_-* &quot;-&quot;??_-;_-@_-"/>
    </dxf>
  </rfmt>
  <rfmt sheetId="1" sqref="AU167" start="0" length="0">
    <dxf>
      <font>
        <sz val="11"/>
        <color theme="1"/>
        <name val="Calibri"/>
        <scheme val="none"/>
      </font>
    </dxf>
  </rfmt>
  <rfmt sheetId="1" sqref="AV167" start="0" length="0">
    <dxf>
      <font>
        <sz val="11"/>
        <color theme="1"/>
        <name val="Calibri"/>
        <scheme val="none"/>
      </font>
    </dxf>
  </rfmt>
  <rfmt sheetId="1" sqref="AW167" start="0" length="0">
    <dxf>
      <font>
        <sz val="11"/>
        <color theme="1"/>
        <name val="Calibri"/>
        <scheme val="none"/>
      </font>
    </dxf>
  </rfmt>
  <rfmt sheetId="1" sqref="AX167" start="0" length="0">
    <dxf>
      <font>
        <sz val="11"/>
        <color theme="1"/>
        <name val="Calibri"/>
        <scheme val="none"/>
      </font>
    </dxf>
  </rfmt>
  <rfmt sheetId="1" sqref="AY167" start="0" length="0">
    <dxf>
      <font>
        <sz val="11"/>
        <color theme="1"/>
        <name val="Calibri"/>
        <scheme val="none"/>
      </font>
    </dxf>
  </rfmt>
  <rfmt sheetId="1" sqref="A167:XFD167" start="0" length="0">
    <dxf>
      <font>
        <sz val="11"/>
        <color theme="1"/>
        <name val="Calibri"/>
        <scheme val="none"/>
      </font>
    </dxf>
  </rfmt>
  <rfmt sheetId="1" sqref="A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6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6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68" start="0" length="0">
    <dxf>
      <font>
        <sz val="11"/>
        <color theme="1"/>
        <name val="Calibri"/>
        <scheme val="none"/>
      </font>
    </dxf>
  </rfmt>
  <rfmt sheetId="1" sqref="AM168" start="0" length="0">
    <dxf>
      <font>
        <sz val="11"/>
        <color theme="1"/>
        <name val="Calibri"/>
        <scheme val="none"/>
      </font>
      <numFmt numFmtId="1" formatCode="0"/>
    </dxf>
  </rfmt>
  <rfmt sheetId="1" sqref="AN168" start="0" length="0">
    <dxf>
      <font>
        <sz val="11"/>
        <color theme="1"/>
        <name val="Calibri"/>
        <scheme val="none"/>
      </font>
      <numFmt numFmtId="1" formatCode="0"/>
    </dxf>
  </rfmt>
  <rfmt sheetId="1" sqref="AO168" start="0" length="0">
    <dxf>
      <font>
        <sz val="11"/>
        <color theme="1"/>
        <name val="Calibri"/>
        <scheme val="none"/>
      </font>
    </dxf>
  </rfmt>
  <rfmt sheetId="1" sqref="AP168" start="0" length="0">
    <dxf>
      <font>
        <sz val="11"/>
        <color theme="1"/>
        <name val="Calibri"/>
        <scheme val="none"/>
      </font>
    </dxf>
  </rfmt>
  <rfmt sheetId="1" sqref="AQ168" start="0" length="0">
    <dxf>
      <font>
        <sz val="11"/>
        <color theme="1"/>
        <name val="Calibri"/>
        <scheme val="none"/>
      </font>
      <numFmt numFmtId="164" formatCode="_-* #,##0_-;\-* #,##0_-;_-* &quot;-&quot;??_-;_-@_-"/>
    </dxf>
  </rfmt>
  <rfmt sheetId="1" sqref="AR168" start="0" length="0">
    <dxf>
      <font>
        <sz val="11"/>
        <color theme="1"/>
        <name val="Calibri"/>
        <scheme val="none"/>
      </font>
      <numFmt numFmtId="164" formatCode="_-* #,##0_-;\-* #,##0_-;_-* &quot;-&quot;??_-;_-@_-"/>
    </dxf>
  </rfmt>
  <rfmt sheetId="1" sqref="AS168" start="0" length="0">
    <dxf>
      <font>
        <sz val="11"/>
        <color theme="1"/>
        <name val="Calibri"/>
        <scheme val="none"/>
      </font>
      <numFmt numFmtId="164" formatCode="_-* #,##0_-;\-* #,##0_-;_-* &quot;-&quot;??_-;_-@_-"/>
    </dxf>
  </rfmt>
  <rfmt sheetId="1" sqref="AT168" start="0" length="0">
    <dxf>
      <font>
        <sz val="11"/>
        <color theme="1"/>
        <name val="Calibri"/>
        <scheme val="none"/>
      </font>
      <numFmt numFmtId="164" formatCode="_-* #,##0_-;\-* #,##0_-;_-* &quot;-&quot;??_-;_-@_-"/>
    </dxf>
  </rfmt>
  <rfmt sheetId="1" sqref="AU168" start="0" length="0">
    <dxf>
      <font>
        <sz val="11"/>
        <color theme="1"/>
        <name val="Calibri"/>
        <scheme val="none"/>
      </font>
    </dxf>
  </rfmt>
  <rfmt sheetId="1" sqref="AV168" start="0" length="0">
    <dxf>
      <font>
        <sz val="11"/>
        <color theme="1"/>
        <name val="Calibri"/>
        <scheme val="none"/>
      </font>
    </dxf>
  </rfmt>
  <rfmt sheetId="1" sqref="AW168" start="0" length="0">
    <dxf>
      <font>
        <sz val="11"/>
        <color theme="1"/>
        <name val="Calibri"/>
        <scheme val="none"/>
      </font>
    </dxf>
  </rfmt>
  <rfmt sheetId="1" sqref="AX168" start="0" length="0">
    <dxf>
      <font>
        <sz val="11"/>
        <color theme="1"/>
        <name val="Calibri"/>
        <scheme val="none"/>
      </font>
    </dxf>
  </rfmt>
  <rfmt sheetId="1" sqref="AY168" start="0" length="0">
    <dxf>
      <font>
        <sz val="11"/>
        <color theme="1"/>
        <name val="Calibri"/>
        <scheme val="none"/>
      </font>
    </dxf>
  </rfmt>
  <rfmt sheetId="1" sqref="A168:XFD168" start="0" length="0">
    <dxf>
      <font>
        <sz val="11"/>
        <color theme="1"/>
        <name val="Calibri"/>
        <scheme val="none"/>
      </font>
    </dxf>
  </rfmt>
  <rfmt sheetId="1" sqref="A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6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6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69" start="0" length="0">
    <dxf>
      <font>
        <sz val="11"/>
        <color theme="1"/>
        <name val="Calibri"/>
        <scheme val="none"/>
      </font>
    </dxf>
  </rfmt>
  <rfmt sheetId="1" sqref="AM169" start="0" length="0">
    <dxf>
      <font>
        <sz val="11"/>
        <color theme="1"/>
        <name val="Calibri"/>
        <scheme val="none"/>
      </font>
      <numFmt numFmtId="1" formatCode="0"/>
    </dxf>
  </rfmt>
  <rfmt sheetId="1" sqref="AN169" start="0" length="0">
    <dxf>
      <font>
        <sz val="11"/>
        <color theme="1"/>
        <name val="Calibri"/>
        <scheme val="none"/>
      </font>
      <numFmt numFmtId="1" formatCode="0"/>
    </dxf>
  </rfmt>
  <rfmt sheetId="1" sqref="AO169" start="0" length="0">
    <dxf>
      <font>
        <sz val="11"/>
        <color theme="1"/>
        <name val="Calibri"/>
        <scheme val="none"/>
      </font>
    </dxf>
  </rfmt>
  <rfmt sheetId="1" sqref="AP169" start="0" length="0">
    <dxf>
      <font>
        <sz val="11"/>
        <color theme="1"/>
        <name val="Calibri"/>
        <scheme val="none"/>
      </font>
    </dxf>
  </rfmt>
  <rfmt sheetId="1" sqref="AQ169" start="0" length="0">
    <dxf>
      <font>
        <sz val="11"/>
        <color theme="1"/>
        <name val="Calibri"/>
        <scheme val="none"/>
      </font>
      <numFmt numFmtId="164" formatCode="_-* #,##0_-;\-* #,##0_-;_-* &quot;-&quot;??_-;_-@_-"/>
    </dxf>
  </rfmt>
  <rfmt sheetId="1" sqref="AR169" start="0" length="0">
    <dxf>
      <font>
        <sz val="11"/>
        <color theme="1"/>
        <name val="Calibri"/>
        <scheme val="none"/>
      </font>
      <numFmt numFmtId="164" formatCode="_-* #,##0_-;\-* #,##0_-;_-* &quot;-&quot;??_-;_-@_-"/>
    </dxf>
  </rfmt>
  <rfmt sheetId="1" sqref="AS169" start="0" length="0">
    <dxf>
      <font>
        <sz val="11"/>
        <color theme="1"/>
        <name val="Calibri"/>
        <scheme val="none"/>
      </font>
      <numFmt numFmtId="164" formatCode="_-* #,##0_-;\-* #,##0_-;_-* &quot;-&quot;??_-;_-@_-"/>
    </dxf>
  </rfmt>
  <rfmt sheetId="1" sqref="AT169" start="0" length="0">
    <dxf>
      <font>
        <sz val="11"/>
        <color theme="1"/>
        <name val="Calibri"/>
        <scheme val="none"/>
      </font>
      <numFmt numFmtId="164" formatCode="_-* #,##0_-;\-* #,##0_-;_-* &quot;-&quot;??_-;_-@_-"/>
    </dxf>
  </rfmt>
  <rfmt sheetId="1" sqref="AU169" start="0" length="0">
    <dxf>
      <font>
        <sz val="11"/>
        <color theme="1"/>
        <name val="Calibri"/>
        <scheme val="none"/>
      </font>
    </dxf>
  </rfmt>
  <rfmt sheetId="1" sqref="AV169" start="0" length="0">
    <dxf>
      <font>
        <sz val="11"/>
        <color theme="1"/>
        <name val="Calibri"/>
        <scheme val="none"/>
      </font>
    </dxf>
  </rfmt>
  <rfmt sheetId="1" sqref="AW169" start="0" length="0">
    <dxf>
      <font>
        <sz val="11"/>
        <color theme="1"/>
        <name val="Calibri"/>
        <scheme val="none"/>
      </font>
    </dxf>
  </rfmt>
  <rfmt sheetId="1" sqref="AX169" start="0" length="0">
    <dxf>
      <font>
        <sz val="11"/>
        <color theme="1"/>
        <name val="Calibri"/>
        <scheme val="none"/>
      </font>
    </dxf>
  </rfmt>
  <rfmt sheetId="1" sqref="AY169" start="0" length="0">
    <dxf>
      <font>
        <sz val="11"/>
        <color theme="1"/>
        <name val="Calibri"/>
        <scheme val="none"/>
      </font>
    </dxf>
  </rfmt>
  <rfmt sheetId="1" sqref="A169:XFD169" start="0" length="0">
    <dxf>
      <font>
        <sz val="11"/>
        <color theme="1"/>
        <name val="Calibri"/>
        <scheme val="none"/>
      </font>
    </dxf>
  </rfmt>
  <rfmt sheetId="1" sqref="A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7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7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70" start="0" length="0">
    <dxf>
      <font>
        <sz val="11"/>
        <color theme="1"/>
        <name val="Calibri"/>
        <scheme val="none"/>
      </font>
    </dxf>
  </rfmt>
  <rfmt sheetId="1" sqref="AM170" start="0" length="0">
    <dxf>
      <font>
        <sz val="11"/>
        <color theme="1"/>
        <name val="Calibri"/>
        <scheme val="none"/>
      </font>
      <numFmt numFmtId="1" formatCode="0"/>
    </dxf>
  </rfmt>
  <rfmt sheetId="1" sqref="AN170" start="0" length="0">
    <dxf>
      <font>
        <sz val="11"/>
        <color theme="1"/>
        <name val="Calibri"/>
        <scheme val="none"/>
      </font>
      <numFmt numFmtId="1" formatCode="0"/>
    </dxf>
  </rfmt>
  <rfmt sheetId="1" sqref="AO170" start="0" length="0">
    <dxf>
      <font>
        <sz val="11"/>
        <color theme="1"/>
        <name val="Calibri"/>
        <scheme val="none"/>
      </font>
    </dxf>
  </rfmt>
  <rfmt sheetId="1" sqref="AP170" start="0" length="0">
    <dxf>
      <font>
        <sz val="11"/>
        <color theme="1"/>
        <name val="Calibri"/>
        <scheme val="none"/>
      </font>
    </dxf>
  </rfmt>
  <rfmt sheetId="1" sqref="AQ170" start="0" length="0">
    <dxf>
      <font>
        <sz val="11"/>
        <color theme="1"/>
        <name val="Calibri"/>
        <scheme val="none"/>
      </font>
      <numFmt numFmtId="164" formatCode="_-* #,##0_-;\-* #,##0_-;_-* &quot;-&quot;??_-;_-@_-"/>
    </dxf>
  </rfmt>
  <rfmt sheetId="1" sqref="AR170" start="0" length="0">
    <dxf>
      <font>
        <sz val="11"/>
        <color theme="1"/>
        <name val="Calibri"/>
        <scheme val="none"/>
      </font>
      <numFmt numFmtId="164" formatCode="_-* #,##0_-;\-* #,##0_-;_-* &quot;-&quot;??_-;_-@_-"/>
    </dxf>
  </rfmt>
  <rfmt sheetId="1" sqref="AS170" start="0" length="0">
    <dxf>
      <font>
        <sz val="11"/>
        <color theme="1"/>
        <name val="Calibri"/>
        <scheme val="none"/>
      </font>
      <numFmt numFmtId="164" formatCode="_-* #,##0_-;\-* #,##0_-;_-* &quot;-&quot;??_-;_-@_-"/>
    </dxf>
  </rfmt>
  <rfmt sheetId="1" sqref="AT170" start="0" length="0">
    <dxf>
      <font>
        <sz val="11"/>
        <color theme="1"/>
        <name val="Calibri"/>
        <scheme val="none"/>
      </font>
      <numFmt numFmtId="164" formatCode="_-* #,##0_-;\-* #,##0_-;_-* &quot;-&quot;??_-;_-@_-"/>
    </dxf>
  </rfmt>
  <rfmt sheetId="1" sqref="AU170" start="0" length="0">
    <dxf>
      <font>
        <sz val="11"/>
        <color theme="1"/>
        <name val="Calibri"/>
        <scheme val="none"/>
      </font>
    </dxf>
  </rfmt>
  <rfmt sheetId="1" sqref="AV170" start="0" length="0">
    <dxf>
      <font>
        <sz val="11"/>
        <color theme="1"/>
        <name val="Calibri"/>
        <scheme val="none"/>
      </font>
    </dxf>
  </rfmt>
  <rfmt sheetId="1" sqref="AW170" start="0" length="0">
    <dxf>
      <font>
        <sz val="11"/>
        <color theme="1"/>
        <name val="Calibri"/>
        <scheme val="none"/>
      </font>
    </dxf>
  </rfmt>
  <rfmt sheetId="1" sqref="AX170" start="0" length="0">
    <dxf>
      <font>
        <sz val="11"/>
        <color theme="1"/>
        <name val="Calibri"/>
        <scheme val="none"/>
      </font>
    </dxf>
  </rfmt>
  <rfmt sheetId="1" sqref="AY170" start="0" length="0">
    <dxf>
      <font>
        <sz val="11"/>
        <color theme="1"/>
        <name val="Calibri"/>
        <scheme val="none"/>
      </font>
    </dxf>
  </rfmt>
  <rfmt sheetId="1" sqref="A170:XFD170" start="0" length="0">
    <dxf>
      <font>
        <sz val="11"/>
        <color theme="1"/>
        <name val="Calibri"/>
        <scheme val="none"/>
      </font>
    </dxf>
  </rfmt>
  <rfmt sheetId="1" sqref="A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7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7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71" start="0" length="0">
    <dxf>
      <font>
        <sz val="11"/>
        <color theme="1"/>
        <name val="Calibri"/>
        <scheme val="none"/>
      </font>
    </dxf>
  </rfmt>
  <rfmt sheetId="1" sqref="AM171" start="0" length="0">
    <dxf>
      <font>
        <sz val="11"/>
        <color theme="1"/>
        <name val="Calibri"/>
        <scheme val="none"/>
      </font>
      <numFmt numFmtId="1" formatCode="0"/>
    </dxf>
  </rfmt>
  <rfmt sheetId="1" sqref="AN171" start="0" length="0">
    <dxf>
      <font>
        <sz val="11"/>
        <color theme="1"/>
        <name val="Calibri"/>
        <scheme val="none"/>
      </font>
      <numFmt numFmtId="1" formatCode="0"/>
    </dxf>
  </rfmt>
  <rfmt sheetId="1" sqref="AO171" start="0" length="0">
    <dxf>
      <font>
        <sz val="11"/>
        <color theme="1"/>
        <name val="Calibri"/>
        <scheme val="none"/>
      </font>
    </dxf>
  </rfmt>
  <rfmt sheetId="1" sqref="AP171" start="0" length="0">
    <dxf>
      <font>
        <sz val="11"/>
        <color theme="1"/>
        <name val="Calibri"/>
        <scheme val="none"/>
      </font>
    </dxf>
  </rfmt>
  <rfmt sheetId="1" sqref="AQ171" start="0" length="0">
    <dxf>
      <font>
        <sz val="11"/>
        <color theme="1"/>
        <name val="Calibri"/>
        <scheme val="none"/>
      </font>
      <numFmt numFmtId="164" formatCode="_-* #,##0_-;\-* #,##0_-;_-* &quot;-&quot;??_-;_-@_-"/>
    </dxf>
  </rfmt>
  <rfmt sheetId="1" sqref="AR171" start="0" length="0">
    <dxf>
      <font>
        <sz val="11"/>
        <color theme="1"/>
        <name val="Calibri"/>
        <scheme val="none"/>
      </font>
      <numFmt numFmtId="164" formatCode="_-* #,##0_-;\-* #,##0_-;_-* &quot;-&quot;??_-;_-@_-"/>
    </dxf>
  </rfmt>
  <rfmt sheetId="1" sqref="AS171" start="0" length="0">
    <dxf>
      <font>
        <sz val="11"/>
        <color theme="1"/>
        <name val="Calibri"/>
        <scheme val="none"/>
      </font>
      <numFmt numFmtId="164" formatCode="_-* #,##0_-;\-* #,##0_-;_-* &quot;-&quot;??_-;_-@_-"/>
    </dxf>
  </rfmt>
  <rfmt sheetId="1" sqref="AT171" start="0" length="0">
    <dxf>
      <font>
        <sz val="11"/>
        <color theme="1"/>
        <name val="Calibri"/>
        <scheme val="none"/>
      </font>
      <numFmt numFmtId="164" formatCode="_-* #,##0_-;\-* #,##0_-;_-* &quot;-&quot;??_-;_-@_-"/>
    </dxf>
  </rfmt>
  <rfmt sheetId="1" sqref="AU171" start="0" length="0">
    <dxf>
      <font>
        <sz val="11"/>
        <color theme="1"/>
        <name val="Calibri"/>
        <scheme val="none"/>
      </font>
    </dxf>
  </rfmt>
  <rfmt sheetId="1" sqref="AV171" start="0" length="0">
    <dxf>
      <font>
        <sz val="11"/>
        <color theme="1"/>
        <name val="Calibri"/>
        <scheme val="none"/>
      </font>
    </dxf>
  </rfmt>
  <rfmt sheetId="1" sqref="AW171" start="0" length="0">
    <dxf>
      <font>
        <sz val="11"/>
        <color theme="1"/>
        <name val="Calibri"/>
        <scheme val="none"/>
      </font>
    </dxf>
  </rfmt>
  <rfmt sheetId="1" sqref="AX171" start="0" length="0">
    <dxf>
      <font>
        <sz val="11"/>
        <color theme="1"/>
        <name val="Calibri"/>
        <scheme val="none"/>
      </font>
    </dxf>
  </rfmt>
  <rfmt sheetId="1" sqref="AY171" start="0" length="0">
    <dxf>
      <font>
        <sz val="11"/>
        <color theme="1"/>
        <name val="Calibri"/>
        <scheme val="none"/>
      </font>
    </dxf>
  </rfmt>
  <rfmt sheetId="1" sqref="A171:XFD171" start="0" length="0">
    <dxf>
      <font>
        <sz val="11"/>
        <color theme="1"/>
        <name val="Calibri"/>
        <scheme val="none"/>
      </font>
    </dxf>
  </rfmt>
  <rfmt sheetId="1" sqref="A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7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7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72" start="0" length="0">
    <dxf>
      <font>
        <sz val="11"/>
        <color theme="1"/>
        <name val="Calibri"/>
        <scheme val="none"/>
      </font>
    </dxf>
  </rfmt>
  <rfmt sheetId="1" sqref="AM172" start="0" length="0">
    <dxf>
      <font>
        <sz val="11"/>
        <color theme="1"/>
        <name val="Calibri"/>
        <scheme val="none"/>
      </font>
      <numFmt numFmtId="1" formatCode="0"/>
    </dxf>
  </rfmt>
  <rfmt sheetId="1" sqref="AN172" start="0" length="0">
    <dxf>
      <font>
        <sz val="11"/>
        <color theme="1"/>
        <name val="Calibri"/>
        <scheme val="none"/>
      </font>
      <numFmt numFmtId="1" formatCode="0"/>
    </dxf>
  </rfmt>
  <rfmt sheetId="1" sqref="AO172" start="0" length="0">
    <dxf>
      <font>
        <sz val="11"/>
        <color theme="1"/>
        <name val="Calibri"/>
        <scheme val="none"/>
      </font>
    </dxf>
  </rfmt>
  <rfmt sheetId="1" sqref="AP172" start="0" length="0">
    <dxf>
      <font>
        <sz val="11"/>
        <color theme="1"/>
        <name val="Calibri"/>
        <scheme val="none"/>
      </font>
    </dxf>
  </rfmt>
  <rfmt sheetId="1" sqref="AQ172" start="0" length="0">
    <dxf>
      <font>
        <sz val="11"/>
        <color theme="1"/>
        <name val="Calibri"/>
        <scheme val="none"/>
      </font>
      <numFmt numFmtId="164" formatCode="_-* #,##0_-;\-* #,##0_-;_-* &quot;-&quot;??_-;_-@_-"/>
    </dxf>
  </rfmt>
  <rfmt sheetId="1" sqref="AR172" start="0" length="0">
    <dxf>
      <font>
        <sz val="11"/>
        <color theme="1"/>
        <name val="Calibri"/>
        <scheme val="none"/>
      </font>
      <numFmt numFmtId="164" formatCode="_-* #,##0_-;\-* #,##0_-;_-* &quot;-&quot;??_-;_-@_-"/>
    </dxf>
  </rfmt>
  <rfmt sheetId="1" sqref="AS172" start="0" length="0">
    <dxf>
      <font>
        <sz val="11"/>
        <color theme="1"/>
        <name val="Calibri"/>
        <scheme val="none"/>
      </font>
      <numFmt numFmtId="164" formatCode="_-* #,##0_-;\-* #,##0_-;_-* &quot;-&quot;??_-;_-@_-"/>
    </dxf>
  </rfmt>
  <rfmt sheetId="1" sqref="AT172" start="0" length="0">
    <dxf>
      <font>
        <sz val="11"/>
        <color theme="1"/>
        <name val="Calibri"/>
        <scheme val="none"/>
      </font>
      <numFmt numFmtId="164" formatCode="_-* #,##0_-;\-* #,##0_-;_-* &quot;-&quot;??_-;_-@_-"/>
    </dxf>
  </rfmt>
  <rfmt sheetId="1" sqref="AU172" start="0" length="0">
    <dxf>
      <font>
        <sz val="11"/>
        <color theme="1"/>
        <name val="Calibri"/>
        <scheme val="none"/>
      </font>
    </dxf>
  </rfmt>
  <rfmt sheetId="1" sqref="AV172" start="0" length="0">
    <dxf>
      <font>
        <sz val="11"/>
        <color theme="1"/>
        <name val="Calibri"/>
        <scheme val="none"/>
      </font>
    </dxf>
  </rfmt>
  <rfmt sheetId="1" sqref="AW172" start="0" length="0">
    <dxf>
      <font>
        <sz val="11"/>
        <color theme="1"/>
        <name val="Calibri"/>
        <scheme val="none"/>
      </font>
    </dxf>
  </rfmt>
  <rfmt sheetId="1" sqref="AX172" start="0" length="0">
    <dxf>
      <font>
        <sz val="11"/>
        <color theme="1"/>
        <name val="Calibri"/>
        <scheme val="none"/>
      </font>
    </dxf>
  </rfmt>
  <rfmt sheetId="1" sqref="AY172" start="0" length="0">
    <dxf>
      <font>
        <sz val="11"/>
        <color theme="1"/>
        <name val="Calibri"/>
        <scheme val="none"/>
      </font>
    </dxf>
  </rfmt>
  <rfmt sheetId="1" sqref="A172:XFD172" start="0" length="0">
    <dxf>
      <font>
        <sz val="11"/>
        <color theme="1"/>
        <name val="Calibri"/>
        <scheme val="none"/>
      </font>
    </dxf>
  </rfmt>
  <rfmt sheetId="1" sqref="A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7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7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73" start="0" length="0">
    <dxf>
      <font>
        <sz val="11"/>
        <color theme="1"/>
        <name val="Calibri"/>
        <scheme val="none"/>
      </font>
    </dxf>
  </rfmt>
  <rfmt sheetId="1" sqref="AM173" start="0" length="0">
    <dxf>
      <font>
        <sz val="11"/>
        <color theme="1"/>
        <name val="Calibri"/>
        <scheme val="none"/>
      </font>
      <numFmt numFmtId="1" formatCode="0"/>
    </dxf>
  </rfmt>
  <rfmt sheetId="1" sqref="AN173" start="0" length="0">
    <dxf>
      <font>
        <sz val="11"/>
        <color theme="1"/>
        <name val="Calibri"/>
        <scheme val="none"/>
      </font>
      <numFmt numFmtId="1" formatCode="0"/>
    </dxf>
  </rfmt>
  <rfmt sheetId="1" sqref="AO173" start="0" length="0">
    <dxf>
      <font>
        <sz val="11"/>
        <color theme="1"/>
        <name val="Calibri"/>
        <scheme val="none"/>
      </font>
    </dxf>
  </rfmt>
  <rfmt sheetId="1" sqref="AP173" start="0" length="0">
    <dxf>
      <font>
        <sz val="11"/>
        <color theme="1"/>
        <name val="Calibri"/>
        <scheme val="none"/>
      </font>
    </dxf>
  </rfmt>
  <rfmt sheetId="1" sqref="AQ173" start="0" length="0">
    <dxf>
      <font>
        <sz val="11"/>
        <color theme="1"/>
        <name val="Calibri"/>
        <scheme val="none"/>
      </font>
      <numFmt numFmtId="164" formatCode="_-* #,##0_-;\-* #,##0_-;_-* &quot;-&quot;??_-;_-@_-"/>
    </dxf>
  </rfmt>
  <rfmt sheetId="1" sqref="AR173" start="0" length="0">
    <dxf>
      <font>
        <sz val="11"/>
        <color theme="1"/>
        <name val="Calibri"/>
        <scheme val="none"/>
      </font>
      <numFmt numFmtId="164" formatCode="_-* #,##0_-;\-* #,##0_-;_-* &quot;-&quot;??_-;_-@_-"/>
    </dxf>
  </rfmt>
  <rfmt sheetId="1" sqref="AS173" start="0" length="0">
    <dxf>
      <font>
        <sz val="11"/>
        <color theme="1"/>
        <name val="Calibri"/>
        <scheme val="none"/>
      </font>
      <numFmt numFmtId="164" formatCode="_-* #,##0_-;\-* #,##0_-;_-* &quot;-&quot;??_-;_-@_-"/>
    </dxf>
  </rfmt>
  <rfmt sheetId="1" sqref="AT173" start="0" length="0">
    <dxf>
      <font>
        <sz val="11"/>
        <color theme="1"/>
        <name val="Calibri"/>
        <scheme val="none"/>
      </font>
      <numFmt numFmtId="164" formatCode="_-* #,##0_-;\-* #,##0_-;_-* &quot;-&quot;??_-;_-@_-"/>
    </dxf>
  </rfmt>
  <rfmt sheetId="1" sqref="AU173" start="0" length="0">
    <dxf>
      <font>
        <sz val="11"/>
        <color theme="1"/>
        <name val="Calibri"/>
        <scheme val="none"/>
      </font>
    </dxf>
  </rfmt>
  <rfmt sheetId="1" sqref="AV173" start="0" length="0">
    <dxf>
      <font>
        <sz val="11"/>
        <color theme="1"/>
        <name val="Calibri"/>
        <scheme val="none"/>
      </font>
    </dxf>
  </rfmt>
  <rfmt sheetId="1" sqref="AW173" start="0" length="0">
    <dxf>
      <font>
        <sz val="11"/>
        <color theme="1"/>
        <name val="Calibri"/>
        <scheme val="none"/>
      </font>
    </dxf>
  </rfmt>
  <rfmt sheetId="1" sqref="AX173" start="0" length="0">
    <dxf>
      <font>
        <sz val="11"/>
        <color theme="1"/>
        <name val="Calibri"/>
        <scheme val="none"/>
      </font>
    </dxf>
  </rfmt>
  <rfmt sheetId="1" sqref="AY173" start="0" length="0">
    <dxf>
      <font>
        <sz val="11"/>
        <color theme="1"/>
        <name val="Calibri"/>
        <scheme val="none"/>
      </font>
    </dxf>
  </rfmt>
  <rfmt sheetId="1" sqref="A173:XFD173" start="0" length="0">
    <dxf>
      <font>
        <sz val="11"/>
        <color theme="1"/>
        <name val="Calibri"/>
        <scheme val="none"/>
      </font>
    </dxf>
  </rfmt>
  <rfmt sheetId="1" sqref="A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7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7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74" start="0" length="0">
    <dxf>
      <font>
        <sz val="11"/>
        <color theme="1"/>
        <name val="Calibri"/>
        <scheme val="none"/>
      </font>
    </dxf>
  </rfmt>
  <rfmt sheetId="1" sqref="AM174" start="0" length="0">
    <dxf>
      <font>
        <sz val="11"/>
        <color theme="1"/>
        <name val="Calibri"/>
        <scheme val="none"/>
      </font>
      <numFmt numFmtId="1" formatCode="0"/>
    </dxf>
  </rfmt>
  <rfmt sheetId="1" sqref="AN174" start="0" length="0">
    <dxf>
      <font>
        <sz val="11"/>
        <color theme="1"/>
        <name val="Calibri"/>
        <scheme val="none"/>
      </font>
      <numFmt numFmtId="1" formatCode="0"/>
    </dxf>
  </rfmt>
  <rfmt sheetId="1" sqref="AO174" start="0" length="0">
    <dxf>
      <font>
        <sz val="11"/>
        <color theme="1"/>
        <name val="Calibri"/>
        <scheme val="none"/>
      </font>
    </dxf>
  </rfmt>
  <rfmt sheetId="1" sqref="AP174" start="0" length="0">
    <dxf>
      <font>
        <sz val="11"/>
        <color theme="1"/>
        <name val="Calibri"/>
        <scheme val="none"/>
      </font>
    </dxf>
  </rfmt>
  <rfmt sheetId="1" sqref="AQ174" start="0" length="0">
    <dxf>
      <font>
        <sz val="11"/>
        <color theme="1"/>
        <name val="Calibri"/>
        <scheme val="none"/>
      </font>
      <numFmt numFmtId="164" formatCode="_-* #,##0_-;\-* #,##0_-;_-* &quot;-&quot;??_-;_-@_-"/>
    </dxf>
  </rfmt>
  <rfmt sheetId="1" sqref="AR174" start="0" length="0">
    <dxf>
      <font>
        <sz val="11"/>
        <color theme="1"/>
        <name val="Calibri"/>
        <scheme val="none"/>
      </font>
      <numFmt numFmtId="164" formatCode="_-* #,##0_-;\-* #,##0_-;_-* &quot;-&quot;??_-;_-@_-"/>
    </dxf>
  </rfmt>
  <rfmt sheetId="1" sqref="AS174" start="0" length="0">
    <dxf>
      <font>
        <sz val="11"/>
        <color theme="1"/>
        <name val="Calibri"/>
        <scheme val="none"/>
      </font>
      <numFmt numFmtId="164" formatCode="_-* #,##0_-;\-* #,##0_-;_-* &quot;-&quot;??_-;_-@_-"/>
    </dxf>
  </rfmt>
  <rfmt sheetId="1" sqref="AT174" start="0" length="0">
    <dxf>
      <font>
        <sz val="11"/>
        <color theme="1"/>
        <name val="Calibri"/>
        <scheme val="none"/>
      </font>
      <numFmt numFmtId="164" formatCode="_-* #,##0_-;\-* #,##0_-;_-* &quot;-&quot;??_-;_-@_-"/>
    </dxf>
  </rfmt>
  <rfmt sheetId="1" sqref="AU174" start="0" length="0">
    <dxf>
      <font>
        <sz val="11"/>
        <color theme="1"/>
        <name val="Calibri"/>
        <scheme val="none"/>
      </font>
    </dxf>
  </rfmt>
  <rfmt sheetId="1" sqref="AV174" start="0" length="0">
    <dxf>
      <font>
        <sz val="11"/>
        <color theme="1"/>
        <name val="Calibri"/>
        <scheme val="none"/>
      </font>
    </dxf>
  </rfmt>
  <rfmt sheetId="1" sqref="AW174" start="0" length="0">
    <dxf>
      <font>
        <sz val="11"/>
        <color theme="1"/>
        <name val="Calibri"/>
        <scheme val="none"/>
      </font>
    </dxf>
  </rfmt>
  <rfmt sheetId="1" sqref="AX174" start="0" length="0">
    <dxf>
      <font>
        <sz val="11"/>
        <color theme="1"/>
        <name val="Calibri"/>
        <scheme val="none"/>
      </font>
    </dxf>
  </rfmt>
  <rfmt sheetId="1" sqref="AY174" start="0" length="0">
    <dxf>
      <font>
        <sz val="11"/>
        <color theme="1"/>
        <name val="Calibri"/>
        <scheme val="none"/>
      </font>
    </dxf>
  </rfmt>
  <rfmt sheetId="1" sqref="A174:XFD174" start="0" length="0">
    <dxf>
      <font>
        <sz val="11"/>
        <color theme="1"/>
        <name val="Calibri"/>
        <scheme val="none"/>
      </font>
    </dxf>
  </rfmt>
  <rfmt sheetId="1" sqref="A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7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7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75" start="0" length="0">
    <dxf>
      <font>
        <sz val="11"/>
        <color theme="1"/>
        <name val="Calibri"/>
        <scheme val="none"/>
      </font>
    </dxf>
  </rfmt>
  <rfmt sheetId="1" sqref="AM175" start="0" length="0">
    <dxf>
      <font>
        <sz val="11"/>
        <color theme="1"/>
        <name val="Calibri"/>
        <scheme val="none"/>
      </font>
      <numFmt numFmtId="1" formatCode="0"/>
    </dxf>
  </rfmt>
  <rfmt sheetId="1" sqref="AN175" start="0" length="0">
    <dxf>
      <font>
        <sz val="11"/>
        <color theme="1"/>
        <name val="Calibri"/>
        <scheme val="none"/>
      </font>
      <numFmt numFmtId="1" formatCode="0"/>
    </dxf>
  </rfmt>
  <rfmt sheetId="1" sqref="AO175" start="0" length="0">
    <dxf>
      <font>
        <sz val="11"/>
        <color theme="1"/>
        <name val="Calibri"/>
        <scheme val="none"/>
      </font>
    </dxf>
  </rfmt>
  <rfmt sheetId="1" sqref="AP175" start="0" length="0">
    <dxf>
      <font>
        <sz val="11"/>
        <color theme="1"/>
        <name val="Calibri"/>
        <scheme val="none"/>
      </font>
    </dxf>
  </rfmt>
  <rfmt sheetId="1" sqref="AQ175" start="0" length="0">
    <dxf>
      <font>
        <sz val="11"/>
        <color theme="1"/>
        <name val="Calibri"/>
        <scheme val="none"/>
      </font>
      <numFmt numFmtId="164" formatCode="_-* #,##0_-;\-* #,##0_-;_-* &quot;-&quot;??_-;_-@_-"/>
    </dxf>
  </rfmt>
  <rfmt sheetId="1" sqref="AR175" start="0" length="0">
    <dxf>
      <font>
        <sz val="11"/>
        <color theme="1"/>
        <name val="Calibri"/>
        <scheme val="none"/>
      </font>
      <numFmt numFmtId="164" formatCode="_-* #,##0_-;\-* #,##0_-;_-* &quot;-&quot;??_-;_-@_-"/>
    </dxf>
  </rfmt>
  <rfmt sheetId="1" sqref="AS175" start="0" length="0">
    <dxf>
      <font>
        <sz val="11"/>
        <color theme="1"/>
        <name val="Calibri"/>
        <scheme val="none"/>
      </font>
      <numFmt numFmtId="164" formatCode="_-* #,##0_-;\-* #,##0_-;_-* &quot;-&quot;??_-;_-@_-"/>
    </dxf>
  </rfmt>
  <rfmt sheetId="1" sqref="AT175" start="0" length="0">
    <dxf>
      <font>
        <sz val="11"/>
        <color theme="1"/>
        <name val="Calibri"/>
        <scheme val="none"/>
      </font>
      <numFmt numFmtId="164" formatCode="_-* #,##0_-;\-* #,##0_-;_-* &quot;-&quot;??_-;_-@_-"/>
    </dxf>
  </rfmt>
  <rfmt sheetId="1" sqref="AU175" start="0" length="0">
    <dxf>
      <font>
        <sz val="11"/>
        <color theme="1"/>
        <name val="Calibri"/>
        <scheme val="none"/>
      </font>
    </dxf>
  </rfmt>
  <rfmt sheetId="1" sqref="AV175" start="0" length="0">
    <dxf>
      <font>
        <sz val="11"/>
        <color theme="1"/>
        <name val="Calibri"/>
        <scheme val="none"/>
      </font>
    </dxf>
  </rfmt>
  <rfmt sheetId="1" sqref="AW175" start="0" length="0">
    <dxf>
      <font>
        <sz val="11"/>
        <color theme="1"/>
        <name val="Calibri"/>
        <scheme val="none"/>
      </font>
    </dxf>
  </rfmt>
  <rfmt sheetId="1" sqref="AX175" start="0" length="0">
    <dxf>
      <font>
        <sz val="11"/>
        <color theme="1"/>
        <name val="Calibri"/>
        <scheme val="none"/>
      </font>
    </dxf>
  </rfmt>
  <rfmt sheetId="1" sqref="AY175" start="0" length="0">
    <dxf>
      <font>
        <sz val="11"/>
        <color theme="1"/>
        <name val="Calibri"/>
        <scheme val="none"/>
      </font>
    </dxf>
  </rfmt>
  <rfmt sheetId="1" sqref="A175:XFD175" start="0" length="0">
    <dxf>
      <font>
        <sz val="11"/>
        <color theme="1"/>
        <name val="Calibri"/>
        <scheme val="none"/>
      </font>
    </dxf>
  </rfmt>
  <rfmt sheetId="1" sqref="A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7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7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76" start="0" length="0">
    <dxf>
      <font>
        <sz val="11"/>
        <color theme="1"/>
        <name val="Calibri"/>
        <scheme val="none"/>
      </font>
    </dxf>
  </rfmt>
  <rfmt sheetId="1" sqref="AM176" start="0" length="0">
    <dxf>
      <font>
        <sz val="11"/>
        <color theme="1"/>
        <name val="Calibri"/>
        <scheme val="none"/>
      </font>
      <numFmt numFmtId="1" formatCode="0"/>
    </dxf>
  </rfmt>
  <rfmt sheetId="1" sqref="AN176" start="0" length="0">
    <dxf>
      <font>
        <sz val="11"/>
        <color theme="1"/>
        <name val="Calibri"/>
        <scheme val="none"/>
      </font>
      <numFmt numFmtId="1" formatCode="0"/>
    </dxf>
  </rfmt>
  <rfmt sheetId="1" sqref="AO176" start="0" length="0">
    <dxf>
      <font>
        <sz val="11"/>
        <color theme="1"/>
        <name val="Calibri"/>
        <scheme val="none"/>
      </font>
    </dxf>
  </rfmt>
  <rfmt sheetId="1" sqref="AP176" start="0" length="0">
    <dxf>
      <font>
        <sz val="11"/>
        <color theme="1"/>
        <name val="Calibri"/>
        <scheme val="none"/>
      </font>
    </dxf>
  </rfmt>
  <rfmt sheetId="1" sqref="AQ176" start="0" length="0">
    <dxf>
      <font>
        <sz val="11"/>
        <color theme="1"/>
        <name val="Calibri"/>
        <scheme val="none"/>
      </font>
      <numFmt numFmtId="164" formatCode="_-* #,##0_-;\-* #,##0_-;_-* &quot;-&quot;??_-;_-@_-"/>
    </dxf>
  </rfmt>
  <rfmt sheetId="1" sqref="AR176" start="0" length="0">
    <dxf>
      <font>
        <sz val="11"/>
        <color theme="1"/>
        <name val="Calibri"/>
        <scheme val="none"/>
      </font>
      <numFmt numFmtId="164" formatCode="_-* #,##0_-;\-* #,##0_-;_-* &quot;-&quot;??_-;_-@_-"/>
    </dxf>
  </rfmt>
  <rfmt sheetId="1" sqref="AS176" start="0" length="0">
    <dxf>
      <font>
        <sz val="11"/>
        <color theme="1"/>
        <name val="Calibri"/>
        <scheme val="none"/>
      </font>
      <numFmt numFmtId="164" formatCode="_-* #,##0_-;\-* #,##0_-;_-* &quot;-&quot;??_-;_-@_-"/>
    </dxf>
  </rfmt>
  <rfmt sheetId="1" sqref="AT176" start="0" length="0">
    <dxf>
      <font>
        <sz val="11"/>
        <color theme="1"/>
        <name val="Calibri"/>
        <scheme val="none"/>
      </font>
      <numFmt numFmtId="164" formatCode="_-* #,##0_-;\-* #,##0_-;_-* &quot;-&quot;??_-;_-@_-"/>
    </dxf>
  </rfmt>
  <rfmt sheetId="1" sqref="AU176" start="0" length="0">
    <dxf>
      <font>
        <sz val="11"/>
        <color theme="1"/>
        <name val="Calibri"/>
        <scheme val="none"/>
      </font>
    </dxf>
  </rfmt>
  <rfmt sheetId="1" sqref="AV176" start="0" length="0">
    <dxf>
      <font>
        <sz val="11"/>
        <color theme="1"/>
        <name val="Calibri"/>
        <scheme val="none"/>
      </font>
    </dxf>
  </rfmt>
  <rfmt sheetId="1" sqref="AW176" start="0" length="0">
    <dxf>
      <font>
        <sz val="11"/>
        <color theme="1"/>
        <name val="Calibri"/>
        <scheme val="none"/>
      </font>
    </dxf>
  </rfmt>
  <rfmt sheetId="1" sqref="AX176" start="0" length="0">
    <dxf>
      <font>
        <sz val="11"/>
        <color theme="1"/>
        <name val="Calibri"/>
        <scheme val="none"/>
      </font>
    </dxf>
  </rfmt>
  <rfmt sheetId="1" sqref="AY176" start="0" length="0">
    <dxf>
      <font>
        <sz val="11"/>
        <color theme="1"/>
        <name val="Calibri"/>
        <scheme val="none"/>
      </font>
    </dxf>
  </rfmt>
  <rfmt sheetId="1" sqref="A176:XFD176" start="0" length="0">
    <dxf>
      <font>
        <sz val="11"/>
        <color theme="1"/>
        <name val="Calibri"/>
        <scheme val="none"/>
      </font>
    </dxf>
  </rfmt>
  <rfmt sheetId="1" sqref="A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7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7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77" start="0" length="0">
    <dxf>
      <font>
        <sz val="11"/>
        <color theme="1"/>
        <name val="Calibri"/>
        <scheme val="none"/>
      </font>
    </dxf>
  </rfmt>
  <rfmt sheetId="1" sqref="AM177" start="0" length="0">
    <dxf>
      <font>
        <sz val="11"/>
        <color theme="1"/>
        <name val="Calibri"/>
        <scheme val="none"/>
      </font>
      <numFmt numFmtId="1" formatCode="0"/>
    </dxf>
  </rfmt>
  <rfmt sheetId="1" sqref="AN177" start="0" length="0">
    <dxf>
      <font>
        <sz val="11"/>
        <color theme="1"/>
        <name val="Calibri"/>
        <scheme val="none"/>
      </font>
      <numFmt numFmtId="1" formatCode="0"/>
    </dxf>
  </rfmt>
  <rfmt sheetId="1" sqref="AO177" start="0" length="0">
    <dxf>
      <font>
        <sz val="11"/>
        <color theme="1"/>
        <name val="Calibri"/>
        <scheme val="none"/>
      </font>
    </dxf>
  </rfmt>
  <rfmt sheetId="1" sqref="AP177" start="0" length="0">
    <dxf>
      <font>
        <sz val="11"/>
        <color theme="1"/>
        <name val="Calibri"/>
        <scheme val="none"/>
      </font>
    </dxf>
  </rfmt>
  <rfmt sheetId="1" sqref="AQ177" start="0" length="0">
    <dxf>
      <font>
        <sz val="11"/>
        <color theme="1"/>
        <name val="Calibri"/>
        <scheme val="none"/>
      </font>
      <numFmt numFmtId="164" formatCode="_-* #,##0_-;\-* #,##0_-;_-* &quot;-&quot;??_-;_-@_-"/>
    </dxf>
  </rfmt>
  <rfmt sheetId="1" sqref="AR177" start="0" length="0">
    <dxf>
      <font>
        <sz val="11"/>
        <color theme="1"/>
        <name val="Calibri"/>
        <scheme val="none"/>
      </font>
      <numFmt numFmtId="164" formatCode="_-* #,##0_-;\-* #,##0_-;_-* &quot;-&quot;??_-;_-@_-"/>
    </dxf>
  </rfmt>
  <rfmt sheetId="1" sqref="AS177" start="0" length="0">
    <dxf>
      <font>
        <sz val="11"/>
        <color theme="1"/>
        <name val="Calibri"/>
        <scheme val="none"/>
      </font>
      <numFmt numFmtId="164" formatCode="_-* #,##0_-;\-* #,##0_-;_-* &quot;-&quot;??_-;_-@_-"/>
    </dxf>
  </rfmt>
  <rfmt sheetId="1" sqref="AT177" start="0" length="0">
    <dxf>
      <font>
        <sz val="11"/>
        <color theme="1"/>
        <name val="Calibri"/>
        <scheme val="none"/>
      </font>
      <numFmt numFmtId="164" formatCode="_-* #,##0_-;\-* #,##0_-;_-* &quot;-&quot;??_-;_-@_-"/>
    </dxf>
  </rfmt>
  <rfmt sheetId="1" sqref="AU177" start="0" length="0">
    <dxf>
      <font>
        <sz val="11"/>
        <color theme="1"/>
        <name val="Calibri"/>
        <scheme val="none"/>
      </font>
    </dxf>
  </rfmt>
  <rfmt sheetId="1" sqref="AV177" start="0" length="0">
    <dxf>
      <font>
        <sz val="11"/>
        <color theme="1"/>
        <name val="Calibri"/>
        <scheme val="none"/>
      </font>
    </dxf>
  </rfmt>
  <rfmt sheetId="1" sqref="AW177" start="0" length="0">
    <dxf>
      <font>
        <sz val="11"/>
        <color theme="1"/>
        <name val="Calibri"/>
        <scheme val="none"/>
      </font>
    </dxf>
  </rfmt>
  <rfmt sheetId="1" sqref="AX177" start="0" length="0">
    <dxf>
      <font>
        <sz val="11"/>
        <color theme="1"/>
        <name val="Calibri"/>
        <scheme val="none"/>
      </font>
    </dxf>
  </rfmt>
  <rfmt sheetId="1" sqref="AY177" start="0" length="0">
    <dxf>
      <font>
        <sz val="11"/>
        <color theme="1"/>
        <name val="Calibri"/>
        <scheme val="none"/>
      </font>
    </dxf>
  </rfmt>
  <rfmt sheetId="1" sqref="A177:XFD177" start="0" length="0">
    <dxf>
      <font>
        <sz val="11"/>
        <color theme="1"/>
        <name val="Calibri"/>
        <scheme val="none"/>
      </font>
    </dxf>
  </rfmt>
  <rfmt sheetId="1" sqref="A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7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7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78" start="0" length="0">
    <dxf>
      <font>
        <sz val="11"/>
        <color theme="1"/>
        <name val="Calibri"/>
        <scheme val="none"/>
      </font>
    </dxf>
  </rfmt>
  <rfmt sheetId="1" sqref="AM178" start="0" length="0">
    <dxf>
      <font>
        <sz val="11"/>
        <color theme="1"/>
        <name val="Calibri"/>
        <scheme val="none"/>
      </font>
      <numFmt numFmtId="1" formatCode="0"/>
    </dxf>
  </rfmt>
  <rfmt sheetId="1" sqref="AN178" start="0" length="0">
    <dxf>
      <font>
        <sz val="11"/>
        <color theme="1"/>
        <name val="Calibri"/>
        <scheme val="none"/>
      </font>
      <numFmt numFmtId="1" formatCode="0"/>
    </dxf>
  </rfmt>
  <rfmt sheetId="1" sqref="AO178" start="0" length="0">
    <dxf>
      <font>
        <sz val="11"/>
        <color theme="1"/>
        <name val="Calibri"/>
        <scheme val="none"/>
      </font>
    </dxf>
  </rfmt>
  <rfmt sheetId="1" sqref="AP178" start="0" length="0">
    <dxf>
      <font>
        <sz val="11"/>
        <color theme="1"/>
        <name val="Calibri"/>
        <scheme val="none"/>
      </font>
    </dxf>
  </rfmt>
  <rfmt sheetId="1" sqref="AQ178" start="0" length="0">
    <dxf>
      <font>
        <sz val="11"/>
        <color theme="1"/>
        <name val="Calibri"/>
        <scheme val="none"/>
      </font>
      <numFmt numFmtId="164" formatCode="_-* #,##0_-;\-* #,##0_-;_-* &quot;-&quot;??_-;_-@_-"/>
    </dxf>
  </rfmt>
  <rfmt sheetId="1" sqref="AR178" start="0" length="0">
    <dxf>
      <font>
        <sz val="11"/>
        <color theme="1"/>
        <name val="Calibri"/>
        <scheme val="none"/>
      </font>
      <numFmt numFmtId="164" formatCode="_-* #,##0_-;\-* #,##0_-;_-* &quot;-&quot;??_-;_-@_-"/>
    </dxf>
  </rfmt>
  <rfmt sheetId="1" sqref="AS178" start="0" length="0">
    <dxf>
      <font>
        <sz val="11"/>
        <color theme="1"/>
        <name val="Calibri"/>
        <scheme val="none"/>
      </font>
      <numFmt numFmtId="164" formatCode="_-* #,##0_-;\-* #,##0_-;_-* &quot;-&quot;??_-;_-@_-"/>
    </dxf>
  </rfmt>
  <rfmt sheetId="1" sqref="AT178" start="0" length="0">
    <dxf>
      <font>
        <sz val="11"/>
        <color theme="1"/>
        <name val="Calibri"/>
        <scheme val="none"/>
      </font>
      <numFmt numFmtId="164" formatCode="_-* #,##0_-;\-* #,##0_-;_-* &quot;-&quot;??_-;_-@_-"/>
    </dxf>
  </rfmt>
  <rfmt sheetId="1" sqref="AU178" start="0" length="0">
    <dxf>
      <font>
        <sz val="11"/>
        <color theme="1"/>
        <name val="Calibri"/>
        <scheme val="none"/>
      </font>
    </dxf>
  </rfmt>
  <rfmt sheetId="1" sqref="AV178" start="0" length="0">
    <dxf>
      <font>
        <sz val="11"/>
        <color theme="1"/>
        <name val="Calibri"/>
        <scheme val="none"/>
      </font>
    </dxf>
  </rfmt>
  <rfmt sheetId="1" sqref="AW178" start="0" length="0">
    <dxf>
      <font>
        <sz val="11"/>
        <color theme="1"/>
        <name val="Calibri"/>
        <scheme val="none"/>
      </font>
    </dxf>
  </rfmt>
  <rfmt sheetId="1" sqref="AX178" start="0" length="0">
    <dxf>
      <font>
        <sz val="11"/>
        <color theme="1"/>
        <name val="Calibri"/>
        <scheme val="none"/>
      </font>
    </dxf>
  </rfmt>
  <rfmt sheetId="1" sqref="AY178" start="0" length="0">
    <dxf>
      <font>
        <sz val="11"/>
        <color theme="1"/>
        <name val="Calibri"/>
        <scheme val="none"/>
      </font>
    </dxf>
  </rfmt>
  <rfmt sheetId="1" sqref="A178:XFD178" start="0" length="0">
    <dxf>
      <font>
        <sz val="11"/>
        <color theme="1"/>
        <name val="Calibri"/>
        <scheme val="none"/>
      </font>
    </dxf>
  </rfmt>
  <rfmt sheetId="1" sqref="A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7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7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79" start="0" length="0">
    <dxf>
      <font>
        <sz val="11"/>
        <color theme="1"/>
        <name val="Calibri"/>
        <scheme val="none"/>
      </font>
    </dxf>
  </rfmt>
  <rfmt sheetId="1" sqref="AM179" start="0" length="0">
    <dxf>
      <font>
        <sz val="11"/>
        <color theme="1"/>
        <name val="Calibri"/>
        <scheme val="none"/>
      </font>
      <numFmt numFmtId="1" formatCode="0"/>
    </dxf>
  </rfmt>
  <rfmt sheetId="1" sqref="AN179" start="0" length="0">
    <dxf>
      <font>
        <sz val="11"/>
        <color theme="1"/>
        <name val="Calibri"/>
        <scheme val="none"/>
      </font>
      <numFmt numFmtId="1" formatCode="0"/>
    </dxf>
  </rfmt>
  <rfmt sheetId="1" sqref="AO179" start="0" length="0">
    <dxf>
      <font>
        <sz val="11"/>
        <color theme="1"/>
        <name val="Calibri"/>
        <scheme val="none"/>
      </font>
    </dxf>
  </rfmt>
  <rfmt sheetId="1" sqref="AP179" start="0" length="0">
    <dxf>
      <font>
        <sz val="11"/>
        <color theme="1"/>
        <name val="Calibri"/>
        <scheme val="none"/>
      </font>
    </dxf>
  </rfmt>
  <rfmt sheetId="1" sqref="AQ179" start="0" length="0">
    <dxf>
      <font>
        <sz val="11"/>
        <color theme="1"/>
        <name val="Calibri"/>
        <scheme val="none"/>
      </font>
      <numFmt numFmtId="164" formatCode="_-* #,##0_-;\-* #,##0_-;_-* &quot;-&quot;??_-;_-@_-"/>
    </dxf>
  </rfmt>
  <rfmt sheetId="1" sqref="AR179" start="0" length="0">
    <dxf>
      <font>
        <sz val="11"/>
        <color theme="1"/>
        <name val="Calibri"/>
        <scheme val="none"/>
      </font>
      <numFmt numFmtId="164" formatCode="_-* #,##0_-;\-* #,##0_-;_-* &quot;-&quot;??_-;_-@_-"/>
    </dxf>
  </rfmt>
  <rfmt sheetId="1" sqref="AS179" start="0" length="0">
    <dxf>
      <font>
        <sz val="11"/>
        <color theme="1"/>
        <name val="Calibri"/>
        <scheme val="none"/>
      </font>
      <numFmt numFmtId="164" formatCode="_-* #,##0_-;\-* #,##0_-;_-* &quot;-&quot;??_-;_-@_-"/>
    </dxf>
  </rfmt>
  <rfmt sheetId="1" sqref="AT179" start="0" length="0">
    <dxf>
      <font>
        <sz val="11"/>
        <color theme="1"/>
        <name val="Calibri"/>
        <scheme val="none"/>
      </font>
      <numFmt numFmtId="164" formatCode="_-* #,##0_-;\-* #,##0_-;_-* &quot;-&quot;??_-;_-@_-"/>
    </dxf>
  </rfmt>
  <rfmt sheetId="1" sqref="AU179" start="0" length="0">
    <dxf>
      <font>
        <sz val="11"/>
        <color theme="1"/>
        <name val="Calibri"/>
        <scheme val="none"/>
      </font>
    </dxf>
  </rfmt>
  <rfmt sheetId="1" sqref="AV179" start="0" length="0">
    <dxf>
      <font>
        <sz val="11"/>
        <color theme="1"/>
        <name val="Calibri"/>
        <scheme val="none"/>
      </font>
    </dxf>
  </rfmt>
  <rfmt sheetId="1" sqref="AW179" start="0" length="0">
    <dxf>
      <font>
        <sz val="11"/>
        <color theme="1"/>
        <name val="Calibri"/>
        <scheme val="none"/>
      </font>
    </dxf>
  </rfmt>
  <rfmt sheetId="1" sqref="AX179" start="0" length="0">
    <dxf>
      <font>
        <sz val="11"/>
        <color theme="1"/>
        <name val="Calibri"/>
        <scheme val="none"/>
      </font>
    </dxf>
  </rfmt>
  <rfmt sheetId="1" sqref="AY179" start="0" length="0">
    <dxf>
      <font>
        <sz val="11"/>
        <color theme="1"/>
        <name val="Calibri"/>
        <scheme val="none"/>
      </font>
    </dxf>
  </rfmt>
  <rfmt sheetId="1" sqref="A179:XFD179" start="0" length="0">
    <dxf>
      <font>
        <sz val="11"/>
        <color theme="1"/>
        <name val="Calibri"/>
        <scheme val="none"/>
      </font>
    </dxf>
  </rfmt>
  <rfmt sheetId="1" sqref="A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8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8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80" start="0" length="0">
    <dxf>
      <font>
        <sz val="11"/>
        <color theme="1"/>
        <name val="Calibri"/>
        <scheme val="none"/>
      </font>
    </dxf>
  </rfmt>
  <rfmt sheetId="1" sqref="AM180" start="0" length="0">
    <dxf>
      <font>
        <sz val="11"/>
        <color theme="1"/>
        <name val="Calibri"/>
        <scheme val="none"/>
      </font>
      <numFmt numFmtId="1" formatCode="0"/>
    </dxf>
  </rfmt>
  <rfmt sheetId="1" sqref="AN180" start="0" length="0">
    <dxf>
      <font>
        <sz val="11"/>
        <color theme="1"/>
        <name val="Calibri"/>
        <scheme val="none"/>
      </font>
      <numFmt numFmtId="1" formatCode="0"/>
    </dxf>
  </rfmt>
  <rfmt sheetId="1" sqref="AO180" start="0" length="0">
    <dxf>
      <font>
        <sz val="11"/>
        <color theme="1"/>
        <name val="Calibri"/>
        <scheme val="none"/>
      </font>
    </dxf>
  </rfmt>
  <rfmt sheetId="1" sqref="AP180" start="0" length="0">
    <dxf>
      <font>
        <sz val="11"/>
        <color theme="1"/>
        <name val="Calibri"/>
        <scheme val="none"/>
      </font>
    </dxf>
  </rfmt>
  <rfmt sheetId="1" sqref="AQ180" start="0" length="0">
    <dxf>
      <font>
        <sz val="11"/>
        <color theme="1"/>
        <name val="Calibri"/>
        <scheme val="none"/>
      </font>
      <numFmt numFmtId="164" formatCode="_-* #,##0_-;\-* #,##0_-;_-* &quot;-&quot;??_-;_-@_-"/>
    </dxf>
  </rfmt>
  <rfmt sheetId="1" sqref="AR180" start="0" length="0">
    <dxf>
      <font>
        <sz val="11"/>
        <color theme="1"/>
        <name val="Calibri"/>
        <scheme val="none"/>
      </font>
      <numFmt numFmtId="164" formatCode="_-* #,##0_-;\-* #,##0_-;_-* &quot;-&quot;??_-;_-@_-"/>
    </dxf>
  </rfmt>
  <rfmt sheetId="1" sqref="AS180" start="0" length="0">
    <dxf>
      <font>
        <sz val="11"/>
        <color theme="1"/>
        <name val="Calibri"/>
        <scheme val="none"/>
      </font>
      <numFmt numFmtId="164" formatCode="_-* #,##0_-;\-* #,##0_-;_-* &quot;-&quot;??_-;_-@_-"/>
    </dxf>
  </rfmt>
  <rfmt sheetId="1" sqref="AT180" start="0" length="0">
    <dxf>
      <font>
        <sz val="11"/>
        <color theme="1"/>
        <name val="Calibri"/>
        <scheme val="none"/>
      </font>
      <numFmt numFmtId="164" formatCode="_-* #,##0_-;\-* #,##0_-;_-* &quot;-&quot;??_-;_-@_-"/>
    </dxf>
  </rfmt>
  <rfmt sheetId="1" sqref="AU180" start="0" length="0">
    <dxf>
      <font>
        <sz val="11"/>
        <color theme="1"/>
        <name val="Calibri"/>
        <scheme val="none"/>
      </font>
    </dxf>
  </rfmt>
  <rfmt sheetId="1" sqref="AV180" start="0" length="0">
    <dxf>
      <font>
        <sz val="11"/>
        <color theme="1"/>
        <name val="Calibri"/>
        <scheme val="none"/>
      </font>
    </dxf>
  </rfmt>
  <rfmt sheetId="1" sqref="AW180" start="0" length="0">
    <dxf>
      <font>
        <sz val="11"/>
        <color theme="1"/>
        <name val="Calibri"/>
        <scheme val="none"/>
      </font>
    </dxf>
  </rfmt>
  <rfmt sheetId="1" sqref="AX180" start="0" length="0">
    <dxf>
      <font>
        <sz val="11"/>
        <color theme="1"/>
        <name val="Calibri"/>
        <scheme val="none"/>
      </font>
    </dxf>
  </rfmt>
  <rfmt sheetId="1" sqref="AY180" start="0" length="0">
    <dxf>
      <font>
        <sz val="11"/>
        <color theme="1"/>
        <name val="Calibri"/>
        <scheme val="none"/>
      </font>
    </dxf>
  </rfmt>
  <rfmt sheetId="1" sqref="A180:XFD180" start="0" length="0">
    <dxf>
      <font>
        <sz val="11"/>
        <color theme="1"/>
        <name val="Calibri"/>
        <scheme val="none"/>
      </font>
    </dxf>
  </rfmt>
  <rfmt sheetId="1" sqref="A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8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8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81" start="0" length="0">
    <dxf>
      <font>
        <sz val="11"/>
        <color theme="1"/>
        <name val="Calibri"/>
        <scheme val="none"/>
      </font>
    </dxf>
  </rfmt>
  <rfmt sheetId="1" sqref="AM181" start="0" length="0">
    <dxf>
      <font>
        <sz val="11"/>
        <color theme="1"/>
        <name val="Calibri"/>
        <scheme val="none"/>
      </font>
      <numFmt numFmtId="1" formatCode="0"/>
    </dxf>
  </rfmt>
  <rfmt sheetId="1" sqref="AN181" start="0" length="0">
    <dxf>
      <font>
        <sz val="11"/>
        <color theme="1"/>
        <name val="Calibri"/>
        <scheme val="none"/>
      </font>
      <numFmt numFmtId="1" formatCode="0"/>
    </dxf>
  </rfmt>
  <rfmt sheetId="1" sqref="AO181" start="0" length="0">
    <dxf>
      <font>
        <sz val="11"/>
        <color theme="1"/>
        <name val="Calibri"/>
        <scheme val="none"/>
      </font>
    </dxf>
  </rfmt>
  <rfmt sheetId="1" sqref="AP181" start="0" length="0">
    <dxf>
      <font>
        <sz val="11"/>
        <color theme="1"/>
        <name val="Calibri"/>
        <scheme val="none"/>
      </font>
    </dxf>
  </rfmt>
  <rfmt sheetId="1" sqref="AQ181" start="0" length="0">
    <dxf>
      <font>
        <sz val="11"/>
        <color theme="1"/>
        <name val="Calibri"/>
        <scheme val="none"/>
      </font>
      <numFmt numFmtId="164" formatCode="_-* #,##0_-;\-* #,##0_-;_-* &quot;-&quot;??_-;_-@_-"/>
    </dxf>
  </rfmt>
  <rfmt sheetId="1" sqref="AR181" start="0" length="0">
    <dxf>
      <font>
        <sz val="11"/>
        <color theme="1"/>
        <name val="Calibri"/>
        <scheme val="none"/>
      </font>
      <numFmt numFmtId="164" formatCode="_-* #,##0_-;\-* #,##0_-;_-* &quot;-&quot;??_-;_-@_-"/>
    </dxf>
  </rfmt>
  <rfmt sheetId="1" sqref="AS181" start="0" length="0">
    <dxf>
      <font>
        <sz val="11"/>
        <color theme="1"/>
        <name val="Calibri"/>
        <scheme val="none"/>
      </font>
      <numFmt numFmtId="164" formatCode="_-* #,##0_-;\-* #,##0_-;_-* &quot;-&quot;??_-;_-@_-"/>
    </dxf>
  </rfmt>
  <rfmt sheetId="1" sqref="AT181" start="0" length="0">
    <dxf>
      <font>
        <sz val="11"/>
        <color theme="1"/>
        <name val="Calibri"/>
        <scheme val="none"/>
      </font>
      <numFmt numFmtId="164" formatCode="_-* #,##0_-;\-* #,##0_-;_-* &quot;-&quot;??_-;_-@_-"/>
    </dxf>
  </rfmt>
  <rfmt sheetId="1" sqref="AU181" start="0" length="0">
    <dxf>
      <font>
        <sz val="11"/>
        <color theme="1"/>
        <name val="Calibri"/>
        <scheme val="none"/>
      </font>
    </dxf>
  </rfmt>
  <rfmt sheetId="1" sqref="AV181" start="0" length="0">
    <dxf>
      <font>
        <sz val="11"/>
        <color theme="1"/>
        <name val="Calibri"/>
        <scheme val="none"/>
      </font>
    </dxf>
  </rfmt>
  <rfmt sheetId="1" sqref="AW181" start="0" length="0">
    <dxf>
      <font>
        <sz val="11"/>
        <color theme="1"/>
        <name val="Calibri"/>
        <scheme val="none"/>
      </font>
    </dxf>
  </rfmt>
  <rfmt sheetId="1" sqref="AX181" start="0" length="0">
    <dxf>
      <font>
        <sz val="11"/>
        <color theme="1"/>
        <name val="Calibri"/>
        <scheme val="none"/>
      </font>
    </dxf>
  </rfmt>
  <rfmt sheetId="1" sqref="AY181" start="0" length="0">
    <dxf>
      <font>
        <sz val="11"/>
        <color theme="1"/>
        <name val="Calibri"/>
        <scheme val="none"/>
      </font>
    </dxf>
  </rfmt>
  <rfmt sheetId="1" sqref="A181:XFD181" start="0" length="0">
    <dxf>
      <font>
        <sz val="11"/>
        <color theme="1"/>
        <name val="Calibri"/>
        <scheme val="none"/>
      </font>
    </dxf>
  </rfmt>
  <rfmt sheetId="1" sqref="A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8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8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82" start="0" length="0">
    <dxf>
      <font>
        <sz val="11"/>
        <color theme="1"/>
        <name val="Calibri"/>
        <scheme val="none"/>
      </font>
    </dxf>
  </rfmt>
  <rfmt sheetId="1" sqref="AM182" start="0" length="0">
    <dxf>
      <font>
        <sz val="11"/>
        <color theme="1"/>
        <name val="Calibri"/>
        <scheme val="none"/>
      </font>
      <numFmt numFmtId="1" formatCode="0"/>
    </dxf>
  </rfmt>
  <rfmt sheetId="1" sqref="AN182" start="0" length="0">
    <dxf>
      <font>
        <sz val="11"/>
        <color theme="1"/>
        <name val="Calibri"/>
        <scheme val="none"/>
      </font>
      <numFmt numFmtId="1" formatCode="0"/>
    </dxf>
  </rfmt>
  <rfmt sheetId="1" sqref="AO182" start="0" length="0">
    <dxf>
      <font>
        <sz val="11"/>
        <color theme="1"/>
        <name val="Calibri"/>
        <scheme val="none"/>
      </font>
    </dxf>
  </rfmt>
  <rfmt sheetId="1" sqref="AP182" start="0" length="0">
    <dxf>
      <font>
        <sz val="11"/>
        <color theme="1"/>
        <name val="Calibri"/>
        <scheme val="none"/>
      </font>
    </dxf>
  </rfmt>
  <rfmt sheetId="1" sqref="AQ182" start="0" length="0">
    <dxf>
      <font>
        <sz val="11"/>
        <color theme="1"/>
        <name val="Calibri"/>
        <scheme val="none"/>
      </font>
      <numFmt numFmtId="164" formatCode="_-* #,##0_-;\-* #,##0_-;_-* &quot;-&quot;??_-;_-@_-"/>
    </dxf>
  </rfmt>
  <rfmt sheetId="1" sqref="AR182" start="0" length="0">
    <dxf>
      <font>
        <sz val="11"/>
        <color theme="1"/>
        <name val="Calibri"/>
        <scheme val="none"/>
      </font>
      <numFmt numFmtId="164" formatCode="_-* #,##0_-;\-* #,##0_-;_-* &quot;-&quot;??_-;_-@_-"/>
    </dxf>
  </rfmt>
  <rfmt sheetId="1" sqref="AS182" start="0" length="0">
    <dxf>
      <font>
        <sz val="11"/>
        <color theme="1"/>
        <name val="Calibri"/>
        <scheme val="none"/>
      </font>
      <numFmt numFmtId="164" formatCode="_-* #,##0_-;\-* #,##0_-;_-* &quot;-&quot;??_-;_-@_-"/>
    </dxf>
  </rfmt>
  <rfmt sheetId="1" sqref="AT182" start="0" length="0">
    <dxf>
      <font>
        <sz val="11"/>
        <color theme="1"/>
        <name val="Calibri"/>
        <scheme val="none"/>
      </font>
      <numFmt numFmtId="164" formatCode="_-* #,##0_-;\-* #,##0_-;_-* &quot;-&quot;??_-;_-@_-"/>
    </dxf>
  </rfmt>
  <rfmt sheetId="1" sqref="AU182" start="0" length="0">
    <dxf>
      <font>
        <sz val="11"/>
        <color theme="1"/>
        <name val="Calibri"/>
        <scheme val="none"/>
      </font>
    </dxf>
  </rfmt>
  <rfmt sheetId="1" sqref="AV182" start="0" length="0">
    <dxf>
      <font>
        <sz val="11"/>
        <color theme="1"/>
        <name val="Calibri"/>
        <scheme val="none"/>
      </font>
    </dxf>
  </rfmt>
  <rfmt sheetId="1" sqref="AW182" start="0" length="0">
    <dxf>
      <font>
        <sz val="11"/>
        <color theme="1"/>
        <name val="Calibri"/>
        <scheme val="none"/>
      </font>
    </dxf>
  </rfmt>
  <rfmt sheetId="1" sqref="AX182" start="0" length="0">
    <dxf>
      <font>
        <sz val="11"/>
        <color theme="1"/>
        <name val="Calibri"/>
        <scheme val="none"/>
      </font>
    </dxf>
  </rfmt>
  <rfmt sheetId="1" sqref="AY182" start="0" length="0">
    <dxf>
      <font>
        <sz val="11"/>
        <color theme="1"/>
        <name val="Calibri"/>
        <scheme val="none"/>
      </font>
    </dxf>
  </rfmt>
  <rfmt sheetId="1" sqref="A182:XFD182" start="0" length="0">
    <dxf>
      <font>
        <sz val="11"/>
        <color theme="1"/>
        <name val="Calibri"/>
        <scheme val="none"/>
      </font>
    </dxf>
  </rfmt>
  <rfmt sheetId="1" sqref="A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8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8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83" start="0" length="0">
    <dxf>
      <font>
        <sz val="11"/>
        <color theme="1"/>
        <name val="Calibri"/>
        <scheme val="none"/>
      </font>
    </dxf>
  </rfmt>
  <rfmt sheetId="1" sqref="AM183" start="0" length="0">
    <dxf>
      <font>
        <sz val="11"/>
        <color theme="1"/>
        <name val="Calibri"/>
        <scheme val="none"/>
      </font>
      <numFmt numFmtId="1" formatCode="0"/>
    </dxf>
  </rfmt>
  <rfmt sheetId="1" sqref="AN183" start="0" length="0">
    <dxf>
      <font>
        <sz val="11"/>
        <color theme="1"/>
        <name val="Calibri"/>
        <scheme val="none"/>
      </font>
      <numFmt numFmtId="1" formatCode="0"/>
    </dxf>
  </rfmt>
  <rfmt sheetId="1" sqref="AO183" start="0" length="0">
    <dxf>
      <font>
        <sz val="11"/>
        <color theme="1"/>
        <name val="Calibri"/>
        <scheme val="none"/>
      </font>
    </dxf>
  </rfmt>
  <rfmt sheetId="1" sqref="AP183" start="0" length="0">
    <dxf>
      <font>
        <sz val="11"/>
        <color theme="1"/>
        <name val="Calibri"/>
        <scheme val="none"/>
      </font>
    </dxf>
  </rfmt>
  <rfmt sheetId="1" sqref="AQ183" start="0" length="0">
    <dxf>
      <font>
        <sz val="11"/>
        <color theme="1"/>
        <name val="Calibri"/>
        <scheme val="none"/>
      </font>
      <numFmt numFmtId="164" formatCode="_-* #,##0_-;\-* #,##0_-;_-* &quot;-&quot;??_-;_-@_-"/>
    </dxf>
  </rfmt>
  <rfmt sheetId="1" sqref="AR183" start="0" length="0">
    <dxf>
      <font>
        <sz val="11"/>
        <color theme="1"/>
        <name val="Calibri"/>
        <scheme val="none"/>
      </font>
      <numFmt numFmtId="164" formatCode="_-* #,##0_-;\-* #,##0_-;_-* &quot;-&quot;??_-;_-@_-"/>
    </dxf>
  </rfmt>
  <rfmt sheetId="1" sqref="AS183" start="0" length="0">
    <dxf>
      <font>
        <sz val="11"/>
        <color theme="1"/>
        <name val="Calibri"/>
        <scheme val="none"/>
      </font>
      <numFmt numFmtId="164" formatCode="_-* #,##0_-;\-* #,##0_-;_-* &quot;-&quot;??_-;_-@_-"/>
    </dxf>
  </rfmt>
  <rfmt sheetId="1" sqref="AT183" start="0" length="0">
    <dxf>
      <font>
        <sz val="11"/>
        <color theme="1"/>
        <name val="Calibri"/>
        <scheme val="none"/>
      </font>
      <numFmt numFmtId="164" formatCode="_-* #,##0_-;\-* #,##0_-;_-* &quot;-&quot;??_-;_-@_-"/>
    </dxf>
  </rfmt>
  <rfmt sheetId="1" sqref="AU183" start="0" length="0">
    <dxf>
      <font>
        <sz val="11"/>
        <color theme="1"/>
        <name val="Calibri"/>
        <scheme val="none"/>
      </font>
    </dxf>
  </rfmt>
  <rfmt sheetId="1" sqref="AV183" start="0" length="0">
    <dxf>
      <font>
        <sz val="11"/>
        <color theme="1"/>
        <name val="Calibri"/>
        <scheme val="none"/>
      </font>
    </dxf>
  </rfmt>
  <rfmt sheetId="1" sqref="AW183" start="0" length="0">
    <dxf>
      <font>
        <sz val="11"/>
        <color theme="1"/>
        <name val="Calibri"/>
        <scheme val="none"/>
      </font>
    </dxf>
  </rfmt>
  <rfmt sheetId="1" sqref="AX183" start="0" length="0">
    <dxf>
      <font>
        <sz val="11"/>
        <color theme="1"/>
        <name val="Calibri"/>
        <scheme val="none"/>
      </font>
    </dxf>
  </rfmt>
  <rfmt sheetId="1" sqref="AY183" start="0" length="0">
    <dxf>
      <font>
        <sz val="11"/>
        <color theme="1"/>
        <name val="Calibri"/>
        <scheme val="none"/>
      </font>
    </dxf>
  </rfmt>
  <rfmt sheetId="1" sqref="A183:XFD183" start="0" length="0">
    <dxf>
      <font>
        <sz val="11"/>
        <color theme="1"/>
        <name val="Calibri"/>
        <scheme val="none"/>
      </font>
    </dxf>
  </rfmt>
  <rfmt sheetId="1" sqref="A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8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8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84" start="0" length="0">
    <dxf>
      <font>
        <sz val="11"/>
        <color theme="1"/>
        <name val="Calibri"/>
        <scheme val="none"/>
      </font>
    </dxf>
  </rfmt>
  <rfmt sheetId="1" sqref="AM184" start="0" length="0">
    <dxf>
      <font>
        <sz val="11"/>
        <color theme="1"/>
        <name val="Calibri"/>
        <scheme val="none"/>
      </font>
      <numFmt numFmtId="1" formatCode="0"/>
    </dxf>
  </rfmt>
  <rfmt sheetId="1" sqref="AN184" start="0" length="0">
    <dxf>
      <font>
        <sz val="11"/>
        <color theme="1"/>
        <name val="Calibri"/>
        <scheme val="none"/>
      </font>
      <numFmt numFmtId="1" formatCode="0"/>
    </dxf>
  </rfmt>
  <rfmt sheetId="1" sqref="AO184" start="0" length="0">
    <dxf>
      <font>
        <sz val="11"/>
        <color theme="1"/>
        <name val="Calibri"/>
        <scheme val="none"/>
      </font>
    </dxf>
  </rfmt>
  <rfmt sheetId="1" sqref="AP184" start="0" length="0">
    <dxf>
      <font>
        <sz val="11"/>
        <color theme="1"/>
        <name val="Calibri"/>
        <scheme val="none"/>
      </font>
    </dxf>
  </rfmt>
  <rfmt sheetId="1" sqref="AQ184" start="0" length="0">
    <dxf>
      <font>
        <sz val="11"/>
        <color theme="1"/>
        <name val="Calibri"/>
        <scheme val="none"/>
      </font>
      <numFmt numFmtId="164" formatCode="_-* #,##0_-;\-* #,##0_-;_-* &quot;-&quot;??_-;_-@_-"/>
    </dxf>
  </rfmt>
  <rfmt sheetId="1" sqref="AR184" start="0" length="0">
    <dxf>
      <font>
        <sz val="11"/>
        <color theme="1"/>
        <name val="Calibri"/>
        <scheme val="none"/>
      </font>
      <numFmt numFmtId="164" formatCode="_-* #,##0_-;\-* #,##0_-;_-* &quot;-&quot;??_-;_-@_-"/>
    </dxf>
  </rfmt>
  <rfmt sheetId="1" sqref="AS184" start="0" length="0">
    <dxf>
      <font>
        <sz val="11"/>
        <color theme="1"/>
        <name val="Calibri"/>
        <scheme val="none"/>
      </font>
      <numFmt numFmtId="164" formatCode="_-* #,##0_-;\-* #,##0_-;_-* &quot;-&quot;??_-;_-@_-"/>
    </dxf>
  </rfmt>
  <rfmt sheetId="1" sqref="AT184" start="0" length="0">
    <dxf>
      <font>
        <sz val="11"/>
        <color theme="1"/>
        <name val="Calibri"/>
        <scheme val="none"/>
      </font>
      <numFmt numFmtId="164" formatCode="_-* #,##0_-;\-* #,##0_-;_-* &quot;-&quot;??_-;_-@_-"/>
    </dxf>
  </rfmt>
  <rfmt sheetId="1" sqref="AU184" start="0" length="0">
    <dxf>
      <font>
        <sz val="11"/>
        <color theme="1"/>
        <name val="Calibri"/>
        <scheme val="none"/>
      </font>
    </dxf>
  </rfmt>
  <rfmt sheetId="1" sqref="AV184" start="0" length="0">
    <dxf>
      <font>
        <sz val="11"/>
        <color theme="1"/>
        <name val="Calibri"/>
        <scheme val="none"/>
      </font>
    </dxf>
  </rfmt>
  <rfmt sheetId="1" sqref="AW184" start="0" length="0">
    <dxf>
      <font>
        <sz val="11"/>
        <color theme="1"/>
        <name val="Calibri"/>
        <scheme val="none"/>
      </font>
    </dxf>
  </rfmt>
  <rfmt sheetId="1" sqref="AX184" start="0" length="0">
    <dxf>
      <font>
        <sz val="11"/>
        <color theme="1"/>
        <name val="Calibri"/>
        <scheme val="none"/>
      </font>
    </dxf>
  </rfmt>
  <rfmt sheetId="1" sqref="AY184" start="0" length="0">
    <dxf>
      <font>
        <sz val="11"/>
        <color theme="1"/>
        <name val="Calibri"/>
        <scheme val="none"/>
      </font>
    </dxf>
  </rfmt>
  <rfmt sheetId="1" sqref="A184:XFD184" start="0" length="0">
    <dxf>
      <font>
        <sz val="11"/>
        <color theme="1"/>
        <name val="Calibri"/>
        <scheme val="none"/>
      </font>
    </dxf>
  </rfmt>
  <rfmt sheetId="1" sqref="A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8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8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85" start="0" length="0">
    <dxf>
      <font>
        <sz val="11"/>
        <color theme="1"/>
        <name val="Calibri"/>
        <scheme val="none"/>
      </font>
    </dxf>
  </rfmt>
  <rfmt sheetId="1" sqref="AM185" start="0" length="0">
    <dxf>
      <font>
        <sz val="11"/>
        <color theme="1"/>
        <name val="Calibri"/>
        <scheme val="none"/>
      </font>
      <numFmt numFmtId="1" formatCode="0"/>
    </dxf>
  </rfmt>
  <rfmt sheetId="1" sqref="AN185" start="0" length="0">
    <dxf>
      <font>
        <sz val="11"/>
        <color theme="1"/>
        <name val="Calibri"/>
        <scheme val="none"/>
      </font>
      <numFmt numFmtId="1" formatCode="0"/>
    </dxf>
  </rfmt>
  <rfmt sheetId="1" sqref="AO185" start="0" length="0">
    <dxf>
      <font>
        <sz val="11"/>
        <color theme="1"/>
        <name val="Calibri"/>
        <scheme val="none"/>
      </font>
    </dxf>
  </rfmt>
  <rfmt sheetId="1" sqref="AP185" start="0" length="0">
    <dxf>
      <font>
        <sz val="11"/>
        <color theme="1"/>
        <name val="Calibri"/>
        <scheme val="none"/>
      </font>
    </dxf>
  </rfmt>
  <rfmt sheetId="1" sqref="AQ185" start="0" length="0">
    <dxf>
      <font>
        <sz val="11"/>
        <color theme="1"/>
        <name val="Calibri"/>
        <scheme val="none"/>
      </font>
      <numFmt numFmtId="164" formatCode="_-* #,##0_-;\-* #,##0_-;_-* &quot;-&quot;??_-;_-@_-"/>
    </dxf>
  </rfmt>
  <rfmt sheetId="1" sqref="AR185" start="0" length="0">
    <dxf>
      <font>
        <sz val="11"/>
        <color theme="1"/>
        <name val="Calibri"/>
        <scheme val="none"/>
      </font>
      <numFmt numFmtId="164" formatCode="_-* #,##0_-;\-* #,##0_-;_-* &quot;-&quot;??_-;_-@_-"/>
    </dxf>
  </rfmt>
  <rfmt sheetId="1" sqref="AS185" start="0" length="0">
    <dxf>
      <font>
        <sz val="11"/>
        <color theme="1"/>
        <name val="Calibri"/>
        <scheme val="none"/>
      </font>
      <numFmt numFmtId="164" formatCode="_-* #,##0_-;\-* #,##0_-;_-* &quot;-&quot;??_-;_-@_-"/>
    </dxf>
  </rfmt>
  <rfmt sheetId="1" sqref="AT185" start="0" length="0">
    <dxf>
      <font>
        <sz val="11"/>
        <color theme="1"/>
        <name val="Calibri"/>
        <scheme val="none"/>
      </font>
      <numFmt numFmtId="164" formatCode="_-* #,##0_-;\-* #,##0_-;_-* &quot;-&quot;??_-;_-@_-"/>
    </dxf>
  </rfmt>
  <rfmt sheetId="1" sqref="AU185" start="0" length="0">
    <dxf>
      <font>
        <sz val="11"/>
        <color theme="1"/>
        <name val="Calibri"/>
        <scheme val="none"/>
      </font>
    </dxf>
  </rfmt>
  <rfmt sheetId="1" sqref="AV185" start="0" length="0">
    <dxf>
      <font>
        <sz val="11"/>
        <color theme="1"/>
        <name val="Calibri"/>
        <scheme val="none"/>
      </font>
    </dxf>
  </rfmt>
  <rfmt sheetId="1" sqref="AW185" start="0" length="0">
    <dxf>
      <font>
        <sz val="11"/>
        <color theme="1"/>
        <name val="Calibri"/>
        <scheme val="none"/>
      </font>
    </dxf>
  </rfmt>
  <rfmt sheetId="1" sqref="AX185" start="0" length="0">
    <dxf>
      <font>
        <sz val="11"/>
        <color theme="1"/>
        <name val="Calibri"/>
        <scheme val="none"/>
      </font>
    </dxf>
  </rfmt>
  <rfmt sheetId="1" sqref="AY185" start="0" length="0">
    <dxf>
      <font>
        <sz val="11"/>
        <color theme="1"/>
        <name val="Calibri"/>
        <scheme val="none"/>
      </font>
    </dxf>
  </rfmt>
  <rfmt sheetId="1" sqref="A185:XFD185" start="0" length="0">
    <dxf>
      <font>
        <sz val="11"/>
        <color theme="1"/>
        <name val="Calibri"/>
        <scheme val="none"/>
      </font>
    </dxf>
  </rfmt>
  <rfmt sheetId="1" sqref="A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8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8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86" start="0" length="0">
    <dxf>
      <font>
        <sz val="11"/>
        <color theme="1"/>
        <name val="Calibri"/>
        <scheme val="none"/>
      </font>
    </dxf>
  </rfmt>
  <rfmt sheetId="1" sqref="AM186" start="0" length="0">
    <dxf>
      <font>
        <sz val="11"/>
        <color theme="1"/>
        <name val="Calibri"/>
        <scheme val="none"/>
      </font>
      <numFmt numFmtId="1" formatCode="0"/>
    </dxf>
  </rfmt>
  <rfmt sheetId="1" sqref="AN186" start="0" length="0">
    <dxf>
      <font>
        <sz val="11"/>
        <color theme="1"/>
        <name val="Calibri"/>
        <scheme val="none"/>
      </font>
      <numFmt numFmtId="1" formatCode="0"/>
    </dxf>
  </rfmt>
  <rfmt sheetId="1" sqref="AO186" start="0" length="0">
    <dxf>
      <font>
        <sz val="11"/>
        <color theme="1"/>
        <name val="Calibri"/>
        <scheme val="none"/>
      </font>
    </dxf>
  </rfmt>
  <rfmt sheetId="1" sqref="AP186" start="0" length="0">
    <dxf>
      <font>
        <sz val="11"/>
        <color theme="1"/>
        <name val="Calibri"/>
        <scheme val="none"/>
      </font>
    </dxf>
  </rfmt>
  <rfmt sheetId="1" sqref="AQ186" start="0" length="0">
    <dxf>
      <font>
        <sz val="11"/>
        <color theme="1"/>
        <name val="Calibri"/>
        <scheme val="none"/>
      </font>
      <numFmt numFmtId="164" formatCode="_-* #,##0_-;\-* #,##0_-;_-* &quot;-&quot;??_-;_-@_-"/>
    </dxf>
  </rfmt>
  <rfmt sheetId="1" sqref="AR186" start="0" length="0">
    <dxf>
      <font>
        <sz val="11"/>
        <color theme="1"/>
        <name val="Calibri"/>
        <scheme val="none"/>
      </font>
      <numFmt numFmtId="164" formatCode="_-* #,##0_-;\-* #,##0_-;_-* &quot;-&quot;??_-;_-@_-"/>
    </dxf>
  </rfmt>
  <rfmt sheetId="1" sqref="AS186" start="0" length="0">
    <dxf>
      <font>
        <sz val="11"/>
        <color theme="1"/>
        <name val="Calibri"/>
        <scheme val="none"/>
      </font>
      <numFmt numFmtId="164" formatCode="_-* #,##0_-;\-* #,##0_-;_-* &quot;-&quot;??_-;_-@_-"/>
    </dxf>
  </rfmt>
  <rfmt sheetId="1" sqref="AT186" start="0" length="0">
    <dxf>
      <font>
        <sz val="11"/>
        <color theme="1"/>
        <name val="Calibri"/>
        <scheme val="none"/>
      </font>
      <numFmt numFmtId="164" formatCode="_-* #,##0_-;\-* #,##0_-;_-* &quot;-&quot;??_-;_-@_-"/>
    </dxf>
  </rfmt>
  <rfmt sheetId="1" sqref="AU186" start="0" length="0">
    <dxf>
      <font>
        <sz val="11"/>
        <color theme="1"/>
        <name val="Calibri"/>
        <scheme val="none"/>
      </font>
    </dxf>
  </rfmt>
  <rfmt sheetId="1" sqref="AV186" start="0" length="0">
    <dxf>
      <font>
        <sz val="11"/>
        <color theme="1"/>
        <name val="Calibri"/>
        <scheme val="none"/>
      </font>
    </dxf>
  </rfmt>
  <rfmt sheetId="1" sqref="AW186" start="0" length="0">
    <dxf>
      <font>
        <sz val="11"/>
        <color theme="1"/>
        <name val="Calibri"/>
        <scheme val="none"/>
      </font>
    </dxf>
  </rfmt>
  <rfmt sheetId="1" sqref="AX186" start="0" length="0">
    <dxf>
      <font>
        <sz val="11"/>
        <color theme="1"/>
        <name val="Calibri"/>
        <scheme val="none"/>
      </font>
    </dxf>
  </rfmt>
  <rfmt sheetId="1" sqref="AY186" start="0" length="0">
    <dxf>
      <font>
        <sz val="11"/>
        <color theme="1"/>
        <name val="Calibri"/>
        <scheme val="none"/>
      </font>
    </dxf>
  </rfmt>
  <rfmt sheetId="1" sqref="A186:XFD186" start="0" length="0">
    <dxf>
      <font>
        <sz val="11"/>
        <color theme="1"/>
        <name val="Calibri"/>
        <scheme val="none"/>
      </font>
    </dxf>
  </rfmt>
  <rfmt sheetId="1" sqref="A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8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8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87" start="0" length="0">
    <dxf>
      <font>
        <sz val="11"/>
        <color theme="1"/>
        <name val="Calibri"/>
        <scheme val="none"/>
      </font>
    </dxf>
  </rfmt>
  <rfmt sheetId="1" sqref="AM187" start="0" length="0">
    <dxf>
      <font>
        <sz val="11"/>
        <color theme="1"/>
        <name val="Calibri"/>
        <scheme val="none"/>
      </font>
      <numFmt numFmtId="1" formatCode="0"/>
    </dxf>
  </rfmt>
  <rfmt sheetId="1" sqref="AN187" start="0" length="0">
    <dxf>
      <font>
        <sz val="11"/>
        <color theme="1"/>
        <name val="Calibri"/>
        <scheme val="none"/>
      </font>
      <numFmt numFmtId="1" formatCode="0"/>
    </dxf>
  </rfmt>
  <rfmt sheetId="1" sqref="AO187" start="0" length="0">
    <dxf>
      <font>
        <sz val="11"/>
        <color theme="1"/>
        <name val="Calibri"/>
        <scheme val="none"/>
      </font>
    </dxf>
  </rfmt>
  <rfmt sheetId="1" sqref="AP187" start="0" length="0">
    <dxf>
      <font>
        <sz val="11"/>
        <color theme="1"/>
        <name val="Calibri"/>
        <scheme val="none"/>
      </font>
    </dxf>
  </rfmt>
  <rfmt sheetId="1" sqref="AQ187" start="0" length="0">
    <dxf>
      <font>
        <sz val="11"/>
        <color theme="1"/>
        <name val="Calibri"/>
        <scheme val="none"/>
      </font>
      <numFmt numFmtId="164" formatCode="_-* #,##0_-;\-* #,##0_-;_-* &quot;-&quot;??_-;_-@_-"/>
    </dxf>
  </rfmt>
  <rfmt sheetId="1" sqref="AR187" start="0" length="0">
    <dxf>
      <font>
        <sz val="11"/>
        <color theme="1"/>
        <name val="Calibri"/>
        <scheme val="none"/>
      </font>
      <numFmt numFmtId="164" formatCode="_-* #,##0_-;\-* #,##0_-;_-* &quot;-&quot;??_-;_-@_-"/>
    </dxf>
  </rfmt>
  <rfmt sheetId="1" sqref="AS187" start="0" length="0">
    <dxf>
      <font>
        <sz val="11"/>
        <color theme="1"/>
        <name val="Calibri"/>
        <scheme val="none"/>
      </font>
      <numFmt numFmtId="164" formatCode="_-* #,##0_-;\-* #,##0_-;_-* &quot;-&quot;??_-;_-@_-"/>
    </dxf>
  </rfmt>
  <rfmt sheetId="1" sqref="AT187" start="0" length="0">
    <dxf>
      <font>
        <sz val="11"/>
        <color theme="1"/>
        <name val="Calibri"/>
        <scheme val="none"/>
      </font>
      <numFmt numFmtId="164" formatCode="_-* #,##0_-;\-* #,##0_-;_-* &quot;-&quot;??_-;_-@_-"/>
    </dxf>
  </rfmt>
  <rfmt sheetId="1" sqref="AU187" start="0" length="0">
    <dxf>
      <font>
        <sz val="11"/>
        <color theme="1"/>
        <name val="Calibri"/>
        <scheme val="none"/>
      </font>
    </dxf>
  </rfmt>
  <rfmt sheetId="1" sqref="AV187" start="0" length="0">
    <dxf>
      <font>
        <sz val="11"/>
        <color theme="1"/>
        <name val="Calibri"/>
        <scheme val="none"/>
      </font>
    </dxf>
  </rfmt>
  <rfmt sheetId="1" sqref="AW187" start="0" length="0">
    <dxf>
      <font>
        <sz val="11"/>
        <color theme="1"/>
        <name val="Calibri"/>
        <scheme val="none"/>
      </font>
    </dxf>
  </rfmt>
  <rfmt sheetId="1" sqref="AX187" start="0" length="0">
    <dxf>
      <font>
        <sz val="11"/>
        <color theme="1"/>
        <name val="Calibri"/>
        <scheme val="none"/>
      </font>
    </dxf>
  </rfmt>
  <rfmt sheetId="1" sqref="AY187" start="0" length="0">
    <dxf>
      <font>
        <sz val="11"/>
        <color theme="1"/>
        <name val="Calibri"/>
        <scheme val="none"/>
      </font>
    </dxf>
  </rfmt>
  <rfmt sheetId="1" sqref="A187:XFD187" start="0" length="0">
    <dxf>
      <font>
        <sz val="11"/>
        <color theme="1"/>
        <name val="Calibri"/>
        <scheme val="none"/>
      </font>
    </dxf>
  </rfmt>
  <rfmt sheetId="1" sqref="A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8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8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88" start="0" length="0">
    <dxf>
      <font>
        <sz val="11"/>
        <color theme="1"/>
        <name val="Calibri"/>
        <scheme val="none"/>
      </font>
    </dxf>
  </rfmt>
  <rfmt sheetId="1" sqref="AM188" start="0" length="0">
    <dxf>
      <font>
        <sz val="11"/>
        <color theme="1"/>
        <name val="Calibri"/>
        <scheme val="none"/>
      </font>
      <numFmt numFmtId="1" formatCode="0"/>
    </dxf>
  </rfmt>
  <rfmt sheetId="1" sqref="AN188" start="0" length="0">
    <dxf>
      <font>
        <sz val="11"/>
        <color theme="1"/>
        <name val="Calibri"/>
        <scheme val="none"/>
      </font>
      <numFmt numFmtId="1" formatCode="0"/>
    </dxf>
  </rfmt>
  <rfmt sheetId="1" sqref="AO188" start="0" length="0">
    <dxf>
      <font>
        <sz val="11"/>
        <color theme="1"/>
        <name val="Calibri"/>
        <scheme val="none"/>
      </font>
    </dxf>
  </rfmt>
  <rfmt sheetId="1" sqref="AP188" start="0" length="0">
    <dxf>
      <font>
        <sz val="11"/>
        <color theme="1"/>
        <name val="Calibri"/>
        <scheme val="none"/>
      </font>
    </dxf>
  </rfmt>
  <rfmt sheetId="1" sqref="AQ188" start="0" length="0">
    <dxf>
      <font>
        <sz val="11"/>
        <color theme="1"/>
        <name val="Calibri"/>
        <scheme val="none"/>
      </font>
      <numFmt numFmtId="164" formatCode="_-* #,##0_-;\-* #,##0_-;_-* &quot;-&quot;??_-;_-@_-"/>
    </dxf>
  </rfmt>
  <rfmt sheetId="1" sqref="AR188" start="0" length="0">
    <dxf>
      <font>
        <sz val="11"/>
        <color theme="1"/>
        <name val="Calibri"/>
        <scheme val="none"/>
      </font>
      <numFmt numFmtId="164" formatCode="_-* #,##0_-;\-* #,##0_-;_-* &quot;-&quot;??_-;_-@_-"/>
    </dxf>
  </rfmt>
  <rfmt sheetId="1" sqref="AS188" start="0" length="0">
    <dxf>
      <font>
        <sz val="11"/>
        <color theme="1"/>
        <name val="Calibri"/>
        <scheme val="none"/>
      </font>
      <numFmt numFmtId="164" formatCode="_-* #,##0_-;\-* #,##0_-;_-* &quot;-&quot;??_-;_-@_-"/>
    </dxf>
  </rfmt>
  <rfmt sheetId="1" sqref="AT188" start="0" length="0">
    <dxf>
      <font>
        <sz val="11"/>
        <color theme="1"/>
        <name val="Calibri"/>
        <scheme val="none"/>
      </font>
      <numFmt numFmtId="164" formatCode="_-* #,##0_-;\-* #,##0_-;_-* &quot;-&quot;??_-;_-@_-"/>
    </dxf>
  </rfmt>
  <rfmt sheetId="1" sqref="AU188" start="0" length="0">
    <dxf>
      <font>
        <sz val="11"/>
        <color theme="1"/>
        <name val="Calibri"/>
        <scheme val="none"/>
      </font>
    </dxf>
  </rfmt>
  <rfmt sheetId="1" sqref="AV188" start="0" length="0">
    <dxf>
      <font>
        <sz val="11"/>
        <color theme="1"/>
        <name val="Calibri"/>
        <scheme val="none"/>
      </font>
    </dxf>
  </rfmt>
  <rfmt sheetId="1" sqref="AW188" start="0" length="0">
    <dxf>
      <font>
        <sz val="11"/>
        <color theme="1"/>
        <name val="Calibri"/>
        <scheme val="none"/>
      </font>
    </dxf>
  </rfmt>
  <rfmt sheetId="1" sqref="AX188" start="0" length="0">
    <dxf>
      <font>
        <sz val="11"/>
        <color theme="1"/>
        <name val="Calibri"/>
        <scheme val="none"/>
      </font>
    </dxf>
  </rfmt>
  <rfmt sheetId="1" sqref="AY188" start="0" length="0">
    <dxf>
      <font>
        <sz val="11"/>
        <color theme="1"/>
        <name val="Calibri"/>
        <scheme val="none"/>
      </font>
    </dxf>
  </rfmt>
  <rfmt sheetId="1" sqref="A188:XFD188" start="0" length="0">
    <dxf>
      <font>
        <sz val="11"/>
        <color theme="1"/>
        <name val="Calibri"/>
        <scheme val="none"/>
      </font>
    </dxf>
  </rfmt>
  <rfmt sheetId="1" sqref="A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8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8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89" start="0" length="0">
    <dxf>
      <font>
        <sz val="11"/>
        <color theme="1"/>
        <name val="Calibri"/>
        <scheme val="none"/>
      </font>
    </dxf>
  </rfmt>
  <rfmt sheetId="1" sqref="AM189" start="0" length="0">
    <dxf>
      <font>
        <sz val="11"/>
        <color theme="1"/>
        <name val="Calibri"/>
        <scheme val="none"/>
      </font>
      <numFmt numFmtId="1" formatCode="0"/>
    </dxf>
  </rfmt>
  <rfmt sheetId="1" sqref="AN189" start="0" length="0">
    <dxf>
      <font>
        <sz val="11"/>
        <color theme="1"/>
        <name val="Calibri"/>
        <scheme val="none"/>
      </font>
      <numFmt numFmtId="1" formatCode="0"/>
    </dxf>
  </rfmt>
  <rfmt sheetId="1" sqref="AO189" start="0" length="0">
    <dxf>
      <font>
        <sz val="11"/>
        <color theme="1"/>
        <name val="Calibri"/>
        <scheme val="none"/>
      </font>
    </dxf>
  </rfmt>
  <rfmt sheetId="1" sqref="AP189" start="0" length="0">
    <dxf>
      <font>
        <sz val="11"/>
        <color theme="1"/>
        <name val="Calibri"/>
        <scheme val="none"/>
      </font>
    </dxf>
  </rfmt>
  <rfmt sheetId="1" sqref="AQ189" start="0" length="0">
    <dxf>
      <font>
        <sz val="11"/>
        <color theme="1"/>
        <name val="Calibri"/>
        <scheme val="none"/>
      </font>
      <numFmt numFmtId="164" formatCode="_-* #,##0_-;\-* #,##0_-;_-* &quot;-&quot;??_-;_-@_-"/>
    </dxf>
  </rfmt>
  <rfmt sheetId="1" sqref="AR189" start="0" length="0">
    <dxf>
      <font>
        <sz val="11"/>
        <color theme="1"/>
        <name val="Calibri"/>
        <scheme val="none"/>
      </font>
      <numFmt numFmtId="164" formatCode="_-* #,##0_-;\-* #,##0_-;_-* &quot;-&quot;??_-;_-@_-"/>
    </dxf>
  </rfmt>
  <rfmt sheetId="1" sqref="AS189" start="0" length="0">
    <dxf>
      <font>
        <sz val="11"/>
        <color theme="1"/>
        <name val="Calibri"/>
        <scheme val="none"/>
      </font>
      <numFmt numFmtId="164" formatCode="_-* #,##0_-;\-* #,##0_-;_-* &quot;-&quot;??_-;_-@_-"/>
    </dxf>
  </rfmt>
  <rfmt sheetId="1" sqref="AT189" start="0" length="0">
    <dxf>
      <font>
        <sz val="11"/>
        <color theme="1"/>
        <name val="Calibri"/>
        <scheme val="none"/>
      </font>
      <numFmt numFmtId="164" formatCode="_-* #,##0_-;\-* #,##0_-;_-* &quot;-&quot;??_-;_-@_-"/>
    </dxf>
  </rfmt>
  <rfmt sheetId="1" sqref="AU189" start="0" length="0">
    <dxf>
      <font>
        <sz val="11"/>
        <color theme="1"/>
        <name val="Calibri"/>
        <scheme val="none"/>
      </font>
    </dxf>
  </rfmt>
  <rfmt sheetId="1" sqref="AV189" start="0" length="0">
    <dxf>
      <font>
        <sz val="11"/>
        <color theme="1"/>
        <name val="Calibri"/>
        <scheme val="none"/>
      </font>
    </dxf>
  </rfmt>
  <rfmt sheetId="1" sqref="AW189" start="0" length="0">
    <dxf>
      <font>
        <sz val="11"/>
        <color theme="1"/>
        <name val="Calibri"/>
        <scheme val="none"/>
      </font>
    </dxf>
  </rfmt>
  <rfmt sheetId="1" sqref="AX189" start="0" length="0">
    <dxf>
      <font>
        <sz val="11"/>
        <color theme="1"/>
        <name val="Calibri"/>
        <scheme val="none"/>
      </font>
    </dxf>
  </rfmt>
  <rfmt sheetId="1" sqref="AY189" start="0" length="0">
    <dxf>
      <font>
        <sz val="11"/>
        <color theme="1"/>
        <name val="Calibri"/>
        <scheme val="none"/>
      </font>
    </dxf>
  </rfmt>
  <rfmt sheetId="1" sqref="A189:XFD189" start="0" length="0">
    <dxf>
      <font>
        <sz val="11"/>
        <color theme="1"/>
        <name val="Calibri"/>
        <scheme val="none"/>
      </font>
    </dxf>
  </rfmt>
  <rfmt sheetId="1" sqref="A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9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9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90" start="0" length="0">
    <dxf>
      <font>
        <sz val="11"/>
        <color theme="1"/>
        <name val="Calibri"/>
        <scheme val="none"/>
      </font>
    </dxf>
  </rfmt>
  <rfmt sheetId="1" sqref="AM190" start="0" length="0">
    <dxf>
      <font>
        <sz val="11"/>
        <color theme="1"/>
        <name val="Calibri"/>
        <scheme val="none"/>
      </font>
      <numFmt numFmtId="1" formatCode="0"/>
    </dxf>
  </rfmt>
  <rfmt sheetId="1" sqref="AN190" start="0" length="0">
    <dxf>
      <font>
        <sz val="11"/>
        <color theme="1"/>
        <name val="Calibri"/>
        <scheme val="none"/>
      </font>
      <numFmt numFmtId="1" formatCode="0"/>
    </dxf>
  </rfmt>
  <rfmt sheetId="1" sqref="AO190" start="0" length="0">
    <dxf>
      <font>
        <sz val="11"/>
        <color theme="1"/>
        <name val="Calibri"/>
        <scheme val="none"/>
      </font>
    </dxf>
  </rfmt>
  <rfmt sheetId="1" sqref="AP190" start="0" length="0">
    <dxf>
      <font>
        <sz val="11"/>
        <color theme="1"/>
        <name val="Calibri"/>
        <scheme val="none"/>
      </font>
    </dxf>
  </rfmt>
  <rfmt sheetId="1" sqref="AQ190" start="0" length="0">
    <dxf>
      <font>
        <sz val="11"/>
        <color theme="1"/>
        <name val="Calibri"/>
        <scheme val="none"/>
      </font>
      <numFmt numFmtId="164" formatCode="_-* #,##0_-;\-* #,##0_-;_-* &quot;-&quot;??_-;_-@_-"/>
    </dxf>
  </rfmt>
  <rfmt sheetId="1" sqref="AR190" start="0" length="0">
    <dxf>
      <font>
        <sz val="11"/>
        <color theme="1"/>
        <name val="Calibri"/>
        <scheme val="none"/>
      </font>
      <numFmt numFmtId="164" formatCode="_-* #,##0_-;\-* #,##0_-;_-* &quot;-&quot;??_-;_-@_-"/>
    </dxf>
  </rfmt>
  <rfmt sheetId="1" sqref="AS190" start="0" length="0">
    <dxf>
      <font>
        <sz val="11"/>
        <color theme="1"/>
        <name val="Calibri"/>
        <scheme val="none"/>
      </font>
      <numFmt numFmtId="164" formatCode="_-* #,##0_-;\-* #,##0_-;_-* &quot;-&quot;??_-;_-@_-"/>
    </dxf>
  </rfmt>
  <rfmt sheetId="1" sqref="AT190" start="0" length="0">
    <dxf>
      <font>
        <sz val="11"/>
        <color theme="1"/>
        <name val="Calibri"/>
        <scheme val="none"/>
      </font>
      <numFmt numFmtId="164" formatCode="_-* #,##0_-;\-* #,##0_-;_-* &quot;-&quot;??_-;_-@_-"/>
    </dxf>
  </rfmt>
  <rfmt sheetId="1" sqref="AU190" start="0" length="0">
    <dxf>
      <font>
        <sz val="11"/>
        <color theme="1"/>
        <name val="Calibri"/>
        <scheme val="none"/>
      </font>
    </dxf>
  </rfmt>
  <rfmt sheetId="1" sqref="AV190" start="0" length="0">
    <dxf>
      <font>
        <sz val="11"/>
        <color theme="1"/>
        <name val="Calibri"/>
        <scheme val="none"/>
      </font>
    </dxf>
  </rfmt>
  <rfmt sheetId="1" sqref="AW190" start="0" length="0">
    <dxf>
      <font>
        <sz val="11"/>
        <color theme="1"/>
        <name val="Calibri"/>
        <scheme val="none"/>
      </font>
    </dxf>
  </rfmt>
  <rfmt sheetId="1" sqref="AX190" start="0" length="0">
    <dxf>
      <font>
        <sz val="11"/>
        <color theme="1"/>
        <name val="Calibri"/>
        <scheme val="none"/>
      </font>
    </dxf>
  </rfmt>
  <rfmt sheetId="1" sqref="AY190" start="0" length="0">
    <dxf>
      <font>
        <sz val="11"/>
        <color theme="1"/>
        <name val="Calibri"/>
        <scheme val="none"/>
      </font>
    </dxf>
  </rfmt>
  <rfmt sheetId="1" sqref="A190:XFD190" start="0" length="0">
    <dxf>
      <font>
        <sz val="11"/>
        <color theme="1"/>
        <name val="Calibri"/>
        <scheme val="none"/>
      </font>
    </dxf>
  </rfmt>
  <rfmt sheetId="1" sqref="A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9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9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91" start="0" length="0">
    <dxf>
      <font>
        <sz val="11"/>
        <color theme="1"/>
        <name val="Calibri"/>
        <scheme val="none"/>
      </font>
    </dxf>
  </rfmt>
  <rfmt sheetId="1" sqref="AM191" start="0" length="0">
    <dxf>
      <font>
        <sz val="11"/>
        <color theme="1"/>
        <name val="Calibri"/>
        <scheme val="none"/>
      </font>
      <numFmt numFmtId="1" formatCode="0"/>
    </dxf>
  </rfmt>
  <rfmt sheetId="1" sqref="AN191" start="0" length="0">
    <dxf>
      <font>
        <sz val="11"/>
        <color theme="1"/>
        <name val="Calibri"/>
        <scheme val="none"/>
      </font>
      <numFmt numFmtId="1" formatCode="0"/>
    </dxf>
  </rfmt>
  <rfmt sheetId="1" sqref="AO191" start="0" length="0">
    <dxf>
      <font>
        <sz val="11"/>
        <color theme="1"/>
        <name val="Calibri"/>
        <scheme val="none"/>
      </font>
    </dxf>
  </rfmt>
  <rfmt sheetId="1" sqref="AP191" start="0" length="0">
    <dxf>
      <font>
        <sz val="11"/>
        <color theme="1"/>
        <name val="Calibri"/>
        <scheme val="none"/>
      </font>
    </dxf>
  </rfmt>
  <rfmt sheetId="1" sqref="AQ191" start="0" length="0">
    <dxf>
      <font>
        <sz val="11"/>
        <color theme="1"/>
        <name val="Calibri"/>
        <scheme val="none"/>
      </font>
      <numFmt numFmtId="164" formatCode="_-* #,##0_-;\-* #,##0_-;_-* &quot;-&quot;??_-;_-@_-"/>
    </dxf>
  </rfmt>
  <rfmt sheetId="1" sqref="AR191" start="0" length="0">
    <dxf>
      <font>
        <sz val="11"/>
        <color theme="1"/>
        <name val="Calibri"/>
        <scheme val="none"/>
      </font>
      <numFmt numFmtId="164" formatCode="_-* #,##0_-;\-* #,##0_-;_-* &quot;-&quot;??_-;_-@_-"/>
    </dxf>
  </rfmt>
  <rfmt sheetId="1" sqref="AS191" start="0" length="0">
    <dxf>
      <font>
        <sz val="11"/>
        <color theme="1"/>
        <name val="Calibri"/>
        <scheme val="none"/>
      </font>
      <numFmt numFmtId="164" formatCode="_-* #,##0_-;\-* #,##0_-;_-* &quot;-&quot;??_-;_-@_-"/>
    </dxf>
  </rfmt>
  <rfmt sheetId="1" sqref="AT191" start="0" length="0">
    <dxf>
      <font>
        <sz val="11"/>
        <color theme="1"/>
        <name val="Calibri"/>
        <scheme val="none"/>
      </font>
      <numFmt numFmtId="164" formatCode="_-* #,##0_-;\-* #,##0_-;_-* &quot;-&quot;??_-;_-@_-"/>
    </dxf>
  </rfmt>
  <rfmt sheetId="1" sqref="AU191" start="0" length="0">
    <dxf>
      <font>
        <sz val="11"/>
        <color theme="1"/>
        <name val="Calibri"/>
        <scheme val="none"/>
      </font>
    </dxf>
  </rfmt>
  <rfmt sheetId="1" sqref="AV191" start="0" length="0">
    <dxf>
      <font>
        <sz val="11"/>
        <color theme="1"/>
        <name val="Calibri"/>
        <scheme val="none"/>
      </font>
    </dxf>
  </rfmt>
  <rfmt sheetId="1" sqref="AW191" start="0" length="0">
    <dxf>
      <font>
        <sz val="11"/>
        <color theme="1"/>
        <name val="Calibri"/>
        <scheme val="none"/>
      </font>
    </dxf>
  </rfmt>
  <rfmt sheetId="1" sqref="AX191" start="0" length="0">
    <dxf>
      <font>
        <sz val="11"/>
        <color theme="1"/>
        <name val="Calibri"/>
        <scheme val="none"/>
      </font>
    </dxf>
  </rfmt>
  <rfmt sheetId="1" sqref="AY191" start="0" length="0">
    <dxf>
      <font>
        <sz val="11"/>
        <color theme="1"/>
        <name val="Calibri"/>
        <scheme val="none"/>
      </font>
    </dxf>
  </rfmt>
  <rfmt sheetId="1" sqref="A191:XFD191" start="0" length="0">
    <dxf>
      <font>
        <sz val="11"/>
        <color theme="1"/>
        <name val="Calibri"/>
        <scheme val="none"/>
      </font>
    </dxf>
  </rfmt>
  <rfmt sheetId="1" sqref="A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9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9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92" start="0" length="0">
    <dxf>
      <font>
        <sz val="11"/>
        <color theme="1"/>
        <name val="Calibri"/>
        <scheme val="none"/>
      </font>
    </dxf>
  </rfmt>
  <rfmt sheetId="1" sqref="AM192" start="0" length="0">
    <dxf>
      <font>
        <sz val="11"/>
        <color theme="1"/>
        <name val="Calibri"/>
        <scheme val="none"/>
      </font>
      <numFmt numFmtId="1" formatCode="0"/>
    </dxf>
  </rfmt>
  <rfmt sheetId="1" sqref="AN192" start="0" length="0">
    <dxf>
      <font>
        <sz val="11"/>
        <color theme="1"/>
        <name val="Calibri"/>
        <scheme val="none"/>
      </font>
      <numFmt numFmtId="1" formatCode="0"/>
    </dxf>
  </rfmt>
  <rfmt sheetId="1" sqref="AO192" start="0" length="0">
    <dxf>
      <font>
        <sz val="11"/>
        <color theme="1"/>
        <name val="Calibri"/>
        <scheme val="none"/>
      </font>
    </dxf>
  </rfmt>
  <rfmt sheetId="1" sqref="AP192" start="0" length="0">
    <dxf>
      <font>
        <sz val="11"/>
        <color theme="1"/>
        <name val="Calibri"/>
        <scheme val="none"/>
      </font>
    </dxf>
  </rfmt>
  <rfmt sheetId="1" sqref="AQ192" start="0" length="0">
    <dxf>
      <font>
        <sz val="11"/>
        <color theme="1"/>
        <name val="Calibri"/>
        <scheme val="none"/>
      </font>
      <numFmt numFmtId="164" formatCode="_-* #,##0_-;\-* #,##0_-;_-* &quot;-&quot;??_-;_-@_-"/>
    </dxf>
  </rfmt>
  <rfmt sheetId="1" sqref="AR192" start="0" length="0">
    <dxf>
      <font>
        <sz val="11"/>
        <color theme="1"/>
        <name val="Calibri"/>
        <scheme val="none"/>
      </font>
      <numFmt numFmtId="164" formatCode="_-* #,##0_-;\-* #,##0_-;_-* &quot;-&quot;??_-;_-@_-"/>
    </dxf>
  </rfmt>
  <rfmt sheetId="1" sqref="AS192" start="0" length="0">
    <dxf>
      <font>
        <sz val="11"/>
        <color theme="1"/>
        <name val="Calibri"/>
        <scheme val="none"/>
      </font>
      <numFmt numFmtId="164" formatCode="_-* #,##0_-;\-* #,##0_-;_-* &quot;-&quot;??_-;_-@_-"/>
    </dxf>
  </rfmt>
  <rfmt sheetId="1" sqref="AT192" start="0" length="0">
    <dxf>
      <font>
        <sz val="11"/>
        <color theme="1"/>
        <name val="Calibri"/>
        <scheme val="none"/>
      </font>
      <numFmt numFmtId="164" formatCode="_-* #,##0_-;\-* #,##0_-;_-* &quot;-&quot;??_-;_-@_-"/>
    </dxf>
  </rfmt>
  <rfmt sheetId="1" sqref="AU192" start="0" length="0">
    <dxf>
      <font>
        <sz val="11"/>
        <color theme="1"/>
        <name val="Calibri"/>
        <scheme val="none"/>
      </font>
    </dxf>
  </rfmt>
  <rfmt sheetId="1" sqref="AV192" start="0" length="0">
    <dxf>
      <font>
        <sz val="11"/>
        <color theme="1"/>
        <name val="Calibri"/>
        <scheme val="none"/>
      </font>
    </dxf>
  </rfmt>
  <rfmt sheetId="1" sqref="AW192" start="0" length="0">
    <dxf>
      <font>
        <sz val="11"/>
        <color theme="1"/>
        <name val="Calibri"/>
        <scheme val="none"/>
      </font>
    </dxf>
  </rfmt>
  <rfmt sheetId="1" sqref="AX192" start="0" length="0">
    <dxf>
      <font>
        <sz val="11"/>
        <color theme="1"/>
        <name val="Calibri"/>
        <scheme val="none"/>
      </font>
    </dxf>
  </rfmt>
  <rfmt sheetId="1" sqref="AY192" start="0" length="0">
    <dxf>
      <font>
        <sz val="11"/>
        <color theme="1"/>
        <name val="Calibri"/>
        <scheme val="none"/>
      </font>
    </dxf>
  </rfmt>
  <rfmt sheetId="1" sqref="A192:XFD192" start="0" length="0">
    <dxf>
      <font>
        <sz val="11"/>
        <color theme="1"/>
        <name val="Calibri"/>
        <scheme val="none"/>
      </font>
    </dxf>
  </rfmt>
  <rfmt sheetId="1" sqref="A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9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9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93" start="0" length="0">
    <dxf>
      <font>
        <sz val="11"/>
        <color theme="1"/>
        <name val="Calibri"/>
        <scheme val="none"/>
      </font>
    </dxf>
  </rfmt>
  <rfmt sheetId="1" sqref="AM193" start="0" length="0">
    <dxf>
      <font>
        <sz val="11"/>
        <color theme="1"/>
        <name val="Calibri"/>
        <scheme val="none"/>
      </font>
      <numFmt numFmtId="1" formatCode="0"/>
    </dxf>
  </rfmt>
  <rfmt sheetId="1" sqref="AN193" start="0" length="0">
    <dxf>
      <font>
        <sz val="11"/>
        <color theme="1"/>
        <name val="Calibri"/>
        <scheme val="none"/>
      </font>
      <numFmt numFmtId="1" formatCode="0"/>
    </dxf>
  </rfmt>
  <rfmt sheetId="1" sqref="AO193" start="0" length="0">
    <dxf>
      <font>
        <sz val="11"/>
        <color theme="1"/>
        <name val="Calibri"/>
        <scheme val="none"/>
      </font>
    </dxf>
  </rfmt>
  <rfmt sheetId="1" sqref="AP193" start="0" length="0">
    <dxf>
      <font>
        <sz val="11"/>
        <color theme="1"/>
        <name val="Calibri"/>
        <scheme val="none"/>
      </font>
    </dxf>
  </rfmt>
  <rfmt sheetId="1" sqref="AQ193" start="0" length="0">
    <dxf>
      <font>
        <sz val="11"/>
        <color theme="1"/>
        <name val="Calibri"/>
        <scheme val="none"/>
      </font>
      <numFmt numFmtId="164" formatCode="_-* #,##0_-;\-* #,##0_-;_-* &quot;-&quot;??_-;_-@_-"/>
    </dxf>
  </rfmt>
  <rfmt sheetId="1" sqref="AR193" start="0" length="0">
    <dxf>
      <font>
        <sz val="11"/>
        <color theme="1"/>
        <name val="Calibri"/>
        <scheme val="none"/>
      </font>
      <numFmt numFmtId="164" formatCode="_-* #,##0_-;\-* #,##0_-;_-* &quot;-&quot;??_-;_-@_-"/>
    </dxf>
  </rfmt>
  <rfmt sheetId="1" sqref="AS193" start="0" length="0">
    <dxf>
      <font>
        <sz val="11"/>
        <color theme="1"/>
        <name val="Calibri"/>
        <scheme val="none"/>
      </font>
      <numFmt numFmtId="164" formatCode="_-* #,##0_-;\-* #,##0_-;_-* &quot;-&quot;??_-;_-@_-"/>
    </dxf>
  </rfmt>
  <rfmt sheetId="1" sqref="AT193" start="0" length="0">
    <dxf>
      <font>
        <sz val="11"/>
        <color theme="1"/>
        <name val="Calibri"/>
        <scheme val="none"/>
      </font>
      <numFmt numFmtId="164" formatCode="_-* #,##0_-;\-* #,##0_-;_-* &quot;-&quot;??_-;_-@_-"/>
    </dxf>
  </rfmt>
  <rfmt sheetId="1" sqref="AU193" start="0" length="0">
    <dxf>
      <font>
        <sz val="11"/>
        <color theme="1"/>
        <name val="Calibri"/>
        <scheme val="none"/>
      </font>
    </dxf>
  </rfmt>
  <rfmt sheetId="1" sqref="AV193" start="0" length="0">
    <dxf>
      <font>
        <sz val="11"/>
        <color theme="1"/>
        <name val="Calibri"/>
        <scheme val="none"/>
      </font>
    </dxf>
  </rfmt>
  <rfmt sheetId="1" sqref="AW193" start="0" length="0">
    <dxf>
      <font>
        <sz val="11"/>
        <color theme="1"/>
        <name val="Calibri"/>
        <scheme val="none"/>
      </font>
    </dxf>
  </rfmt>
  <rfmt sheetId="1" sqref="AX193" start="0" length="0">
    <dxf>
      <font>
        <sz val="11"/>
        <color theme="1"/>
        <name val="Calibri"/>
        <scheme val="none"/>
      </font>
    </dxf>
  </rfmt>
  <rfmt sheetId="1" sqref="AY193" start="0" length="0">
    <dxf>
      <font>
        <sz val="11"/>
        <color theme="1"/>
        <name val="Calibri"/>
        <scheme val="none"/>
      </font>
    </dxf>
  </rfmt>
  <rfmt sheetId="1" sqref="A193:XFD193" start="0" length="0">
    <dxf>
      <font>
        <sz val="11"/>
        <color theme="1"/>
        <name val="Calibri"/>
        <scheme val="none"/>
      </font>
    </dxf>
  </rfmt>
  <rfmt sheetId="1" sqref="A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9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9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94" start="0" length="0">
    <dxf>
      <font>
        <sz val="11"/>
        <color theme="1"/>
        <name val="Calibri"/>
        <scheme val="none"/>
      </font>
    </dxf>
  </rfmt>
  <rfmt sheetId="1" sqref="AM194" start="0" length="0">
    <dxf>
      <font>
        <sz val="11"/>
        <color theme="1"/>
        <name val="Calibri"/>
        <scheme val="none"/>
      </font>
      <numFmt numFmtId="1" formatCode="0"/>
    </dxf>
  </rfmt>
  <rfmt sheetId="1" sqref="AN194" start="0" length="0">
    <dxf>
      <font>
        <sz val="11"/>
        <color theme="1"/>
        <name val="Calibri"/>
        <scheme val="none"/>
      </font>
      <numFmt numFmtId="1" formatCode="0"/>
    </dxf>
  </rfmt>
  <rfmt sheetId="1" sqref="AO194" start="0" length="0">
    <dxf>
      <font>
        <sz val="11"/>
        <color theme="1"/>
        <name val="Calibri"/>
        <scheme val="none"/>
      </font>
    </dxf>
  </rfmt>
  <rfmt sheetId="1" sqref="AP194" start="0" length="0">
    <dxf>
      <font>
        <sz val="11"/>
        <color theme="1"/>
        <name val="Calibri"/>
        <scheme val="none"/>
      </font>
    </dxf>
  </rfmt>
  <rfmt sheetId="1" sqref="AQ194" start="0" length="0">
    <dxf>
      <font>
        <sz val="11"/>
        <color theme="1"/>
        <name val="Calibri"/>
        <scheme val="none"/>
      </font>
      <numFmt numFmtId="164" formatCode="_-* #,##0_-;\-* #,##0_-;_-* &quot;-&quot;??_-;_-@_-"/>
    </dxf>
  </rfmt>
  <rfmt sheetId="1" sqref="AR194" start="0" length="0">
    <dxf>
      <font>
        <sz val="11"/>
        <color theme="1"/>
        <name val="Calibri"/>
        <scheme val="none"/>
      </font>
      <numFmt numFmtId="164" formatCode="_-* #,##0_-;\-* #,##0_-;_-* &quot;-&quot;??_-;_-@_-"/>
    </dxf>
  </rfmt>
  <rfmt sheetId="1" sqref="AS194" start="0" length="0">
    <dxf>
      <font>
        <sz val="11"/>
        <color theme="1"/>
        <name val="Calibri"/>
        <scheme val="none"/>
      </font>
      <numFmt numFmtId="164" formatCode="_-* #,##0_-;\-* #,##0_-;_-* &quot;-&quot;??_-;_-@_-"/>
    </dxf>
  </rfmt>
  <rfmt sheetId="1" sqref="AT194" start="0" length="0">
    <dxf>
      <font>
        <sz val="11"/>
        <color theme="1"/>
        <name val="Calibri"/>
        <scheme val="none"/>
      </font>
      <numFmt numFmtId="164" formatCode="_-* #,##0_-;\-* #,##0_-;_-* &quot;-&quot;??_-;_-@_-"/>
    </dxf>
  </rfmt>
  <rfmt sheetId="1" sqref="AU194" start="0" length="0">
    <dxf>
      <font>
        <sz val="11"/>
        <color theme="1"/>
        <name val="Calibri"/>
        <scheme val="none"/>
      </font>
    </dxf>
  </rfmt>
  <rfmt sheetId="1" sqref="AV194" start="0" length="0">
    <dxf>
      <font>
        <sz val="11"/>
        <color theme="1"/>
        <name val="Calibri"/>
        <scheme val="none"/>
      </font>
    </dxf>
  </rfmt>
  <rfmt sheetId="1" sqref="AW194" start="0" length="0">
    <dxf>
      <font>
        <sz val="11"/>
        <color theme="1"/>
        <name val="Calibri"/>
        <scheme val="none"/>
      </font>
    </dxf>
  </rfmt>
  <rfmt sheetId="1" sqref="AX194" start="0" length="0">
    <dxf>
      <font>
        <sz val="11"/>
        <color theme="1"/>
        <name val="Calibri"/>
        <scheme val="none"/>
      </font>
    </dxf>
  </rfmt>
  <rfmt sheetId="1" sqref="AY194" start="0" length="0">
    <dxf>
      <font>
        <sz val="11"/>
        <color theme="1"/>
        <name val="Calibri"/>
        <scheme val="none"/>
      </font>
    </dxf>
  </rfmt>
  <rfmt sheetId="1" sqref="A194:XFD194" start="0" length="0">
    <dxf>
      <font>
        <sz val="11"/>
        <color theme="1"/>
        <name val="Calibri"/>
        <scheme val="none"/>
      </font>
    </dxf>
  </rfmt>
  <rfmt sheetId="1" sqref="A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9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9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95" start="0" length="0">
    <dxf>
      <font>
        <sz val="11"/>
        <color theme="1"/>
        <name val="Calibri"/>
        <scheme val="none"/>
      </font>
    </dxf>
  </rfmt>
  <rfmt sheetId="1" sqref="AM195" start="0" length="0">
    <dxf>
      <font>
        <sz val="11"/>
        <color theme="1"/>
        <name val="Calibri"/>
        <scheme val="none"/>
      </font>
      <numFmt numFmtId="1" formatCode="0"/>
    </dxf>
  </rfmt>
  <rfmt sheetId="1" sqref="AN195" start="0" length="0">
    <dxf>
      <font>
        <sz val="11"/>
        <color theme="1"/>
        <name val="Calibri"/>
        <scheme val="none"/>
      </font>
      <numFmt numFmtId="1" formatCode="0"/>
    </dxf>
  </rfmt>
  <rfmt sheetId="1" sqref="AO195" start="0" length="0">
    <dxf>
      <font>
        <sz val="11"/>
        <color theme="1"/>
        <name val="Calibri"/>
        <scheme val="none"/>
      </font>
    </dxf>
  </rfmt>
  <rfmt sheetId="1" sqref="AP195" start="0" length="0">
    <dxf>
      <font>
        <sz val="11"/>
        <color theme="1"/>
        <name val="Calibri"/>
        <scheme val="none"/>
      </font>
    </dxf>
  </rfmt>
  <rfmt sheetId="1" sqref="AQ195" start="0" length="0">
    <dxf>
      <font>
        <sz val="11"/>
        <color theme="1"/>
        <name val="Calibri"/>
        <scheme val="none"/>
      </font>
      <numFmt numFmtId="164" formatCode="_-* #,##0_-;\-* #,##0_-;_-* &quot;-&quot;??_-;_-@_-"/>
    </dxf>
  </rfmt>
  <rfmt sheetId="1" sqref="AR195" start="0" length="0">
    <dxf>
      <font>
        <sz val="11"/>
        <color theme="1"/>
        <name val="Calibri"/>
        <scheme val="none"/>
      </font>
      <numFmt numFmtId="164" formatCode="_-* #,##0_-;\-* #,##0_-;_-* &quot;-&quot;??_-;_-@_-"/>
    </dxf>
  </rfmt>
  <rfmt sheetId="1" sqref="AS195" start="0" length="0">
    <dxf>
      <font>
        <sz val="11"/>
        <color theme="1"/>
        <name val="Calibri"/>
        <scheme val="none"/>
      </font>
      <numFmt numFmtId="164" formatCode="_-* #,##0_-;\-* #,##0_-;_-* &quot;-&quot;??_-;_-@_-"/>
    </dxf>
  </rfmt>
  <rfmt sheetId="1" sqref="AT195" start="0" length="0">
    <dxf>
      <font>
        <sz val="11"/>
        <color theme="1"/>
        <name val="Calibri"/>
        <scheme val="none"/>
      </font>
      <numFmt numFmtId="164" formatCode="_-* #,##0_-;\-* #,##0_-;_-* &quot;-&quot;??_-;_-@_-"/>
    </dxf>
  </rfmt>
  <rfmt sheetId="1" sqref="AU195" start="0" length="0">
    <dxf>
      <font>
        <sz val="11"/>
        <color theme="1"/>
        <name val="Calibri"/>
        <scheme val="none"/>
      </font>
    </dxf>
  </rfmt>
  <rfmt sheetId="1" sqref="AV195" start="0" length="0">
    <dxf>
      <font>
        <sz val="11"/>
        <color theme="1"/>
        <name val="Calibri"/>
        <scheme val="none"/>
      </font>
    </dxf>
  </rfmt>
  <rfmt sheetId="1" sqref="AW195" start="0" length="0">
    <dxf>
      <font>
        <sz val="11"/>
        <color theme="1"/>
        <name val="Calibri"/>
        <scheme val="none"/>
      </font>
    </dxf>
  </rfmt>
  <rfmt sheetId="1" sqref="AX195" start="0" length="0">
    <dxf>
      <font>
        <sz val="11"/>
        <color theme="1"/>
        <name val="Calibri"/>
        <scheme val="none"/>
      </font>
    </dxf>
  </rfmt>
  <rfmt sheetId="1" sqref="AY195" start="0" length="0">
    <dxf>
      <font>
        <sz val="11"/>
        <color theme="1"/>
        <name val="Calibri"/>
        <scheme val="none"/>
      </font>
    </dxf>
  </rfmt>
  <rfmt sheetId="1" sqref="A195:XFD195" start="0" length="0">
    <dxf>
      <font>
        <sz val="11"/>
        <color theme="1"/>
        <name val="Calibri"/>
        <scheme val="none"/>
      </font>
    </dxf>
  </rfmt>
  <rfmt sheetId="1" sqref="A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9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9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96" start="0" length="0">
    <dxf>
      <font>
        <sz val="11"/>
        <color theme="1"/>
        <name val="Calibri"/>
        <scheme val="none"/>
      </font>
    </dxf>
  </rfmt>
  <rfmt sheetId="1" sqref="AM196" start="0" length="0">
    <dxf>
      <font>
        <sz val="11"/>
        <color theme="1"/>
        <name val="Calibri"/>
        <scheme val="none"/>
      </font>
      <numFmt numFmtId="1" formatCode="0"/>
    </dxf>
  </rfmt>
  <rfmt sheetId="1" sqref="AN196" start="0" length="0">
    <dxf>
      <font>
        <sz val="11"/>
        <color theme="1"/>
        <name val="Calibri"/>
        <scheme val="none"/>
      </font>
      <numFmt numFmtId="1" formatCode="0"/>
    </dxf>
  </rfmt>
  <rfmt sheetId="1" sqref="AO196" start="0" length="0">
    <dxf>
      <font>
        <sz val="11"/>
        <color theme="1"/>
        <name val="Calibri"/>
        <scheme val="none"/>
      </font>
    </dxf>
  </rfmt>
  <rfmt sheetId="1" sqref="AP196" start="0" length="0">
    <dxf>
      <font>
        <sz val="11"/>
        <color theme="1"/>
        <name val="Calibri"/>
        <scheme val="none"/>
      </font>
    </dxf>
  </rfmt>
  <rfmt sheetId="1" sqref="AQ196" start="0" length="0">
    <dxf>
      <font>
        <sz val="11"/>
        <color theme="1"/>
        <name val="Calibri"/>
        <scheme val="none"/>
      </font>
      <numFmt numFmtId="164" formatCode="_-* #,##0_-;\-* #,##0_-;_-* &quot;-&quot;??_-;_-@_-"/>
    </dxf>
  </rfmt>
  <rfmt sheetId="1" sqref="AR196" start="0" length="0">
    <dxf>
      <font>
        <sz val="11"/>
        <color theme="1"/>
        <name val="Calibri"/>
        <scheme val="none"/>
      </font>
      <numFmt numFmtId="164" formatCode="_-* #,##0_-;\-* #,##0_-;_-* &quot;-&quot;??_-;_-@_-"/>
    </dxf>
  </rfmt>
  <rfmt sheetId="1" sqref="AS196" start="0" length="0">
    <dxf>
      <font>
        <sz val="11"/>
        <color theme="1"/>
        <name val="Calibri"/>
        <scheme val="none"/>
      </font>
      <numFmt numFmtId="164" formatCode="_-* #,##0_-;\-* #,##0_-;_-* &quot;-&quot;??_-;_-@_-"/>
    </dxf>
  </rfmt>
  <rfmt sheetId="1" sqref="AT196" start="0" length="0">
    <dxf>
      <font>
        <sz val="11"/>
        <color theme="1"/>
        <name val="Calibri"/>
        <scheme val="none"/>
      </font>
      <numFmt numFmtId="164" formatCode="_-* #,##0_-;\-* #,##0_-;_-* &quot;-&quot;??_-;_-@_-"/>
    </dxf>
  </rfmt>
  <rfmt sheetId="1" sqref="AU196" start="0" length="0">
    <dxf>
      <font>
        <sz val="11"/>
        <color theme="1"/>
        <name val="Calibri"/>
        <scheme val="none"/>
      </font>
    </dxf>
  </rfmt>
  <rfmt sheetId="1" sqref="AV196" start="0" length="0">
    <dxf>
      <font>
        <sz val="11"/>
        <color theme="1"/>
        <name val="Calibri"/>
        <scheme val="none"/>
      </font>
    </dxf>
  </rfmt>
  <rfmt sheetId="1" sqref="AW196" start="0" length="0">
    <dxf>
      <font>
        <sz val="11"/>
        <color theme="1"/>
        <name val="Calibri"/>
        <scheme val="none"/>
      </font>
    </dxf>
  </rfmt>
  <rfmt sheetId="1" sqref="AX196" start="0" length="0">
    <dxf>
      <font>
        <sz val="11"/>
        <color theme="1"/>
        <name val="Calibri"/>
        <scheme val="none"/>
      </font>
    </dxf>
  </rfmt>
  <rfmt sheetId="1" sqref="AY196" start="0" length="0">
    <dxf>
      <font>
        <sz val="11"/>
        <color theme="1"/>
        <name val="Calibri"/>
        <scheme val="none"/>
      </font>
    </dxf>
  </rfmt>
  <rfmt sheetId="1" sqref="A196:XFD196" start="0" length="0">
    <dxf>
      <font>
        <sz val="11"/>
        <color theme="1"/>
        <name val="Calibri"/>
        <scheme val="none"/>
      </font>
    </dxf>
  </rfmt>
  <rfmt sheetId="1" sqref="A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9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9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97" start="0" length="0">
    <dxf>
      <font>
        <sz val="11"/>
        <color theme="1"/>
        <name val="Calibri"/>
        <scheme val="none"/>
      </font>
    </dxf>
  </rfmt>
  <rfmt sheetId="1" sqref="AM197" start="0" length="0">
    <dxf>
      <font>
        <sz val="11"/>
        <color theme="1"/>
        <name val="Calibri"/>
        <scheme val="none"/>
      </font>
      <numFmt numFmtId="1" formatCode="0"/>
    </dxf>
  </rfmt>
  <rfmt sheetId="1" sqref="AN197" start="0" length="0">
    <dxf>
      <font>
        <sz val="11"/>
        <color theme="1"/>
        <name val="Calibri"/>
        <scheme val="none"/>
      </font>
      <numFmt numFmtId="1" formatCode="0"/>
    </dxf>
  </rfmt>
  <rfmt sheetId="1" sqref="AO197" start="0" length="0">
    <dxf>
      <font>
        <sz val="11"/>
        <color theme="1"/>
        <name val="Calibri"/>
        <scheme val="none"/>
      </font>
    </dxf>
  </rfmt>
  <rfmt sheetId="1" sqref="AP197" start="0" length="0">
    <dxf>
      <font>
        <sz val="11"/>
        <color theme="1"/>
        <name val="Calibri"/>
        <scheme val="none"/>
      </font>
    </dxf>
  </rfmt>
  <rfmt sheetId="1" sqref="AQ197" start="0" length="0">
    <dxf>
      <font>
        <sz val="11"/>
        <color theme="1"/>
        <name val="Calibri"/>
        <scheme val="none"/>
      </font>
      <numFmt numFmtId="164" formatCode="_-* #,##0_-;\-* #,##0_-;_-* &quot;-&quot;??_-;_-@_-"/>
    </dxf>
  </rfmt>
  <rfmt sheetId="1" sqref="AR197" start="0" length="0">
    <dxf>
      <font>
        <sz val="11"/>
        <color theme="1"/>
        <name val="Calibri"/>
        <scheme val="none"/>
      </font>
      <numFmt numFmtId="164" formatCode="_-* #,##0_-;\-* #,##0_-;_-* &quot;-&quot;??_-;_-@_-"/>
    </dxf>
  </rfmt>
  <rfmt sheetId="1" sqref="AS197" start="0" length="0">
    <dxf>
      <font>
        <sz val="11"/>
        <color theme="1"/>
        <name val="Calibri"/>
        <scheme val="none"/>
      </font>
      <numFmt numFmtId="164" formatCode="_-* #,##0_-;\-* #,##0_-;_-* &quot;-&quot;??_-;_-@_-"/>
    </dxf>
  </rfmt>
  <rfmt sheetId="1" sqref="AT197" start="0" length="0">
    <dxf>
      <font>
        <sz val="11"/>
        <color theme="1"/>
        <name val="Calibri"/>
        <scheme val="none"/>
      </font>
      <numFmt numFmtId="164" formatCode="_-* #,##0_-;\-* #,##0_-;_-* &quot;-&quot;??_-;_-@_-"/>
    </dxf>
  </rfmt>
  <rfmt sheetId="1" sqref="AU197" start="0" length="0">
    <dxf>
      <font>
        <sz val="11"/>
        <color theme="1"/>
        <name val="Calibri"/>
        <scheme val="none"/>
      </font>
    </dxf>
  </rfmt>
  <rfmt sheetId="1" sqref="AV197" start="0" length="0">
    <dxf>
      <font>
        <sz val="11"/>
        <color theme="1"/>
        <name val="Calibri"/>
        <scheme val="none"/>
      </font>
    </dxf>
  </rfmt>
  <rfmt sheetId="1" sqref="AW197" start="0" length="0">
    <dxf>
      <font>
        <sz val="11"/>
        <color theme="1"/>
        <name val="Calibri"/>
        <scheme val="none"/>
      </font>
    </dxf>
  </rfmt>
  <rfmt sheetId="1" sqref="AX197" start="0" length="0">
    <dxf>
      <font>
        <sz val="11"/>
        <color theme="1"/>
        <name val="Calibri"/>
        <scheme val="none"/>
      </font>
    </dxf>
  </rfmt>
  <rfmt sheetId="1" sqref="AY197" start="0" length="0">
    <dxf>
      <font>
        <sz val="11"/>
        <color theme="1"/>
        <name val="Calibri"/>
        <scheme val="none"/>
      </font>
    </dxf>
  </rfmt>
  <rfmt sheetId="1" sqref="A197:XFD197" start="0" length="0">
    <dxf>
      <font>
        <sz val="11"/>
        <color theme="1"/>
        <name val="Calibri"/>
        <scheme val="none"/>
      </font>
    </dxf>
  </rfmt>
  <rfmt sheetId="1" sqref="A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9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9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98" start="0" length="0">
    <dxf>
      <font>
        <sz val="11"/>
        <color theme="1"/>
        <name val="Calibri"/>
        <scheme val="none"/>
      </font>
    </dxf>
  </rfmt>
  <rfmt sheetId="1" sqref="AM198" start="0" length="0">
    <dxf>
      <font>
        <sz val="11"/>
        <color theme="1"/>
        <name val="Calibri"/>
        <scheme val="none"/>
      </font>
      <numFmt numFmtId="1" formatCode="0"/>
    </dxf>
  </rfmt>
  <rfmt sheetId="1" sqref="AN198" start="0" length="0">
    <dxf>
      <font>
        <sz val="11"/>
        <color theme="1"/>
        <name val="Calibri"/>
        <scheme val="none"/>
      </font>
      <numFmt numFmtId="1" formatCode="0"/>
    </dxf>
  </rfmt>
  <rfmt sheetId="1" sqref="AO198" start="0" length="0">
    <dxf>
      <font>
        <sz val="11"/>
        <color theme="1"/>
        <name val="Calibri"/>
        <scheme val="none"/>
      </font>
    </dxf>
  </rfmt>
  <rfmt sheetId="1" sqref="AP198" start="0" length="0">
    <dxf>
      <font>
        <sz val="11"/>
        <color theme="1"/>
        <name val="Calibri"/>
        <scheme val="none"/>
      </font>
    </dxf>
  </rfmt>
  <rfmt sheetId="1" sqref="AQ198" start="0" length="0">
    <dxf>
      <font>
        <sz val="11"/>
        <color theme="1"/>
        <name val="Calibri"/>
        <scheme val="none"/>
      </font>
      <numFmt numFmtId="164" formatCode="_-* #,##0_-;\-* #,##0_-;_-* &quot;-&quot;??_-;_-@_-"/>
    </dxf>
  </rfmt>
  <rfmt sheetId="1" sqref="AR198" start="0" length="0">
    <dxf>
      <font>
        <sz val="11"/>
        <color theme="1"/>
        <name val="Calibri"/>
        <scheme val="none"/>
      </font>
      <numFmt numFmtId="164" formatCode="_-* #,##0_-;\-* #,##0_-;_-* &quot;-&quot;??_-;_-@_-"/>
    </dxf>
  </rfmt>
  <rfmt sheetId="1" sqref="AS198" start="0" length="0">
    <dxf>
      <font>
        <sz val="11"/>
        <color theme="1"/>
        <name val="Calibri"/>
        <scheme val="none"/>
      </font>
      <numFmt numFmtId="164" formatCode="_-* #,##0_-;\-* #,##0_-;_-* &quot;-&quot;??_-;_-@_-"/>
    </dxf>
  </rfmt>
  <rfmt sheetId="1" sqref="AT198" start="0" length="0">
    <dxf>
      <font>
        <sz val="11"/>
        <color theme="1"/>
        <name val="Calibri"/>
        <scheme val="none"/>
      </font>
      <numFmt numFmtId="164" formatCode="_-* #,##0_-;\-* #,##0_-;_-* &quot;-&quot;??_-;_-@_-"/>
    </dxf>
  </rfmt>
  <rfmt sheetId="1" sqref="AU198" start="0" length="0">
    <dxf>
      <font>
        <sz val="11"/>
        <color theme="1"/>
        <name val="Calibri"/>
        <scheme val="none"/>
      </font>
    </dxf>
  </rfmt>
  <rfmt sheetId="1" sqref="AV198" start="0" length="0">
    <dxf>
      <font>
        <sz val="11"/>
        <color theme="1"/>
        <name val="Calibri"/>
        <scheme val="none"/>
      </font>
    </dxf>
  </rfmt>
  <rfmt sheetId="1" sqref="AW198" start="0" length="0">
    <dxf>
      <font>
        <sz val="11"/>
        <color theme="1"/>
        <name val="Calibri"/>
        <scheme val="none"/>
      </font>
    </dxf>
  </rfmt>
  <rfmt sheetId="1" sqref="AX198" start="0" length="0">
    <dxf>
      <font>
        <sz val="11"/>
        <color theme="1"/>
        <name val="Calibri"/>
        <scheme val="none"/>
      </font>
    </dxf>
  </rfmt>
  <rfmt sheetId="1" sqref="AY198" start="0" length="0">
    <dxf>
      <font>
        <sz val="11"/>
        <color theme="1"/>
        <name val="Calibri"/>
        <scheme val="none"/>
      </font>
    </dxf>
  </rfmt>
  <rfmt sheetId="1" sqref="A198:XFD198" start="0" length="0">
    <dxf>
      <font>
        <sz val="11"/>
        <color theme="1"/>
        <name val="Calibri"/>
        <scheme val="none"/>
      </font>
    </dxf>
  </rfmt>
  <rfmt sheetId="1" sqref="A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1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1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1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1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1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1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1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1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19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1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19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1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199" start="0" length="0">
    <dxf>
      <font>
        <sz val="11"/>
        <color theme="1"/>
        <name val="Calibri"/>
        <scheme val="none"/>
      </font>
    </dxf>
  </rfmt>
  <rfmt sheetId="1" sqref="AM199" start="0" length="0">
    <dxf>
      <font>
        <sz val="11"/>
        <color theme="1"/>
        <name val="Calibri"/>
        <scheme val="none"/>
      </font>
      <numFmt numFmtId="1" formatCode="0"/>
    </dxf>
  </rfmt>
  <rfmt sheetId="1" sqref="AN199" start="0" length="0">
    <dxf>
      <font>
        <sz val="11"/>
        <color theme="1"/>
        <name val="Calibri"/>
        <scheme val="none"/>
      </font>
      <numFmt numFmtId="1" formatCode="0"/>
    </dxf>
  </rfmt>
  <rfmt sheetId="1" sqref="AO199" start="0" length="0">
    <dxf>
      <font>
        <sz val="11"/>
        <color theme="1"/>
        <name val="Calibri"/>
        <scheme val="none"/>
      </font>
    </dxf>
  </rfmt>
  <rfmt sheetId="1" sqref="AP199" start="0" length="0">
    <dxf>
      <font>
        <sz val="11"/>
        <color theme="1"/>
        <name val="Calibri"/>
        <scheme val="none"/>
      </font>
    </dxf>
  </rfmt>
  <rfmt sheetId="1" sqref="AQ199" start="0" length="0">
    <dxf>
      <font>
        <sz val="11"/>
        <color theme="1"/>
        <name val="Calibri"/>
        <scheme val="none"/>
      </font>
      <numFmt numFmtId="164" formatCode="_-* #,##0_-;\-* #,##0_-;_-* &quot;-&quot;??_-;_-@_-"/>
    </dxf>
  </rfmt>
  <rfmt sheetId="1" sqref="AR199" start="0" length="0">
    <dxf>
      <font>
        <sz val="11"/>
        <color theme="1"/>
        <name val="Calibri"/>
        <scheme val="none"/>
      </font>
      <numFmt numFmtId="164" formatCode="_-* #,##0_-;\-* #,##0_-;_-* &quot;-&quot;??_-;_-@_-"/>
    </dxf>
  </rfmt>
  <rfmt sheetId="1" sqref="AS199" start="0" length="0">
    <dxf>
      <font>
        <sz val="11"/>
        <color theme="1"/>
        <name val="Calibri"/>
        <scheme val="none"/>
      </font>
      <numFmt numFmtId="164" formatCode="_-* #,##0_-;\-* #,##0_-;_-* &quot;-&quot;??_-;_-@_-"/>
    </dxf>
  </rfmt>
  <rfmt sheetId="1" sqref="AT199" start="0" length="0">
    <dxf>
      <font>
        <sz val="11"/>
        <color theme="1"/>
        <name val="Calibri"/>
        <scheme val="none"/>
      </font>
      <numFmt numFmtId="164" formatCode="_-* #,##0_-;\-* #,##0_-;_-* &quot;-&quot;??_-;_-@_-"/>
    </dxf>
  </rfmt>
  <rfmt sheetId="1" sqref="AU199" start="0" length="0">
    <dxf>
      <font>
        <sz val="11"/>
        <color theme="1"/>
        <name val="Calibri"/>
        <scheme val="none"/>
      </font>
    </dxf>
  </rfmt>
  <rfmt sheetId="1" sqref="AV199" start="0" length="0">
    <dxf>
      <font>
        <sz val="11"/>
        <color theme="1"/>
        <name val="Calibri"/>
        <scheme val="none"/>
      </font>
    </dxf>
  </rfmt>
  <rfmt sheetId="1" sqref="AW199" start="0" length="0">
    <dxf>
      <font>
        <sz val="11"/>
        <color theme="1"/>
        <name val="Calibri"/>
        <scheme val="none"/>
      </font>
    </dxf>
  </rfmt>
  <rfmt sheetId="1" sqref="AX199" start="0" length="0">
    <dxf>
      <font>
        <sz val="11"/>
        <color theme="1"/>
        <name val="Calibri"/>
        <scheme val="none"/>
      </font>
    </dxf>
  </rfmt>
  <rfmt sheetId="1" sqref="AY199" start="0" length="0">
    <dxf>
      <font>
        <sz val="11"/>
        <color theme="1"/>
        <name val="Calibri"/>
        <scheme val="none"/>
      </font>
    </dxf>
  </rfmt>
  <rfmt sheetId="1" sqref="A199:XFD199" start="0" length="0">
    <dxf>
      <font>
        <sz val="11"/>
        <color theme="1"/>
        <name val="Calibri"/>
        <scheme val="none"/>
      </font>
    </dxf>
  </rfmt>
  <rfmt sheetId="1" sqref="A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0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0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00" start="0" length="0">
    <dxf>
      <font>
        <sz val="11"/>
        <color theme="1"/>
        <name val="Calibri"/>
        <scheme val="none"/>
      </font>
    </dxf>
  </rfmt>
  <rfmt sheetId="1" sqref="AM200" start="0" length="0">
    <dxf>
      <font>
        <sz val="11"/>
        <color theme="1"/>
        <name val="Calibri"/>
        <scheme val="none"/>
      </font>
      <numFmt numFmtId="1" formatCode="0"/>
    </dxf>
  </rfmt>
  <rfmt sheetId="1" sqref="AN200" start="0" length="0">
    <dxf>
      <font>
        <sz val="11"/>
        <color theme="1"/>
        <name val="Calibri"/>
        <scheme val="none"/>
      </font>
      <numFmt numFmtId="1" formatCode="0"/>
    </dxf>
  </rfmt>
  <rfmt sheetId="1" sqref="AO200" start="0" length="0">
    <dxf>
      <font>
        <sz val="11"/>
        <color theme="1"/>
        <name val="Calibri"/>
        <scheme val="none"/>
      </font>
    </dxf>
  </rfmt>
  <rfmt sheetId="1" sqref="AP200" start="0" length="0">
    <dxf>
      <font>
        <sz val="11"/>
        <color theme="1"/>
        <name val="Calibri"/>
        <scheme val="none"/>
      </font>
    </dxf>
  </rfmt>
  <rfmt sheetId="1" sqref="AQ200" start="0" length="0">
    <dxf>
      <font>
        <sz val="11"/>
        <color theme="1"/>
        <name val="Calibri"/>
        <scheme val="none"/>
      </font>
      <numFmt numFmtId="164" formatCode="_-* #,##0_-;\-* #,##0_-;_-* &quot;-&quot;??_-;_-@_-"/>
    </dxf>
  </rfmt>
  <rfmt sheetId="1" sqref="AR200" start="0" length="0">
    <dxf>
      <font>
        <sz val="11"/>
        <color theme="1"/>
        <name val="Calibri"/>
        <scheme val="none"/>
      </font>
      <numFmt numFmtId="164" formatCode="_-* #,##0_-;\-* #,##0_-;_-* &quot;-&quot;??_-;_-@_-"/>
    </dxf>
  </rfmt>
  <rfmt sheetId="1" sqref="AS200" start="0" length="0">
    <dxf>
      <font>
        <sz val="11"/>
        <color theme="1"/>
        <name val="Calibri"/>
        <scheme val="none"/>
      </font>
      <numFmt numFmtId="164" formatCode="_-* #,##0_-;\-* #,##0_-;_-* &quot;-&quot;??_-;_-@_-"/>
    </dxf>
  </rfmt>
  <rfmt sheetId="1" sqref="AT200" start="0" length="0">
    <dxf>
      <font>
        <sz val="11"/>
        <color theme="1"/>
        <name val="Calibri"/>
        <scheme val="none"/>
      </font>
      <numFmt numFmtId="164" formatCode="_-* #,##0_-;\-* #,##0_-;_-* &quot;-&quot;??_-;_-@_-"/>
    </dxf>
  </rfmt>
  <rfmt sheetId="1" sqref="AU200" start="0" length="0">
    <dxf>
      <font>
        <sz val="11"/>
        <color theme="1"/>
        <name val="Calibri"/>
        <scheme val="none"/>
      </font>
    </dxf>
  </rfmt>
  <rfmt sheetId="1" sqref="AV200" start="0" length="0">
    <dxf>
      <font>
        <sz val="11"/>
        <color theme="1"/>
        <name val="Calibri"/>
        <scheme val="none"/>
      </font>
    </dxf>
  </rfmt>
  <rfmt sheetId="1" sqref="AW200" start="0" length="0">
    <dxf>
      <font>
        <sz val="11"/>
        <color theme="1"/>
        <name val="Calibri"/>
        <scheme val="none"/>
      </font>
    </dxf>
  </rfmt>
  <rfmt sheetId="1" sqref="AX200" start="0" length="0">
    <dxf>
      <font>
        <sz val="11"/>
        <color theme="1"/>
        <name val="Calibri"/>
        <scheme val="none"/>
      </font>
    </dxf>
  </rfmt>
  <rfmt sheetId="1" sqref="AY200" start="0" length="0">
    <dxf>
      <font>
        <sz val="11"/>
        <color theme="1"/>
        <name val="Calibri"/>
        <scheme val="none"/>
      </font>
    </dxf>
  </rfmt>
  <rfmt sheetId="1" sqref="A200:XFD200" start="0" length="0">
    <dxf>
      <font>
        <sz val="11"/>
        <color theme="1"/>
        <name val="Calibri"/>
        <scheme val="none"/>
      </font>
    </dxf>
  </rfmt>
  <rfmt sheetId="1" sqref="A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0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0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01" start="0" length="0">
    <dxf>
      <font>
        <sz val="11"/>
        <color theme="1"/>
        <name val="Calibri"/>
        <scheme val="none"/>
      </font>
    </dxf>
  </rfmt>
  <rfmt sheetId="1" sqref="AM201" start="0" length="0">
    <dxf>
      <font>
        <sz val="11"/>
        <color theme="1"/>
        <name val="Calibri"/>
        <scheme val="none"/>
      </font>
      <numFmt numFmtId="1" formatCode="0"/>
    </dxf>
  </rfmt>
  <rfmt sheetId="1" sqref="AN201" start="0" length="0">
    <dxf>
      <font>
        <sz val="11"/>
        <color theme="1"/>
        <name val="Calibri"/>
        <scheme val="none"/>
      </font>
      <numFmt numFmtId="1" formatCode="0"/>
    </dxf>
  </rfmt>
  <rfmt sheetId="1" sqref="AO201" start="0" length="0">
    <dxf>
      <font>
        <sz val="11"/>
        <color theme="1"/>
        <name val="Calibri"/>
        <scheme val="none"/>
      </font>
    </dxf>
  </rfmt>
  <rfmt sheetId="1" sqref="AP201" start="0" length="0">
    <dxf>
      <font>
        <sz val="11"/>
        <color theme="1"/>
        <name val="Calibri"/>
        <scheme val="none"/>
      </font>
    </dxf>
  </rfmt>
  <rfmt sheetId="1" sqref="AQ201" start="0" length="0">
    <dxf>
      <font>
        <sz val="11"/>
        <color theme="1"/>
        <name val="Calibri"/>
        <scheme val="none"/>
      </font>
      <numFmt numFmtId="164" formatCode="_-* #,##0_-;\-* #,##0_-;_-* &quot;-&quot;??_-;_-@_-"/>
    </dxf>
  </rfmt>
  <rfmt sheetId="1" sqref="AR201" start="0" length="0">
    <dxf>
      <font>
        <sz val="11"/>
        <color theme="1"/>
        <name val="Calibri"/>
        <scheme val="none"/>
      </font>
      <numFmt numFmtId="164" formatCode="_-* #,##0_-;\-* #,##0_-;_-* &quot;-&quot;??_-;_-@_-"/>
    </dxf>
  </rfmt>
  <rfmt sheetId="1" sqref="AS201" start="0" length="0">
    <dxf>
      <font>
        <sz val="11"/>
        <color theme="1"/>
        <name val="Calibri"/>
        <scheme val="none"/>
      </font>
      <numFmt numFmtId="164" formatCode="_-* #,##0_-;\-* #,##0_-;_-* &quot;-&quot;??_-;_-@_-"/>
    </dxf>
  </rfmt>
  <rfmt sheetId="1" sqref="AT201" start="0" length="0">
    <dxf>
      <font>
        <sz val="11"/>
        <color theme="1"/>
        <name val="Calibri"/>
        <scheme val="none"/>
      </font>
      <numFmt numFmtId="164" formatCode="_-* #,##0_-;\-* #,##0_-;_-* &quot;-&quot;??_-;_-@_-"/>
    </dxf>
  </rfmt>
  <rfmt sheetId="1" sqref="AU201" start="0" length="0">
    <dxf>
      <font>
        <sz val="11"/>
        <color theme="1"/>
        <name val="Calibri"/>
        <scheme val="none"/>
      </font>
    </dxf>
  </rfmt>
  <rfmt sheetId="1" sqref="AV201" start="0" length="0">
    <dxf>
      <font>
        <sz val="11"/>
        <color theme="1"/>
        <name val="Calibri"/>
        <scheme val="none"/>
      </font>
    </dxf>
  </rfmt>
  <rfmt sheetId="1" sqref="AW201" start="0" length="0">
    <dxf>
      <font>
        <sz val="11"/>
        <color theme="1"/>
        <name val="Calibri"/>
        <scheme val="none"/>
      </font>
    </dxf>
  </rfmt>
  <rfmt sheetId="1" sqref="AX201" start="0" length="0">
    <dxf>
      <font>
        <sz val="11"/>
        <color theme="1"/>
        <name val="Calibri"/>
        <scheme val="none"/>
      </font>
    </dxf>
  </rfmt>
  <rfmt sheetId="1" sqref="AY201" start="0" length="0">
    <dxf>
      <font>
        <sz val="11"/>
        <color theme="1"/>
        <name val="Calibri"/>
        <scheme val="none"/>
      </font>
    </dxf>
  </rfmt>
  <rfmt sheetId="1" sqref="A201:XFD201" start="0" length="0">
    <dxf>
      <font>
        <sz val="11"/>
        <color theme="1"/>
        <name val="Calibri"/>
        <scheme val="none"/>
      </font>
    </dxf>
  </rfmt>
  <rfmt sheetId="1" sqref="A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0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0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02" start="0" length="0">
    <dxf>
      <font>
        <sz val="11"/>
        <color theme="1"/>
        <name val="Calibri"/>
        <scheme val="none"/>
      </font>
    </dxf>
  </rfmt>
  <rfmt sheetId="1" sqref="AM202" start="0" length="0">
    <dxf>
      <font>
        <sz val="11"/>
        <color theme="1"/>
        <name val="Calibri"/>
        <scheme val="none"/>
      </font>
      <numFmt numFmtId="1" formatCode="0"/>
    </dxf>
  </rfmt>
  <rfmt sheetId="1" sqref="AN202" start="0" length="0">
    <dxf>
      <font>
        <sz val="11"/>
        <color theme="1"/>
        <name val="Calibri"/>
        <scheme val="none"/>
      </font>
      <numFmt numFmtId="1" formatCode="0"/>
    </dxf>
  </rfmt>
  <rfmt sheetId="1" sqref="AO202" start="0" length="0">
    <dxf>
      <font>
        <sz val="11"/>
        <color theme="1"/>
        <name val="Calibri"/>
        <scheme val="none"/>
      </font>
    </dxf>
  </rfmt>
  <rfmt sheetId="1" sqref="AP202" start="0" length="0">
    <dxf>
      <font>
        <sz val="11"/>
        <color theme="1"/>
        <name val="Calibri"/>
        <scheme val="none"/>
      </font>
    </dxf>
  </rfmt>
  <rfmt sheetId="1" sqref="AQ202" start="0" length="0">
    <dxf>
      <font>
        <sz val="11"/>
        <color theme="1"/>
        <name val="Calibri"/>
        <scheme val="none"/>
      </font>
      <numFmt numFmtId="164" formatCode="_-* #,##0_-;\-* #,##0_-;_-* &quot;-&quot;??_-;_-@_-"/>
    </dxf>
  </rfmt>
  <rfmt sheetId="1" sqref="AR202" start="0" length="0">
    <dxf>
      <font>
        <sz val="11"/>
        <color theme="1"/>
        <name val="Calibri"/>
        <scheme val="none"/>
      </font>
      <numFmt numFmtId="164" formatCode="_-* #,##0_-;\-* #,##0_-;_-* &quot;-&quot;??_-;_-@_-"/>
    </dxf>
  </rfmt>
  <rfmt sheetId="1" sqref="AS202" start="0" length="0">
    <dxf>
      <font>
        <sz val="11"/>
        <color theme="1"/>
        <name val="Calibri"/>
        <scheme val="none"/>
      </font>
      <numFmt numFmtId="164" formatCode="_-* #,##0_-;\-* #,##0_-;_-* &quot;-&quot;??_-;_-@_-"/>
    </dxf>
  </rfmt>
  <rfmt sheetId="1" sqref="AT202" start="0" length="0">
    <dxf>
      <font>
        <sz val="11"/>
        <color theme="1"/>
        <name val="Calibri"/>
        <scheme val="none"/>
      </font>
      <numFmt numFmtId="164" formatCode="_-* #,##0_-;\-* #,##0_-;_-* &quot;-&quot;??_-;_-@_-"/>
    </dxf>
  </rfmt>
  <rfmt sheetId="1" sqref="AU202" start="0" length="0">
    <dxf>
      <font>
        <sz val="11"/>
        <color theme="1"/>
        <name val="Calibri"/>
        <scheme val="none"/>
      </font>
    </dxf>
  </rfmt>
  <rfmt sheetId="1" sqref="AV202" start="0" length="0">
    <dxf>
      <font>
        <sz val="11"/>
        <color theme="1"/>
        <name val="Calibri"/>
        <scheme val="none"/>
      </font>
    </dxf>
  </rfmt>
  <rfmt sheetId="1" sqref="AW202" start="0" length="0">
    <dxf>
      <font>
        <sz val="11"/>
        <color theme="1"/>
        <name val="Calibri"/>
        <scheme val="none"/>
      </font>
    </dxf>
  </rfmt>
  <rfmt sheetId="1" sqref="AX202" start="0" length="0">
    <dxf>
      <font>
        <sz val="11"/>
        <color theme="1"/>
        <name val="Calibri"/>
        <scheme val="none"/>
      </font>
    </dxf>
  </rfmt>
  <rfmt sheetId="1" sqref="AY202" start="0" length="0">
    <dxf>
      <font>
        <sz val="11"/>
        <color theme="1"/>
        <name val="Calibri"/>
        <scheme val="none"/>
      </font>
    </dxf>
  </rfmt>
  <rfmt sheetId="1" sqref="A202:XFD202" start="0" length="0">
    <dxf>
      <font>
        <sz val="11"/>
        <color theme="1"/>
        <name val="Calibri"/>
        <scheme val="none"/>
      </font>
    </dxf>
  </rfmt>
  <rfmt sheetId="1" sqref="A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0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0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03" start="0" length="0">
    <dxf>
      <font>
        <sz val="11"/>
        <color theme="1"/>
        <name val="Calibri"/>
        <scheme val="none"/>
      </font>
    </dxf>
  </rfmt>
  <rfmt sheetId="1" sqref="AM203" start="0" length="0">
    <dxf>
      <font>
        <sz val="11"/>
        <color theme="1"/>
        <name val="Calibri"/>
        <scheme val="none"/>
      </font>
      <numFmt numFmtId="1" formatCode="0"/>
    </dxf>
  </rfmt>
  <rfmt sheetId="1" sqref="AN203" start="0" length="0">
    <dxf>
      <font>
        <sz val="11"/>
        <color theme="1"/>
        <name val="Calibri"/>
        <scheme val="none"/>
      </font>
      <numFmt numFmtId="1" formatCode="0"/>
    </dxf>
  </rfmt>
  <rfmt sheetId="1" sqref="AO203" start="0" length="0">
    <dxf>
      <font>
        <sz val="11"/>
        <color theme="1"/>
        <name val="Calibri"/>
        <scheme val="none"/>
      </font>
    </dxf>
  </rfmt>
  <rfmt sheetId="1" sqref="AP203" start="0" length="0">
    <dxf>
      <font>
        <sz val="11"/>
        <color theme="1"/>
        <name val="Calibri"/>
        <scheme val="none"/>
      </font>
    </dxf>
  </rfmt>
  <rfmt sheetId="1" sqref="AQ203" start="0" length="0">
    <dxf>
      <font>
        <sz val="11"/>
        <color theme="1"/>
        <name val="Calibri"/>
        <scheme val="none"/>
      </font>
      <numFmt numFmtId="164" formatCode="_-* #,##0_-;\-* #,##0_-;_-* &quot;-&quot;??_-;_-@_-"/>
    </dxf>
  </rfmt>
  <rfmt sheetId="1" sqref="AR203" start="0" length="0">
    <dxf>
      <font>
        <sz val="11"/>
        <color theme="1"/>
        <name val="Calibri"/>
        <scheme val="none"/>
      </font>
      <numFmt numFmtId="164" formatCode="_-* #,##0_-;\-* #,##0_-;_-* &quot;-&quot;??_-;_-@_-"/>
    </dxf>
  </rfmt>
  <rfmt sheetId="1" sqref="AS203" start="0" length="0">
    <dxf>
      <font>
        <sz val="11"/>
        <color theme="1"/>
        <name val="Calibri"/>
        <scheme val="none"/>
      </font>
      <numFmt numFmtId="164" formatCode="_-* #,##0_-;\-* #,##0_-;_-* &quot;-&quot;??_-;_-@_-"/>
    </dxf>
  </rfmt>
  <rfmt sheetId="1" sqref="AT203" start="0" length="0">
    <dxf>
      <font>
        <sz val="11"/>
        <color theme="1"/>
        <name val="Calibri"/>
        <scheme val="none"/>
      </font>
      <numFmt numFmtId="164" formatCode="_-* #,##0_-;\-* #,##0_-;_-* &quot;-&quot;??_-;_-@_-"/>
    </dxf>
  </rfmt>
  <rfmt sheetId="1" sqref="AU203" start="0" length="0">
    <dxf>
      <font>
        <sz val="11"/>
        <color theme="1"/>
        <name val="Calibri"/>
        <scheme val="none"/>
      </font>
    </dxf>
  </rfmt>
  <rfmt sheetId="1" sqref="AV203" start="0" length="0">
    <dxf>
      <font>
        <sz val="11"/>
        <color theme="1"/>
        <name val="Calibri"/>
        <scheme val="none"/>
      </font>
    </dxf>
  </rfmt>
  <rfmt sheetId="1" sqref="AW203" start="0" length="0">
    <dxf>
      <font>
        <sz val="11"/>
        <color theme="1"/>
        <name val="Calibri"/>
        <scheme val="none"/>
      </font>
    </dxf>
  </rfmt>
  <rfmt sheetId="1" sqref="AX203" start="0" length="0">
    <dxf>
      <font>
        <sz val="11"/>
        <color theme="1"/>
        <name val="Calibri"/>
        <scheme val="none"/>
      </font>
    </dxf>
  </rfmt>
  <rfmt sheetId="1" sqref="AY203" start="0" length="0">
    <dxf>
      <font>
        <sz val="11"/>
        <color theme="1"/>
        <name val="Calibri"/>
        <scheme val="none"/>
      </font>
    </dxf>
  </rfmt>
  <rfmt sheetId="1" sqref="A203:XFD203" start="0" length="0">
    <dxf>
      <font>
        <sz val="11"/>
        <color theme="1"/>
        <name val="Calibri"/>
        <scheme val="none"/>
      </font>
    </dxf>
  </rfmt>
  <rfmt sheetId="1" sqref="A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0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0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04" start="0" length="0">
    <dxf>
      <font>
        <sz val="11"/>
        <color theme="1"/>
        <name val="Calibri"/>
        <scheme val="none"/>
      </font>
    </dxf>
  </rfmt>
  <rfmt sheetId="1" sqref="AM204" start="0" length="0">
    <dxf>
      <font>
        <sz val="11"/>
        <color theme="1"/>
        <name val="Calibri"/>
        <scheme val="none"/>
      </font>
      <numFmt numFmtId="1" formatCode="0"/>
    </dxf>
  </rfmt>
  <rfmt sheetId="1" sqref="AN204" start="0" length="0">
    <dxf>
      <font>
        <sz val="11"/>
        <color theme="1"/>
        <name val="Calibri"/>
        <scheme val="none"/>
      </font>
      <numFmt numFmtId="1" formatCode="0"/>
    </dxf>
  </rfmt>
  <rfmt sheetId="1" sqref="AO204" start="0" length="0">
    <dxf>
      <font>
        <sz val="11"/>
        <color theme="1"/>
        <name val="Calibri"/>
        <scheme val="none"/>
      </font>
    </dxf>
  </rfmt>
  <rfmt sheetId="1" sqref="AP204" start="0" length="0">
    <dxf>
      <font>
        <sz val="11"/>
        <color theme="1"/>
        <name val="Calibri"/>
        <scheme val="none"/>
      </font>
    </dxf>
  </rfmt>
  <rfmt sheetId="1" sqref="AQ204" start="0" length="0">
    <dxf>
      <font>
        <sz val="11"/>
        <color theme="1"/>
        <name val="Calibri"/>
        <scheme val="none"/>
      </font>
      <numFmt numFmtId="164" formatCode="_-* #,##0_-;\-* #,##0_-;_-* &quot;-&quot;??_-;_-@_-"/>
    </dxf>
  </rfmt>
  <rfmt sheetId="1" sqref="AR204" start="0" length="0">
    <dxf>
      <font>
        <sz val="11"/>
        <color theme="1"/>
        <name val="Calibri"/>
        <scheme val="none"/>
      </font>
      <numFmt numFmtId="164" formatCode="_-* #,##0_-;\-* #,##0_-;_-* &quot;-&quot;??_-;_-@_-"/>
    </dxf>
  </rfmt>
  <rfmt sheetId="1" sqref="AS204" start="0" length="0">
    <dxf>
      <font>
        <sz val="11"/>
        <color theme="1"/>
        <name val="Calibri"/>
        <scheme val="none"/>
      </font>
      <numFmt numFmtId="164" formatCode="_-* #,##0_-;\-* #,##0_-;_-* &quot;-&quot;??_-;_-@_-"/>
    </dxf>
  </rfmt>
  <rfmt sheetId="1" sqref="AT204" start="0" length="0">
    <dxf>
      <font>
        <sz val="11"/>
        <color theme="1"/>
        <name val="Calibri"/>
        <scheme val="none"/>
      </font>
      <numFmt numFmtId="164" formatCode="_-* #,##0_-;\-* #,##0_-;_-* &quot;-&quot;??_-;_-@_-"/>
    </dxf>
  </rfmt>
  <rfmt sheetId="1" sqref="AU204" start="0" length="0">
    <dxf>
      <font>
        <sz val="11"/>
        <color theme="1"/>
        <name val="Calibri"/>
        <scheme val="none"/>
      </font>
    </dxf>
  </rfmt>
  <rfmt sheetId="1" sqref="AV204" start="0" length="0">
    <dxf>
      <font>
        <sz val="11"/>
        <color theme="1"/>
        <name val="Calibri"/>
        <scheme val="none"/>
      </font>
    </dxf>
  </rfmt>
  <rfmt sheetId="1" sqref="AW204" start="0" length="0">
    <dxf>
      <font>
        <sz val="11"/>
        <color theme="1"/>
        <name val="Calibri"/>
        <scheme val="none"/>
      </font>
    </dxf>
  </rfmt>
  <rfmt sheetId="1" sqref="AX204" start="0" length="0">
    <dxf>
      <font>
        <sz val="11"/>
        <color theme="1"/>
        <name val="Calibri"/>
        <scheme val="none"/>
      </font>
    </dxf>
  </rfmt>
  <rfmt sheetId="1" sqref="AY204" start="0" length="0">
    <dxf>
      <font>
        <sz val="11"/>
        <color theme="1"/>
        <name val="Calibri"/>
        <scheme val="none"/>
      </font>
    </dxf>
  </rfmt>
  <rfmt sheetId="1" sqref="A204:XFD204" start="0" length="0">
    <dxf>
      <font>
        <sz val="11"/>
        <color theme="1"/>
        <name val="Calibri"/>
        <scheme val="none"/>
      </font>
    </dxf>
  </rfmt>
  <rfmt sheetId="1" sqref="A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0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0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05" start="0" length="0">
    <dxf>
      <font>
        <sz val="11"/>
        <color theme="1"/>
        <name val="Calibri"/>
        <scheme val="none"/>
      </font>
    </dxf>
  </rfmt>
  <rfmt sheetId="1" sqref="AM205" start="0" length="0">
    <dxf>
      <font>
        <sz val="11"/>
        <color theme="1"/>
        <name val="Calibri"/>
        <scheme val="none"/>
      </font>
      <numFmt numFmtId="1" formatCode="0"/>
    </dxf>
  </rfmt>
  <rfmt sheetId="1" sqref="AN205" start="0" length="0">
    <dxf>
      <font>
        <sz val="11"/>
        <color theme="1"/>
        <name val="Calibri"/>
        <scheme val="none"/>
      </font>
      <numFmt numFmtId="1" formatCode="0"/>
    </dxf>
  </rfmt>
  <rfmt sheetId="1" sqref="AO205" start="0" length="0">
    <dxf>
      <font>
        <sz val="11"/>
        <color theme="1"/>
        <name val="Calibri"/>
        <scheme val="none"/>
      </font>
    </dxf>
  </rfmt>
  <rfmt sheetId="1" sqref="AP205" start="0" length="0">
    <dxf>
      <font>
        <sz val="11"/>
        <color theme="1"/>
        <name val="Calibri"/>
        <scheme val="none"/>
      </font>
    </dxf>
  </rfmt>
  <rfmt sheetId="1" sqref="AQ205" start="0" length="0">
    <dxf>
      <font>
        <sz val="11"/>
        <color theme="1"/>
        <name val="Calibri"/>
        <scheme val="none"/>
      </font>
      <numFmt numFmtId="164" formatCode="_-* #,##0_-;\-* #,##0_-;_-* &quot;-&quot;??_-;_-@_-"/>
    </dxf>
  </rfmt>
  <rfmt sheetId="1" sqref="AR205" start="0" length="0">
    <dxf>
      <font>
        <sz val="11"/>
        <color theme="1"/>
        <name val="Calibri"/>
        <scheme val="none"/>
      </font>
      <numFmt numFmtId="164" formatCode="_-* #,##0_-;\-* #,##0_-;_-* &quot;-&quot;??_-;_-@_-"/>
    </dxf>
  </rfmt>
  <rfmt sheetId="1" sqref="AS205" start="0" length="0">
    <dxf>
      <font>
        <sz val="11"/>
        <color theme="1"/>
        <name val="Calibri"/>
        <scheme val="none"/>
      </font>
      <numFmt numFmtId="164" formatCode="_-* #,##0_-;\-* #,##0_-;_-* &quot;-&quot;??_-;_-@_-"/>
    </dxf>
  </rfmt>
  <rfmt sheetId="1" sqref="AT205" start="0" length="0">
    <dxf>
      <font>
        <sz val="11"/>
        <color theme="1"/>
        <name val="Calibri"/>
        <scheme val="none"/>
      </font>
      <numFmt numFmtId="164" formatCode="_-* #,##0_-;\-* #,##0_-;_-* &quot;-&quot;??_-;_-@_-"/>
    </dxf>
  </rfmt>
  <rfmt sheetId="1" sqref="AU205" start="0" length="0">
    <dxf>
      <font>
        <sz val="11"/>
        <color theme="1"/>
        <name val="Calibri"/>
        <scheme val="none"/>
      </font>
    </dxf>
  </rfmt>
  <rfmt sheetId="1" sqref="AV205" start="0" length="0">
    <dxf>
      <font>
        <sz val="11"/>
        <color theme="1"/>
        <name val="Calibri"/>
        <scheme val="none"/>
      </font>
    </dxf>
  </rfmt>
  <rfmt sheetId="1" sqref="AW205" start="0" length="0">
    <dxf>
      <font>
        <sz val="11"/>
        <color theme="1"/>
        <name val="Calibri"/>
        <scheme val="none"/>
      </font>
    </dxf>
  </rfmt>
  <rfmt sheetId="1" sqref="AX205" start="0" length="0">
    <dxf>
      <font>
        <sz val="11"/>
        <color theme="1"/>
        <name val="Calibri"/>
        <scheme val="none"/>
      </font>
    </dxf>
  </rfmt>
  <rfmt sheetId="1" sqref="AY205" start="0" length="0">
    <dxf>
      <font>
        <sz val="11"/>
        <color theme="1"/>
        <name val="Calibri"/>
        <scheme val="none"/>
      </font>
    </dxf>
  </rfmt>
  <rfmt sheetId="1" sqref="A205:XFD205" start="0" length="0">
    <dxf>
      <font>
        <sz val="11"/>
        <color theme="1"/>
        <name val="Calibri"/>
        <scheme val="none"/>
      </font>
    </dxf>
  </rfmt>
  <rfmt sheetId="1" sqref="A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0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0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06" start="0" length="0">
    <dxf>
      <font>
        <sz val="11"/>
        <color theme="1"/>
        <name val="Calibri"/>
        <scheme val="none"/>
      </font>
    </dxf>
  </rfmt>
  <rfmt sheetId="1" sqref="AM206" start="0" length="0">
    <dxf>
      <font>
        <sz val="11"/>
        <color theme="1"/>
        <name val="Calibri"/>
        <scheme val="none"/>
      </font>
      <numFmt numFmtId="1" formatCode="0"/>
    </dxf>
  </rfmt>
  <rfmt sheetId="1" sqref="AN206" start="0" length="0">
    <dxf>
      <font>
        <sz val="11"/>
        <color theme="1"/>
        <name val="Calibri"/>
        <scheme val="none"/>
      </font>
      <numFmt numFmtId="1" formatCode="0"/>
    </dxf>
  </rfmt>
  <rfmt sheetId="1" sqref="AO206" start="0" length="0">
    <dxf>
      <font>
        <sz val="11"/>
        <color theme="1"/>
        <name val="Calibri"/>
        <scheme val="none"/>
      </font>
    </dxf>
  </rfmt>
  <rfmt sheetId="1" sqref="AP206" start="0" length="0">
    <dxf>
      <font>
        <sz val="11"/>
        <color theme="1"/>
        <name val="Calibri"/>
        <scheme val="none"/>
      </font>
    </dxf>
  </rfmt>
  <rfmt sheetId="1" sqref="AQ206" start="0" length="0">
    <dxf>
      <font>
        <sz val="11"/>
        <color theme="1"/>
        <name val="Calibri"/>
        <scheme val="none"/>
      </font>
      <numFmt numFmtId="164" formatCode="_-* #,##0_-;\-* #,##0_-;_-* &quot;-&quot;??_-;_-@_-"/>
    </dxf>
  </rfmt>
  <rfmt sheetId="1" sqref="AR206" start="0" length="0">
    <dxf>
      <font>
        <sz val="11"/>
        <color theme="1"/>
        <name val="Calibri"/>
        <scheme val="none"/>
      </font>
      <numFmt numFmtId="164" formatCode="_-* #,##0_-;\-* #,##0_-;_-* &quot;-&quot;??_-;_-@_-"/>
    </dxf>
  </rfmt>
  <rfmt sheetId="1" sqref="AS206" start="0" length="0">
    <dxf>
      <font>
        <sz val="11"/>
        <color theme="1"/>
        <name val="Calibri"/>
        <scheme val="none"/>
      </font>
      <numFmt numFmtId="164" formatCode="_-* #,##0_-;\-* #,##0_-;_-* &quot;-&quot;??_-;_-@_-"/>
    </dxf>
  </rfmt>
  <rfmt sheetId="1" sqref="AT206" start="0" length="0">
    <dxf>
      <font>
        <sz val="11"/>
        <color theme="1"/>
        <name val="Calibri"/>
        <scheme val="none"/>
      </font>
      <numFmt numFmtId="164" formatCode="_-* #,##0_-;\-* #,##0_-;_-* &quot;-&quot;??_-;_-@_-"/>
    </dxf>
  </rfmt>
  <rfmt sheetId="1" sqref="AU206" start="0" length="0">
    <dxf>
      <font>
        <sz val="11"/>
        <color theme="1"/>
        <name val="Calibri"/>
        <scheme val="none"/>
      </font>
    </dxf>
  </rfmt>
  <rfmt sheetId="1" sqref="AV206" start="0" length="0">
    <dxf>
      <font>
        <sz val="11"/>
        <color theme="1"/>
        <name val="Calibri"/>
        <scheme val="none"/>
      </font>
    </dxf>
  </rfmt>
  <rfmt sheetId="1" sqref="AW206" start="0" length="0">
    <dxf>
      <font>
        <sz val="11"/>
        <color theme="1"/>
        <name val="Calibri"/>
        <scheme val="none"/>
      </font>
    </dxf>
  </rfmt>
  <rfmt sheetId="1" sqref="AX206" start="0" length="0">
    <dxf>
      <font>
        <sz val="11"/>
        <color theme="1"/>
        <name val="Calibri"/>
        <scheme val="none"/>
      </font>
    </dxf>
  </rfmt>
  <rfmt sheetId="1" sqref="AY206" start="0" length="0">
    <dxf>
      <font>
        <sz val="11"/>
        <color theme="1"/>
        <name val="Calibri"/>
        <scheme val="none"/>
      </font>
    </dxf>
  </rfmt>
  <rfmt sheetId="1" sqref="A206:XFD206" start="0" length="0">
    <dxf>
      <font>
        <sz val="11"/>
        <color theme="1"/>
        <name val="Calibri"/>
        <scheme val="none"/>
      </font>
    </dxf>
  </rfmt>
  <rfmt sheetId="1" sqref="A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0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0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07" start="0" length="0">
    <dxf>
      <font>
        <sz val="11"/>
        <color theme="1"/>
        <name val="Calibri"/>
        <scheme val="none"/>
      </font>
    </dxf>
  </rfmt>
  <rfmt sheetId="1" sqref="AM207" start="0" length="0">
    <dxf>
      <font>
        <sz val="11"/>
        <color theme="1"/>
        <name val="Calibri"/>
        <scheme val="none"/>
      </font>
      <numFmt numFmtId="1" formatCode="0"/>
    </dxf>
  </rfmt>
  <rfmt sheetId="1" sqref="AN207" start="0" length="0">
    <dxf>
      <font>
        <sz val="11"/>
        <color theme="1"/>
        <name val="Calibri"/>
        <scheme val="none"/>
      </font>
      <numFmt numFmtId="1" formatCode="0"/>
    </dxf>
  </rfmt>
  <rfmt sheetId="1" sqref="AO207" start="0" length="0">
    <dxf>
      <font>
        <sz val="11"/>
        <color theme="1"/>
        <name val="Calibri"/>
        <scheme val="none"/>
      </font>
    </dxf>
  </rfmt>
  <rfmt sheetId="1" sqref="AP207" start="0" length="0">
    <dxf>
      <font>
        <sz val="11"/>
        <color theme="1"/>
        <name val="Calibri"/>
        <scheme val="none"/>
      </font>
    </dxf>
  </rfmt>
  <rfmt sheetId="1" sqref="AQ207" start="0" length="0">
    <dxf>
      <font>
        <sz val="11"/>
        <color theme="1"/>
        <name val="Calibri"/>
        <scheme val="none"/>
      </font>
      <numFmt numFmtId="164" formatCode="_-* #,##0_-;\-* #,##0_-;_-* &quot;-&quot;??_-;_-@_-"/>
    </dxf>
  </rfmt>
  <rfmt sheetId="1" sqref="AR207" start="0" length="0">
    <dxf>
      <font>
        <sz val="11"/>
        <color theme="1"/>
        <name val="Calibri"/>
        <scheme val="none"/>
      </font>
      <numFmt numFmtId="164" formatCode="_-* #,##0_-;\-* #,##0_-;_-* &quot;-&quot;??_-;_-@_-"/>
    </dxf>
  </rfmt>
  <rfmt sheetId="1" sqref="AS207" start="0" length="0">
    <dxf>
      <font>
        <sz val="11"/>
        <color theme="1"/>
        <name val="Calibri"/>
        <scheme val="none"/>
      </font>
      <numFmt numFmtId="164" formatCode="_-* #,##0_-;\-* #,##0_-;_-* &quot;-&quot;??_-;_-@_-"/>
    </dxf>
  </rfmt>
  <rfmt sheetId="1" sqref="AT207" start="0" length="0">
    <dxf>
      <font>
        <sz val="11"/>
        <color theme="1"/>
        <name val="Calibri"/>
        <scheme val="none"/>
      </font>
      <numFmt numFmtId="164" formatCode="_-* #,##0_-;\-* #,##0_-;_-* &quot;-&quot;??_-;_-@_-"/>
    </dxf>
  </rfmt>
  <rfmt sheetId="1" sqref="AU207" start="0" length="0">
    <dxf>
      <font>
        <sz val="11"/>
        <color theme="1"/>
        <name val="Calibri"/>
        <scheme val="none"/>
      </font>
    </dxf>
  </rfmt>
  <rfmt sheetId="1" sqref="AV207" start="0" length="0">
    <dxf>
      <font>
        <sz val="11"/>
        <color theme="1"/>
        <name val="Calibri"/>
        <scheme val="none"/>
      </font>
    </dxf>
  </rfmt>
  <rfmt sheetId="1" sqref="AW207" start="0" length="0">
    <dxf>
      <font>
        <sz val="11"/>
        <color theme="1"/>
        <name val="Calibri"/>
        <scheme val="none"/>
      </font>
    </dxf>
  </rfmt>
  <rfmt sheetId="1" sqref="AX207" start="0" length="0">
    <dxf>
      <font>
        <sz val="11"/>
        <color theme="1"/>
        <name val="Calibri"/>
        <scheme val="none"/>
      </font>
    </dxf>
  </rfmt>
  <rfmt sheetId="1" sqref="AY207" start="0" length="0">
    <dxf>
      <font>
        <sz val="11"/>
        <color theme="1"/>
        <name val="Calibri"/>
        <scheme val="none"/>
      </font>
    </dxf>
  </rfmt>
  <rfmt sheetId="1" sqref="A207:XFD207" start="0" length="0">
    <dxf>
      <font>
        <sz val="11"/>
        <color theme="1"/>
        <name val="Calibri"/>
        <scheme val="none"/>
      </font>
    </dxf>
  </rfmt>
  <rfmt sheetId="1" sqref="A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0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0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08" start="0" length="0">
    <dxf>
      <font>
        <sz val="11"/>
        <color theme="1"/>
        <name val="Calibri"/>
        <scheme val="none"/>
      </font>
    </dxf>
  </rfmt>
  <rfmt sheetId="1" sqref="AM208" start="0" length="0">
    <dxf>
      <font>
        <sz val="11"/>
        <color theme="1"/>
        <name val="Calibri"/>
        <scheme val="none"/>
      </font>
      <numFmt numFmtId="1" formatCode="0"/>
    </dxf>
  </rfmt>
  <rfmt sheetId="1" sqref="AN208" start="0" length="0">
    <dxf>
      <font>
        <sz val="11"/>
        <color theme="1"/>
        <name val="Calibri"/>
        <scheme val="none"/>
      </font>
      <numFmt numFmtId="1" formatCode="0"/>
    </dxf>
  </rfmt>
  <rfmt sheetId="1" sqref="AO208" start="0" length="0">
    <dxf>
      <font>
        <sz val="11"/>
        <color theme="1"/>
        <name val="Calibri"/>
        <scheme val="none"/>
      </font>
    </dxf>
  </rfmt>
  <rfmt sheetId="1" sqref="AP208" start="0" length="0">
    <dxf>
      <font>
        <sz val="11"/>
        <color theme="1"/>
        <name val="Calibri"/>
        <scheme val="none"/>
      </font>
    </dxf>
  </rfmt>
  <rfmt sheetId="1" sqref="AQ208" start="0" length="0">
    <dxf>
      <font>
        <sz val="11"/>
        <color theme="1"/>
        <name val="Calibri"/>
        <scheme val="none"/>
      </font>
      <numFmt numFmtId="164" formatCode="_-* #,##0_-;\-* #,##0_-;_-* &quot;-&quot;??_-;_-@_-"/>
    </dxf>
  </rfmt>
  <rfmt sheetId="1" sqref="AR208" start="0" length="0">
    <dxf>
      <font>
        <sz val="11"/>
        <color theme="1"/>
        <name val="Calibri"/>
        <scheme val="none"/>
      </font>
      <numFmt numFmtId="164" formatCode="_-* #,##0_-;\-* #,##0_-;_-* &quot;-&quot;??_-;_-@_-"/>
    </dxf>
  </rfmt>
  <rfmt sheetId="1" sqref="AS208" start="0" length="0">
    <dxf>
      <font>
        <sz val="11"/>
        <color theme="1"/>
        <name val="Calibri"/>
        <scheme val="none"/>
      </font>
      <numFmt numFmtId="164" formatCode="_-* #,##0_-;\-* #,##0_-;_-* &quot;-&quot;??_-;_-@_-"/>
    </dxf>
  </rfmt>
  <rfmt sheetId="1" sqref="AT208" start="0" length="0">
    <dxf>
      <font>
        <sz val="11"/>
        <color theme="1"/>
        <name val="Calibri"/>
        <scheme val="none"/>
      </font>
      <numFmt numFmtId="164" formatCode="_-* #,##0_-;\-* #,##0_-;_-* &quot;-&quot;??_-;_-@_-"/>
    </dxf>
  </rfmt>
  <rfmt sheetId="1" sqref="AU208" start="0" length="0">
    <dxf>
      <font>
        <sz val="11"/>
        <color theme="1"/>
        <name val="Calibri"/>
        <scheme val="none"/>
      </font>
    </dxf>
  </rfmt>
  <rfmt sheetId="1" sqref="AV208" start="0" length="0">
    <dxf>
      <font>
        <sz val="11"/>
        <color theme="1"/>
        <name val="Calibri"/>
        <scheme val="none"/>
      </font>
    </dxf>
  </rfmt>
  <rfmt sheetId="1" sqref="AW208" start="0" length="0">
    <dxf>
      <font>
        <sz val="11"/>
        <color theme="1"/>
        <name val="Calibri"/>
        <scheme val="none"/>
      </font>
    </dxf>
  </rfmt>
  <rfmt sheetId="1" sqref="AX208" start="0" length="0">
    <dxf>
      <font>
        <sz val="11"/>
        <color theme="1"/>
        <name val="Calibri"/>
        <scheme val="none"/>
      </font>
    </dxf>
  </rfmt>
  <rfmt sheetId="1" sqref="AY208" start="0" length="0">
    <dxf>
      <font>
        <sz val="11"/>
        <color theme="1"/>
        <name val="Calibri"/>
        <scheme val="none"/>
      </font>
    </dxf>
  </rfmt>
  <rfmt sheetId="1" sqref="A208:XFD208" start="0" length="0">
    <dxf>
      <font>
        <sz val="11"/>
        <color theme="1"/>
        <name val="Calibri"/>
        <scheme val="none"/>
      </font>
    </dxf>
  </rfmt>
  <rfmt sheetId="1" sqref="A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0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0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09" start="0" length="0">
    <dxf>
      <font>
        <sz val="11"/>
        <color theme="1"/>
        <name val="Calibri"/>
        <scheme val="none"/>
      </font>
    </dxf>
  </rfmt>
  <rfmt sheetId="1" sqref="AM209" start="0" length="0">
    <dxf>
      <font>
        <sz val="11"/>
        <color theme="1"/>
        <name val="Calibri"/>
        <scheme val="none"/>
      </font>
      <numFmt numFmtId="1" formatCode="0"/>
    </dxf>
  </rfmt>
  <rfmt sheetId="1" sqref="AN209" start="0" length="0">
    <dxf>
      <font>
        <sz val="11"/>
        <color theme="1"/>
        <name val="Calibri"/>
        <scheme val="none"/>
      </font>
      <numFmt numFmtId="1" formatCode="0"/>
    </dxf>
  </rfmt>
  <rfmt sheetId="1" sqref="AO209" start="0" length="0">
    <dxf>
      <font>
        <sz val="11"/>
        <color theme="1"/>
        <name val="Calibri"/>
        <scheme val="none"/>
      </font>
    </dxf>
  </rfmt>
  <rfmt sheetId="1" sqref="AP209" start="0" length="0">
    <dxf>
      <font>
        <sz val="11"/>
        <color theme="1"/>
        <name val="Calibri"/>
        <scheme val="none"/>
      </font>
    </dxf>
  </rfmt>
  <rfmt sheetId="1" sqref="AQ209" start="0" length="0">
    <dxf>
      <font>
        <sz val="11"/>
        <color theme="1"/>
        <name val="Calibri"/>
        <scheme val="none"/>
      </font>
      <numFmt numFmtId="164" formatCode="_-* #,##0_-;\-* #,##0_-;_-* &quot;-&quot;??_-;_-@_-"/>
    </dxf>
  </rfmt>
  <rfmt sheetId="1" sqref="AR209" start="0" length="0">
    <dxf>
      <font>
        <sz val="11"/>
        <color theme="1"/>
        <name val="Calibri"/>
        <scheme val="none"/>
      </font>
      <numFmt numFmtId="164" formatCode="_-* #,##0_-;\-* #,##0_-;_-* &quot;-&quot;??_-;_-@_-"/>
    </dxf>
  </rfmt>
  <rfmt sheetId="1" sqref="AS209" start="0" length="0">
    <dxf>
      <font>
        <sz val="11"/>
        <color theme="1"/>
        <name val="Calibri"/>
        <scheme val="none"/>
      </font>
      <numFmt numFmtId="164" formatCode="_-* #,##0_-;\-* #,##0_-;_-* &quot;-&quot;??_-;_-@_-"/>
    </dxf>
  </rfmt>
  <rfmt sheetId="1" sqref="AT209" start="0" length="0">
    <dxf>
      <font>
        <sz val="11"/>
        <color theme="1"/>
        <name val="Calibri"/>
        <scheme val="none"/>
      </font>
      <numFmt numFmtId="164" formatCode="_-* #,##0_-;\-* #,##0_-;_-* &quot;-&quot;??_-;_-@_-"/>
    </dxf>
  </rfmt>
  <rfmt sheetId="1" sqref="AU209" start="0" length="0">
    <dxf>
      <font>
        <sz val="11"/>
        <color theme="1"/>
        <name val="Calibri"/>
        <scheme val="none"/>
      </font>
    </dxf>
  </rfmt>
  <rfmt sheetId="1" sqref="AV209" start="0" length="0">
    <dxf>
      <font>
        <sz val="11"/>
        <color theme="1"/>
        <name val="Calibri"/>
        <scheme val="none"/>
      </font>
    </dxf>
  </rfmt>
  <rfmt sheetId="1" sqref="AW209" start="0" length="0">
    <dxf>
      <font>
        <sz val="11"/>
        <color theme="1"/>
        <name val="Calibri"/>
        <scheme val="none"/>
      </font>
    </dxf>
  </rfmt>
  <rfmt sheetId="1" sqref="AX209" start="0" length="0">
    <dxf>
      <font>
        <sz val="11"/>
        <color theme="1"/>
        <name val="Calibri"/>
        <scheme val="none"/>
      </font>
    </dxf>
  </rfmt>
  <rfmt sheetId="1" sqref="AY209" start="0" length="0">
    <dxf>
      <font>
        <sz val="11"/>
        <color theme="1"/>
        <name val="Calibri"/>
        <scheme val="none"/>
      </font>
    </dxf>
  </rfmt>
  <rfmt sheetId="1" sqref="A209:XFD209" start="0" length="0">
    <dxf>
      <font>
        <sz val="11"/>
        <color theme="1"/>
        <name val="Calibri"/>
        <scheme val="none"/>
      </font>
    </dxf>
  </rfmt>
  <rfmt sheetId="1" sqref="A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1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1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10" start="0" length="0">
    <dxf>
      <font>
        <sz val="11"/>
        <color theme="1"/>
        <name val="Calibri"/>
        <scheme val="none"/>
      </font>
    </dxf>
  </rfmt>
  <rfmt sheetId="1" sqref="AM210" start="0" length="0">
    <dxf>
      <font>
        <sz val="11"/>
        <color theme="1"/>
        <name val="Calibri"/>
        <scheme val="none"/>
      </font>
      <numFmt numFmtId="1" formatCode="0"/>
    </dxf>
  </rfmt>
  <rfmt sheetId="1" sqref="AN210" start="0" length="0">
    <dxf>
      <font>
        <sz val="11"/>
        <color theme="1"/>
        <name val="Calibri"/>
        <scheme val="none"/>
      </font>
      <numFmt numFmtId="1" formatCode="0"/>
    </dxf>
  </rfmt>
  <rfmt sheetId="1" sqref="AO210" start="0" length="0">
    <dxf>
      <font>
        <sz val="11"/>
        <color theme="1"/>
        <name val="Calibri"/>
        <scheme val="none"/>
      </font>
    </dxf>
  </rfmt>
  <rfmt sheetId="1" sqref="AP210" start="0" length="0">
    <dxf>
      <font>
        <sz val="11"/>
        <color theme="1"/>
        <name val="Calibri"/>
        <scheme val="none"/>
      </font>
    </dxf>
  </rfmt>
  <rfmt sheetId="1" sqref="AQ210" start="0" length="0">
    <dxf>
      <font>
        <sz val="11"/>
        <color theme="1"/>
        <name val="Calibri"/>
        <scheme val="none"/>
      </font>
      <numFmt numFmtId="164" formatCode="_-* #,##0_-;\-* #,##0_-;_-* &quot;-&quot;??_-;_-@_-"/>
    </dxf>
  </rfmt>
  <rfmt sheetId="1" sqref="AR210" start="0" length="0">
    <dxf>
      <font>
        <sz val="11"/>
        <color theme="1"/>
        <name val="Calibri"/>
        <scheme val="none"/>
      </font>
      <numFmt numFmtId="164" formatCode="_-* #,##0_-;\-* #,##0_-;_-* &quot;-&quot;??_-;_-@_-"/>
    </dxf>
  </rfmt>
  <rfmt sheetId="1" sqref="AS210" start="0" length="0">
    <dxf>
      <font>
        <sz val="11"/>
        <color theme="1"/>
        <name val="Calibri"/>
        <scheme val="none"/>
      </font>
      <numFmt numFmtId="164" formatCode="_-* #,##0_-;\-* #,##0_-;_-* &quot;-&quot;??_-;_-@_-"/>
    </dxf>
  </rfmt>
  <rfmt sheetId="1" sqref="AT210" start="0" length="0">
    <dxf>
      <font>
        <sz val="11"/>
        <color theme="1"/>
        <name val="Calibri"/>
        <scheme val="none"/>
      </font>
      <numFmt numFmtId="164" formatCode="_-* #,##0_-;\-* #,##0_-;_-* &quot;-&quot;??_-;_-@_-"/>
    </dxf>
  </rfmt>
  <rfmt sheetId="1" sqref="AU210" start="0" length="0">
    <dxf>
      <font>
        <sz val="11"/>
        <color theme="1"/>
        <name val="Calibri"/>
        <scheme val="none"/>
      </font>
    </dxf>
  </rfmt>
  <rfmt sheetId="1" sqref="AV210" start="0" length="0">
    <dxf>
      <font>
        <sz val="11"/>
        <color theme="1"/>
        <name val="Calibri"/>
        <scheme val="none"/>
      </font>
    </dxf>
  </rfmt>
  <rfmt sheetId="1" sqref="AW210" start="0" length="0">
    <dxf>
      <font>
        <sz val="11"/>
        <color theme="1"/>
        <name val="Calibri"/>
        <scheme val="none"/>
      </font>
    </dxf>
  </rfmt>
  <rfmt sheetId="1" sqref="AX210" start="0" length="0">
    <dxf>
      <font>
        <sz val="11"/>
        <color theme="1"/>
        <name val="Calibri"/>
        <scheme val="none"/>
      </font>
    </dxf>
  </rfmt>
  <rfmt sheetId="1" sqref="AY210" start="0" length="0">
    <dxf>
      <font>
        <sz val="11"/>
        <color theme="1"/>
        <name val="Calibri"/>
        <scheme val="none"/>
      </font>
    </dxf>
  </rfmt>
  <rfmt sheetId="1" sqref="A210:XFD210" start="0" length="0">
    <dxf>
      <font>
        <sz val="11"/>
        <color theme="1"/>
        <name val="Calibri"/>
        <scheme val="none"/>
      </font>
    </dxf>
  </rfmt>
  <rfmt sheetId="1" sqref="A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1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1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11" start="0" length="0">
    <dxf>
      <font>
        <sz val="11"/>
        <color theme="1"/>
        <name val="Calibri"/>
        <scheme val="none"/>
      </font>
    </dxf>
  </rfmt>
  <rfmt sheetId="1" sqref="AM211" start="0" length="0">
    <dxf>
      <font>
        <sz val="11"/>
        <color theme="1"/>
        <name val="Calibri"/>
        <scheme val="none"/>
      </font>
      <numFmt numFmtId="1" formatCode="0"/>
    </dxf>
  </rfmt>
  <rfmt sheetId="1" sqref="AN211" start="0" length="0">
    <dxf>
      <font>
        <sz val="11"/>
        <color theme="1"/>
        <name val="Calibri"/>
        <scheme val="none"/>
      </font>
      <numFmt numFmtId="1" formatCode="0"/>
    </dxf>
  </rfmt>
  <rfmt sheetId="1" sqref="AO211" start="0" length="0">
    <dxf>
      <font>
        <sz val="11"/>
        <color theme="1"/>
        <name val="Calibri"/>
        <scheme val="none"/>
      </font>
    </dxf>
  </rfmt>
  <rfmt sheetId="1" sqref="AP211" start="0" length="0">
    <dxf>
      <font>
        <sz val="11"/>
        <color theme="1"/>
        <name val="Calibri"/>
        <scheme val="none"/>
      </font>
    </dxf>
  </rfmt>
  <rfmt sheetId="1" sqref="AQ211" start="0" length="0">
    <dxf>
      <font>
        <sz val="11"/>
        <color theme="1"/>
        <name val="Calibri"/>
        <scheme val="none"/>
      </font>
      <numFmt numFmtId="164" formatCode="_-* #,##0_-;\-* #,##0_-;_-* &quot;-&quot;??_-;_-@_-"/>
    </dxf>
  </rfmt>
  <rfmt sheetId="1" sqref="AR211" start="0" length="0">
    <dxf>
      <font>
        <sz val="11"/>
        <color theme="1"/>
        <name val="Calibri"/>
        <scheme val="none"/>
      </font>
      <numFmt numFmtId="164" formatCode="_-* #,##0_-;\-* #,##0_-;_-* &quot;-&quot;??_-;_-@_-"/>
    </dxf>
  </rfmt>
  <rfmt sheetId="1" sqref="AS211" start="0" length="0">
    <dxf>
      <font>
        <sz val="11"/>
        <color theme="1"/>
        <name val="Calibri"/>
        <scheme val="none"/>
      </font>
      <numFmt numFmtId="164" formatCode="_-* #,##0_-;\-* #,##0_-;_-* &quot;-&quot;??_-;_-@_-"/>
    </dxf>
  </rfmt>
  <rfmt sheetId="1" sqref="AT211" start="0" length="0">
    <dxf>
      <font>
        <sz val="11"/>
        <color theme="1"/>
        <name val="Calibri"/>
        <scheme val="none"/>
      </font>
      <numFmt numFmtId="164" formatCode="_-* #,##0_-;\-* #,##0_-;_-* &quot;-&quot;??_-;_-@_-"/>
    </dxf>
  </rfmt>
  <rfmt sheetId="1" sqref="AU211" start="0" length="0">
    <dxf>
      <font>
        <sz val="11"/>
        <color theme="1"/>
        <name val="Calibri"/>
        <scheme val="none"/>
      </font>
    </dxf>
  </rfmt>
  <rfmt sheetId="1" sqref="AV211" start="0" length="0">
    <dxf>
      <font>
        <sz val="11"/>
        <color theme="1"/>
        <name val="Calibri"/>
        <scheme val="none"/>
      </font>
    </dxf>
  </rfmt>
  <rfmt sheetId="1" sqref="AW211" start="0" length="0">
    <dxf>
      <font>
        <sz val="11"/>
        <color theme="1"/>
        <name val="Calibri"/>
        <scheme val="none"/>
      </font>
    </dxf>
  </rfmt>
  <rfmt sheetId="1" sqref="AX211" start="0" length="0">
    <dxf>
      <font>
        <sz val="11"/>
        <color theme="1"/>
        <name val="Calibri"/>
        <scheme val="none"/>
      </font>
    </dxf>
  </rfmt>
  <rfmt sheetId="1" sqref="AY211" start="0" length="0">
    <dxf>
      <font>
        <sz val="11"/>
        <color theme="1"/>
        <name val="Calibri"/>
        <scheme val="none"/>
      </font>
    </dxf>
  </rfmt>
  <rfmt sheetId="1" sqref="A211:XFD211" start="0" length="0">
    <dxf>
      <font>
        <sz val="11"/>
        <color theme="1"/>
        <name val="Calibri"/>
        <scheme val="none"/>
      </font>
    </dxf>
  </rfmt>
  <rfmt sheetId="1" sqref="A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1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1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12" start="0" length="0">
    <dxf>
      <font>
        <sz val="11"/>
        <color theme="1"/>
        <name val="Calibri"/>
        <scheme val="none"/>
      </font>
    </dxf>
  </rfmt>
  <rfmt sheetId="1" sqref="AM212" start="0" length="0">
    <dxf>
      <font>
        <sz val="11"/>
        <color theme="1"/>
        <name val="Calibri"/>
        <scheme val="none"/>
      </font>
      <numFmt numFmtId="1" formatCode="0"/>
    </dxf>
  </rfmt>
  <rfmt sheetId="1" sqref="AN212" start="0" length="0">
    <dxf>
      <font>
        <sz val="11"/>
        <color theme="1"/>
        <name val="Calibri"/>
        <scheme val="none"/>
      </font>
      <numFmt numFmtId="1" formatCode="0"/>
    </dxf>
  </rfmt>
  <rfmt sheetId="1" sqref="AO212" start="0" length="0">
    <dxf>
      <font>
        <sz val="11"/>
        <color theme="1"/>
        <name val="Calibri"/>
        <scheme val="none"/>
      </font>
    </dxf>
  </rfmt>
  <rfmt sheetId="1" sqref="AP212" start="0" length="0">
    <dxf>
      <font>
        <sz val="11"/>
        <color theme="1"/>
        <name val="Calibri"/>
        <scheme val="none"/>
      </font>
    </dxf>
  </rfmt>
  <rfmt sheetId="1" sqref="AQ212" start="0" length="0">
    <dxf>
      <font>
        <sz val="11"/>
        <color theme="1"/>
        <name val="Calibri"/>
        <scheme val="none"/>
      </font>
      <numFmt numFmtId="164" formatCode="_-* #,##0_-;\-* #,##0_-;_-* &quot;-&quot;??_-;_-@_-"/>
    </dxf>
  </rfmt>
  <rfmt sheetId="1" sqref="AR212" start="0" length="0">
    <dxf>
      <font>
        <sz val="11"/>
        <color theme="1"/>
        <name val="Calibri"/>
        <scheme val="none"/>
      </font>
      <numFmt numFmtId="164" formatCode="_-* #,##0_-;\-* #,##0_-;_-* &quot;-&quot;??_-;_-@_-"/>
    </dxf>
  </rfmt>
  <rfmt sheetId="1" sqref="AS212" start="0" length="0">
    <dxf>
      <font>
        <sz val="11"/>
        <color theme="1"/>
        <name val="Calibri"/>
        <scheme val="none"/>
      </font>
      <numFmt numFmtId="164" formatCode="_-* #,##0_-;\-* #,##0_-;_-* &quot;-&quot;??_-;_-@_-"/>
    </dxf>
  </rfmt>
  <rfmt sheetId="1" sqref="AT212" start="0" length="0">
    <dxf>
      <font>
        <sz val="11"/>
        <color theme="1"/>
        <name val="Calibri"/>
        <scheme val="none"/>
      </font>
      <numFmt numFmtId="164" formatCode="_-* #,##0_-;\-* #,##0_-;_-* &quot;-&quot;??_-;_-@_-"/>
    </dxf>
  </rfmt>
  <rfmt sheetId="1" sqref="AU212" start="0" length="0">
    <dxf>
      <font>
        <sz val="11"/>
        <color theme="1"/>
        <name val="Calibri"/>
        <scheme val="none"/>
      </font>
    </dxf>
  </rfmt>
  <rfmt sheetId="1" sqref="AV212" start="0" length="0">
    <dxf>
      <font>
        <sz val="11"/>
        <color theme="1"/>
        <name val="Calibri"/>
        <scheme val="none"/>
      </font>
    </dxf>
  </rfmt>
  <rfmt sheetId="1" sqref="AW212" start="0" length="0">
    <dxf>
      <font>
        <sz val="11"/>
        <color theme="1"/>
        <name val="Calibri"/>
        <scheme val="none"/>
      </font>
    </dxf>
  </rfmt>
  <rfmt sheetId="1" sqref="AX212" start="0" length="0">
    <dxf>
      <font>
        <sz val="11"/>
        <color theme="1"/>
        <name val="Calibri"/>
        <scheme val="none"/>
      </font>
    </dxf>
  </rfmt>
  <rfmt sheetId="1" sqref="AY212" start="0" length="0">
    <dxf>
      <font>
        <sz val="11"/>
        <color theme="1"/>
        <name val="Calibri"/>
        <scheme val="none"/>
      </font>
    </dxf>
  </rfmt>
  <rfmt sheetId="1" sqref="A212:XFD212" start="0" length="0">
    <dxf>
      <font>
        <sz val="11"/>
        <color theme="1"/>
        <name val="Calibri"/>
        <scheme val="none"/>
      </font>
    </dxf>
  </rfmt>
  <rfmt sheetId="1" sqref="A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1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1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13" start="0" length="0">
    <dxf>
      <font>
        <sz val="11"/>
        <color theme="1"/>
        <name val="Calibri"/>
        <scheme val="none"/>
      </font>
    </dxf>
  </rfmt>
  <rfmt sheetId="1" sqref="AM213" start="0" length="0">
    <dxf>
      <font>
        <sz val="11"/>
        <color theme="1"/>
        <name val="Calibri"/>
        <scheme val="none"/>
      </font>
      <numFmt numFmtId="1" formatCode="0"/>
    </dxf>
  </rfmt>
  <rfmt sheetId="1" sqref="AN213" start="0" length="0">
    <dxf>
      <font>
        <sz val="11"/>
        <color theme="1"/>
        <name val="Calibri"/>
        <scheme val="none"/>
      </font>
      <numFmt numFmtId="1" formatCode="0"/>
    </dxf>
  </rfmt>
  <rfmt sheetId="1" sqref="AO213" start="0" length="0">
    <dxf>
      <font>
        <sz val="11"/>
        <color theme="1"/>
        <name val="Calibri"/>
        <scheme val="none"/>
      </font>
    </dxf>
  </rfmt>
  <rfmt sheetId="1" sqref="AP213" start="0" length="0">
    <dxf>
      <font>
        <sz val="11"/>
        <color theme="1"/>
        <name val="Calibri"/>
        <scheme val="none"/>
      </font>
    </dxf>
  </rfmt>
  <rfmt sheetId="1" sqref="AQ213" start="0" length="0">
    <dxf>
      <font>
        <sz val="11"/>
        <color theme="1"/>
        <name val="Calibri"/>
        <scheme val="none"/>
      </font>
      <numFmt numFmtId="164" formatCode="_-* #,##0_-;\-* #,##0_-;_-* &quot;-&quot;??_-;_-@_-"/>
    </dxf>
  </rfmt>
  <rfmt sheetId="1" sqref="AR213" start="0" length="0">
    <dxf>
      <font>
        <sz val="11"/>
        <color theme="1"/>
        <name val="Calibri"/>
        <scheme val="none"/>
      </font>
      <numFmt numFmtId="164" formatCode="_-* #,##0_-;\-* #,##0_-;_-* &quot;-&quot;??_-;_-@_-"/>
    </dxf>
  </rfmt>
  <rfmt sheetId="1" sqref="AS213" start="0" length="0">
    <dxf>
      <font>
        <sz val="11"/>
        <color theme="1"/>
        <name val="Calibri"/>
        <scheme val="none"/>
      </font>
      <numFmt numFmtId="164" formatCode="_-* #,##0_-;\-* #,##0_-;_-* &quot;-&quot;??_-;_-@_-"/>
    </dxf>
  </rfmt>
  <rfmt sheetId="1" sqref="AT213" start="0" length="0">
    <dxf>
      <font>
        <sz val="11"/>
        <color theme="1"/>
        <name val="Calibri"/>
        <scheme val="none"/>
      </font>
      <numFmt numFmtId="164" formatCode="_-* #,##0_-;\-* #,##0_-;_-* &quot;-&quot;??_-;_-@_-"/>
    </dxf>
  </rfmt>
  <rfmt sheetId="1" sqref="AU213" start="0" length="0">
    <dxf>
      <font>
        <sz val="11"/>
        <color theme="1"/>
        <name val="Calibri"/>
        <scheme val="none"/>
      </font>
    </dxf>
  </rfmt>
  <rfmt sheetId="1" sqref="AV213" start="0" length="0">
    <dxf>
      <font>
        <sz val="11"/>
        <color theme="1"/>
        <name val="Calibri"/>
        <scheme val="none"/>
      </font>
    </dxf>
  </rfmt>
  <rfmt sheetId="1" sqref="AW213" start="0" length="0">
    <dxf>
      <font>
        <sz val="11"/>
        <color theme="1"/>
        <name val="Calibri"/>
        <scheme val="none"/>
      </font>
    </dxf>
  </rfmt>
  <rfmt sheetId="1" sqref="AX213" start="0" length="0">
    <dxf>
      <font>
        <sz val="11"/>
        <color theme="1"/>
        <name val="Calibri"/>
        <scheme val="none"/>
      </font>
    </dxf>
  </rfmt>
  <rfmt sheetId="1" sqref="AY213" start="0" length="0">
    <dxf>
      <font>
        <sz val="11"/>
        <color theme="1"/>
        <name val="Calibri"/>
        <scheme val="none"/>
      </font>
    </dxf>
  </rfmt>
  <rfmt sheetId="1" sqref="A213:XFD213" start="0" length="0">
    <dxf>
      <font>
        <sz val="11"/>
        <color theme="1"/>
        <name val="Calibri"/>
        <scheme val="none"/>
      </font>
    </dxf>
  </rfmt>
  <rfmt sheetId="1" sqref="A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1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1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14" start="0" length="0">
    <dxf>
      <font>
        <sz val="11"/>
        <color theme="1"/>
        <name val="Calibri"/>
        <scheme val="none"/>
      </font>
    </dxf>
  </rfmt>
  <rfmt sheetId="1" sqref="AM214" start="0" length="0">
    <dxf>
      <font>
        <sz val="11"/>
        <color theme="1"/>
        <name val="Calibri"/>
        <scheme val="none"/>
      </font>
      <numFmt numFmtId="1" formatCode="0"/>
    </dxf>
  </rfmt>
  <rfmt sheetId="1" sqref="AN214" start="0" length="0">
    <dxf>
      <font>
        <sz val="11"/>
        <color theme="1"/>
        <name val="Calibri"/>
        <scheme val="none"/>
      </font>
      <numFmt numFmtId="1" formatCode="0"/>
    </dxf>
  </rfmt>
  <rfmt sheetId="1" sqref="AO214" start="0" length="0">
    <dxf>
      <font>
        <sz val="11"/>
        <color theme="1"/>
        <name val="Calibri"/>
        <scheme val="none"/>
      </font>
    </dxf>
  </rfmt>
  <rfmt sheetId="1" sqref="AP214" start="0" length="0">
    <dxf>
      <font>
        <sz val="11"/>
        <color theme="1"/>
        <name val="Calibri"/>
        <scheme val="none"/>
      </font>
    </dxf>
  </rfmt>
  <rfmt sheetId="1" sqref="AQ214" start="0" length="0">
    <dxf>
      <font>
        <sz val="11"/>
        <color theme="1"/>
        <name val="Calibri"/>
        <scheme val="none"/>
      </font>
      <numFmt numFmtId="164" formatCode="_-* #,##0_-;\-* #,##0_-;_-* &quot;-&quot;??_-;_-@_-"/>
    </dxf>
  </rfmt>
  <rfmt sheetId="1" sqref="AR214" start="0" length="0">
    <dxf>
      <font>
        <sz val="11"/>
        <color theme="1"/>
        <name val="Calibri"/>
        <scheme val="none"/>
      </font>
      <numFmt numFmtId="164" formatCode="_-* #,##0_-;\-* #,##0_-;_-* &quot;-&quot;??_-;_-@_-"/>
    </dxf>
  </rfmt>
  <rfmt sheetId="1" sqref="AS214" start="0" length="0">
    <dxf>
      <font>
        <sz val="11"/>
        <color theme="1"/>
        <name val="Calibri"/>
        <scheme val="none"/>
      </font>
      <numFmt numFmtId="164" formatCode="_-* #,##0_-;\-* #,##0_-;_-* &quot;-&quot;??_-;_-@_-"/>
    </dxf>
  </rfmt>
  <rfmt sheetId="1" sqref="AT214" start="0" length="0">
    <dxf>
      <font>
        <sz val="11"/>
        <color theme="1"/>
        <name val="Calibri"/>
        <scheme val="none"/>
      </font>
      <numFmt numFmtId="164" formatCode="_-* #,##0_-;\-* #,##0_-;_-* &quot;-&quot;??_-;_-@_-"/>
    </dxf>
  </rfmt>
  <rfmt sheetId="1" sqref="AU214" start="0" length="0">
    <dxf>
      <font>
        <sz val="11"/>
        <color theme="1"/>
        <name val="Calibri"/>
        <scheme val="none"/>
      </font>
    </dxf>
  </rfmt>
  <rfmt sheetId="1" sqref="AV214" start="0" length="0">
    <dxf>
      <font>
        <sz val="11"/>
        <color theme="1"/>
        <name val="Calibri"/>
        <scheme val="none"/>
      </font>
    </dxf>
  </rfmt>
  <rfmt sheetId="1" sqref="AW214" start="0" length="0">
    <dxf>
      <font>
        <sz val="11"/>
        <color theme="1"/>
        <name val="Calibri"/>
        <scheme val="none"/>
      </font>
    </dxf>
  </rfmt>
  <rfmt sheetId="1" sqref="AX214" start="0" length="0">
    <dxf>
      <font>
        <sz val="11"/>
        <color theme="1"/>
        <name val="Calibri"/>
        <scheme val="none"/>
      </font>
    </dxf>
  </rfmt>
  <rfmt sheetId="1" sqref="AY214" start="0" length="0">
    <dxf>
      <font>
        <sz val="11"/>
        <color theme="1"/>
        <name val="Calibri"/>
        <scheme val="none"/>
      </font>
    </dxf>
  </rfmt>
  <rfmt sheetId="1" sqref="A214:XFD214" start="0" length="0">
    <dxf>
      <font>
        <sz val="11"/>
        <color theme="1"/>
        <name val="Calibri"/>
        <scheme val="none"/>
      </font>
    </dxf>
  </rfmt>
  <rfmt sheetId="1" sqref="A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1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1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15" start="0" length="0">
    <dxf>
      <font>
        <sz val="11"/>
        <color theme="1"/>
        <name val="Calibri"/>
        <scheme val="none"/>
      </font>
    </dxf>
  </rfmt>
  <rfmt sheetId="1" sqref="AM215" start="0" length="0">
    <dxf>
      <font>
        <sz val="11"/>
        <color theme="1"/>
        <name val="Calibri"/>
        <scheme val="none"/>
      </font>
      <numFmt numFmtId="1" formatCode="0"/>
    </dxf>
  </rfmt>
  <rfmt sheetId="1" sqref="AN215" start="0" length="0">
    <dxf>
      <font>
        <sz val="11"/>
        <color theme="1"/>
        <name val="Calibri"/>
        <scheme val="none"/>
      </font>
      <numFmt numFmtId="1" formatCode="0"/>
    </dxf>
  </rfmt>
  <rfmt sheetId="1" sqref="AO215" start="0" length="0">
    <dxf>
      <font>
        <sz val="11"/>
        <color theme="1"/>
        <name val="Calibri"/>
        <scheme val="none"/>
      </font>
    </dxf>
  </rfmt>
  <rfmt sheetId="1" sqref="AP215" start="0" length="0">
    <dxf>
      <font>
        <sz val="11"/>
        <color theme="1"/>
        <name val="Calibri"/>
        <scheme val="none"/>
      </font>
    </dxf>
  </rfmt>
  <rfmt sheetId="1" sqref="AQ215" start="0" length="0">
    <dxf>
      <font>
        <sz val="11"/>
        <color theme="1"/>
        <name val="Calibri"/>
        <scheme val="none"/>
      </font>
      <numFmt numFmtId="164" formatCode="_-* #,##0_-;\-* #,##0_-;_-* &quot;-&quot;??_-;_-@_-"/>
    </dxf>
  </rfmt>
  <rfmt sheetId="1" sqref="AR215" start="0" length="0">
    <dxf>
      <font>
        <sz val="11"/>
        <color theme="1"/>
        <name val="Calibri"/>
        <scheme val="none"/>
      </font>
      <numFmt numFmtId="164" formatCode="_-* #,##0_-;\-* #,##0_-;_-* &quot;-&quot;??_-;_-@_-"/>
    </dxf>
  </rfmt>
  <rfmt sheetId="1" sqref="AS215" start="0" length="0">
    <dxf>
      <font>
        <sz val="11"/>
        <color theme="1"/>
        <name val="Calibri"/>
        <scheme val="none"/>
      </font>
      <numFmt numFmtId="164" formatCode="_-* #,##0_-;\-* #,##0_-;_-* &quot;-&quot;??_-;_-@_-"/>
    </dxf>
  </rfmt>
  <rfmt sheetId="1" sqref="AT215" start="0" length="0">
    <dxf>
      <font>
        <sz val="11"/>
        <color theme="1"/>
        <name val="Calibri"/>
        <scheme val="none"/>
      </font>
      <numFmt numFmtId="164" formatCode="_-* #,##0_-;\-* #,##0_-;_-* &quot;-&quot;??_-;_-@_-"/>
    </dxf>
  </rfmt>
  <rfmt sheetId="1" sqref="AU215" start="0" length="0">
    <dxf>
      <font>
        <sz val="11"/>
        <color theme="1"/>
        <name val="Calibri"/>
        <scheme val="none"/>
      </font>
    </dxf>
  </rfmt>
  <rfmt sheetId="1" sqref="AV215" start="0" length="0">
    <dxf>
      <font>
        <sz val="11"/>
        <color theme="1"/>
        <name val="Calibri"/>
        <scheme val="none"/>
      </font>
    </dxf>
  </rfmt>
  <rfmt sheetId="1" sqref="AW215" start="0" length="0">
    <dxf>
      <font>
        <sz val="11"/>
        <color theme="1"/>
        <name val="Calibri"/>
        <scheme val="none"/>
      </font>
    </dxf>
  </rfmt>
  <rfmt sheetId="1" sqref="AX215" start="0" length="0">
    <dxf>
      <font>
        <sz val="11"/>
        <color theme="1"/>
        <name val="Calibri"/>
        <scheme val="none"/>
      </font>
    </dxf>
  </rfmt>
  <rfmt sheetId="1" sqref="AY215" start="0" length="0">
    <dxf>
      <font>
        <sz val="11"/>
        <color theme="1"/>
        <name val="Calibri"/>
        <scheme val="none"/>
      </font>
    </dxf>
  </rfmt>
  <rfmt sheetId="1" sqref="A215:XFD215" start="0" length="0">
    <dxf>
      <font>
        <sz val="11"/>
        <color theme="1"/>
        <name val="Calibri"/>
        <scheme val="none"/>
      </font>
    </dxf>
  </rfmt>
  <rfmt sheetId="1" sqref="A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1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1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16" start="0" length="0">
    <dxf>
      <font>
        <sz val="11"/>
        <color theme="1"/>
        <name val="Calibri"/>
        <scheme val="none"/>
      </font>
    </dxf>
  </rfmt>
  <rfmt sheetId="1" sqref="AM216" start="0" length="0">
    <dxf>
      <font>
        <sz val="11"/>
        <color theme="1"/>
        <name val="Calibri"/>
        <scheme val="none"/>
      </font>
      <numFmt numFmtId="1" formatCode="0"/>
    </dxf>
  </rfmt>
  <rfmt sheetId="1" sqref="AN216" start="0" length="0">
    <dxf>
      <font>
        <sz val="11"/>
        <color theme="1"/>
        <name val="Calibri"/>
        <scheme val="none"/>
      </font>
      <numFmt numFmtId="1" formatCode="0"/>
    </dxf>
  </rfmt>
  <rfmt sheetId="1" sqref="AO216" start="0" length="0">
    <dxf>
      <font>
        <sz val="11"/>
        <color theme="1"/>
        <name val="Calibri"/>
        <scheme val="none"/>
      </font>
    </dxf>
  </rfmt>
  <rfmt sheetId="1" sqref="AP216" start="0" length="0">
    <dxf>
      <font>
        <sz val="11"/>
        <color theme="1"/>
        <name val="Calibri"/>
        <scheme val="none"/>
      </font>
    </dxf>
  </rfmt>
  <rfmt sheetId="1" sqref="AQ216" start="0" length="0">
    <dxf>
      <font>
        <sz val="11"/>
        <color theme="1"/>
        <name val="Calibri"/>
        <scheme val="none"/>
      </font>
      <numFmt numFmtId="164" formatCode="_-* #,##0_-;\-* #,##0_-;_-* &quot;-&quot;??_-;_-@_-"/>
    </dxf>
  </rfmt>
  <rfmt sheetId="1" sqref="AR216" start="0" length="0">
    <dxf>
      <font>
        <sz val="11"/>
        <color theme="1"/>
        <name val="Calibri"/>
        <scheme val="none"/>
      </font>
      <numFmt numFmtId="164" formatCode="_-* #,##0_-;\-* #,##0_-;_-* &quot;-&quot;??_-;_-@_-"/>
    </dxf>
  </rfmt>
  <rfmt sheetId="1" sqref="AS216" start="0" length="0">
    <dxf>
      <font>
        <sz val="11"/>
        <color theme="1"/>
        <name val="Calibri"/>
        <scheme val="none"/>
      </font>
      <numFmt numFmtId="164" formatCode="_-* #,##0_-;\-* #,##0_-;_-* &quot;-&quot;??_-;_-@_-"/>
    </dxf>
  </rfmt>
  <rfmt sheetId="1" sqref="AT216" start="0" length="0">
    <dxf>
      <font>
        <sz val="11"/>
        <color theme="1"/>
        <name val="Calibri"/>
        <scheme val="none"/>
      </font>
      <numFmt numFmtId="164" formatCode="_-* #,##0_-;\-* #,##0_-;_-* &quot;-&quot;??_-;_-@_-"/>
    </dxf>
  </rfmt>
  <rfmt sheetId="1" sqref="AU216" start="0" length="0">
    <dxf>
      <font>
        <sz val="11"/>
        <color theme="1"/>
        <name val="Calibri"/>
        <scheme val="none"/>
      </font>
    </dxf>
  </rfmt>
  <rfmt sheetId="1" sqref="AV216" start="0" length="0">
    <dxf>
      <font>
        <sz val="11"/>
        <color theme="1"/>
        <name val="Calibri"/>
        <scheme val="none"/>
      </font>
    </dxf>
  </rfmt>
  <rfmt sheetId="1" sqref="AW216" start="0" length="0">
    <dxf>
      <font>
        <sz val="11"/>
        <color theme="1"/>
        <name val="Calibri"/>
        <scheme val="none"/>
      </font>
    </dxf>
  </rfmt>
  <rfmt sheetId="1" sqref="AX216" start="0" length="0">
    <dxf>
      <font>
        <sz val="11"/>
        <color theme="1"/>
        <name val="Calibri"/>
        <scheme val="none"/>
      </font>
    </dxf>
  </rfmt>
  <rfmt sheetId="1" sqref="AY216" start="0" length="0">
    <dxf>
      <font>
        <sz val="11"/>
        <color theme="1"/>
        <name val="Calibri"/>
        <scheme val="none"/>
      </font>
    </dxf>
  </rfmt>
  <rfmt sheetId="1" sqref="A216:XFD216" start="0" length="0">
    <dxf>
      <font>
        <sz val="11"/>
        <color theme="1"/>
        <name val="Calibri"/>
        <scheme val="none"/>
      </font>
    </dxf>
  </rfmt>
  <rfmt sheetId="1" sqref="A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1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1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17" start="0" length="0">
    <dxf>
      <font>
        <sz val="11"/>
        <color theme="1"/>
        <name val="Calibri"/>
        <scheme val="none"/>
      </font>
    </dxf>
  </rfmt>
  <rfmt sheetId="1" sqref="AM217" start="0" length="0">
    <dxf>
      <font>
        <sz val="11"/>
        <color theme="1"/>
        <name val="Calibri"/>
        <scheme val="none"/>
      </font>
      <numFmt numFmtId="1" formatCode="0"/>
    </dxf>
  </rfmt>
  <rfmt sheetId="1" sqref="AN217" start="0" length="0">
    <dxf>
      <font>
        <sz val="11"/>
        <color theme="1"/>
        <name val="Calibri"/>
        <scheme val="none"/>
      </font>
      <numFmt numFmtId="1" formatCode="0"/>
    </dxf>
  </rfmt>
  <rfmt sheetId="1" sqref="AO217" start="0" length="0">
    <dxf>
      <font>
        <sz val="11"/>
        <color theme="1"/>
        <name val="Calibri"/>
        <scheme val="none"/>
      </font>
    </dxf>
  </rfmt>
  <rfmt sheetId="1" sqref="AP217" start="0" length="0">
    <dxf>
      <font>
        <sz val="11"/>
        <color theme="1"/>
        <name val="Calibri"/>
        <scheme val="none"/>
      </font>
    </dxf>
  </rfmt>
  <rfmt sheetId="1" sqref="AQ217" start="0" length="0">
    <dxf>
      <font>
        <sz val="11"/>
        <color theme="1"/>
        <name val="Calibri"/>
        <scheme val="none"/>
      </font>
      <numFmt numFmtId="164" formatCode="_-* #,##0_-;\-* #,##0_-;_-* &quot;-&quot;??_-;_-@_-"/>
    </dxf>
  </rfmt>
  <rfmt sheetId="1" sqref="AR217" start="0" length="0">
    <dxf>
      <font>
        <sz val="11"/>
        <color theme="1"/>
        <name val="Calibri"/>
        <scheme val="none"/>
      </font>
      <numFmt numFmtId="164" formatCode="_-* #,##0_-;\-* #,##0_-;_-* &quot;-&quot;??_-;_-@_-"/>
    </dxf>
  </rfmt>
  <rfmt sheetId="1" sqref="AS217" start="0" length="0">
    <dxf>
      <font>
        <sz val="11"/>
        <color theme="1"/>
        <name val="Calibri"/>
        <scheme val="none"/>
      </font>
      <numFmt numFmtId="164" formatCode="_-* #,##0_-;\-* #,##0_-;_-* &quot;-&quot;??_-;_-@_-"/>
    </dxf>
  </rfmt>
  <rfmt sheetId="1" sqref="AT217" start="0" length="0">
    <dxf>
      <font>
        <sz val="11"/>
        <color theme="1"/>
        <name val="Calibri"/>
        <scheme val="none"/>
      </font>
      <numFmt numFmtId="164" formatCode="_-* #,##0_-;\-* #,##0_-;_-* &quot;-&quot;??_-;_-@_-"/>
    </dxf>
  </rfmt>
  <rfmt sheetId="1" sqref="AU217" start="0" length="0">
    <dxf>
      <font>
        <sz val="11"/>
        <color theme="1"/>
        <name val="Calibri"/>
        <scheme val="none"/>
      </font>
    </dxf>
  </rfmt>
  <rfmt sheetId="1" sqref="AV217" start="0" length="0">
    <dxf>
      <font>
        <sz val="11"/>
        <color theme="1"/>
        <name val="Calibri"/>
        <scheme val="none"/>
      </font>
    </dxf>
  </rfmt>
  <rfmt sheetId="1" sqref="AW217" start="0" length="0">
    <dxf>
      <font>
        <sz val="11"/>
        <color theme="1"/>
        <name val="Calibri"/>
        <scheme val="none"/>
      </font>
    </dxf>
  </rfmt>
  <rfmt sheetId="1" sqref="AX217" start="0" length="0">
    <dxf>
      <font>
        <sz val="11"/>
        <color theme="1"/>
        <name val="Calibri"/>
        <scheme val="none"/>
      </font>
    </dxf>
  </rfmt>
  <rfmt sheetId="1" sqref="AY217" start="0" length="0">
    <dxf>
      <font>
        <sz val="11"/>
        <color theme="1"/>
        <name val="Calibri"/>
        <scheme val="none"/>
      </font>
    </dxf>
  </rfmt>
  <rfmt sheetId="1" sqref="A217:XFD217" start="0" length="0">
    <dxf>
      <font>
        <sz val="11"/>
        <color theme="1"/>
        <name val="Calibri"/>
        <scheme val="none"/>
      </font>
    </dxf>
  </rfmt>
  <rfmt sheetId="1" sqref="A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1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1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18" start="0" length="0">
    <dxf>
      <font>
        <sz val="11"/>
        <color theme="1"/>
        <name val="Calibri"/>
        <scheme val="none"/>
      </font>
    </dxf>
  </rfmt>
  <rfmt sheetId="1" sqref="AM218" start="0" length="0">
    <dxf>
      <font>
        <sz val="11"/>
        <color theme="1"/>
        <name val="Calibri"/>
        <scheme val="none"/>
      </font>
      <numFmt numFmtId="1" formatCode="0"/>
    </dxf>
  </rfmt>
  <rfmt sheetId="1" sqref="AN218" start="0" length="0">
    <dxf>
      <font>
        <sz val="11"/>
        <color theme="1"/>
        <name val="Calibri"/>
        <scheme val="none"/>
      </font>
      <numFmt numFmtId="1" formatCode="0"/>
    </dxf>
  </rfmt>
  <rfmt sheetId="1" sqref="AO218" start="0" length="0">
    <dxf>
      <font>
        <sz val="11"/>
        <color theme="1"/>
        <name val="Calibri"/>
        <scheme val="none"/>
      </font>
    </dxf>
  </rfmt>
  <rfmt sheetId="1" sqref="AP218" start="0" length="0">
    <dxf>
      <font>
        <sz val="11"/>
        <color theme="1"/>
        <name val="Calibri"/>
        <scheme val="none"/>
      </font>
    </dxf>
  </rfmt>
  <rfmt sheetId="1" sqref="AQ218" start="0" length="0">
    <dxf>
      <font>
        <sz val="11"/>
        <color theme="1"/>
        <name val="Calibri"/>
        <scheme val="none"/>
      </font>
      <numFmt numFmtId="164" formatCode="_-* #,##0_-;\-* #,##0_-;_-* &quot;-&quot;??_-;_-@_-"/>
    </dxf>
  </rfmt>
  <rfmt sheetId="1" sqref="AR218" start="0" length="0">
    <dxf>
      <font>
        <sz val="11"/>
        <color theme="1"/>
        <name val="Calibri"/>
        <scheme val="none"/>
      </font>
      <numFmt numFmtId="164" formatCode="_-* #,##0_-;\-* #,##0_-;_-* &quot;-&quot;??_-;_-@_-"/>
    </dxf>
  </rfmt>
  <rfmt sheetId="1" sqref="AS218" start="0" length="0">
    <dxf>
      <font>
        <sz val="11"/>
        <color theme="1"/>
        <name val="Calibri"/>
        <scheme val="none"/>
      </font>
      <numFmt numFmtId="164" formatCode="_-* #,##0_-;\-* #,##0_-;_-* &quot;-&quot;??_-;_-@_-"/>
    </dxf>
  </rfmt>
  <rfmt sheetId="1" sqref="AT218" start="0" length="0">
    <dxf>
      <font>
        <sz val="11"/>
        <color theme="1"/>
        <name val="Calibri"/>
        <scheme val="none"/>
      </font>
      <numFmt numFmtId="164" formatCode="_-* #,##0_-;\-* #,##0_-;_-* &quot;-&quot;??_-;_-@_-"/>
    </dxf>
  </rfmt>
  <rfmt sheetId="1" sqref="AU218" start="0" length="0">
    <dxf>
      <font>
        <sz val="11"/>
        <color theme="1"/>
        <name val="Calibri"/>
        <scheme val="none"/>
      </font>
    </dxf>
  </rfmt>
  <rfmt sheetId="1" sqref="AV218" start="0" length="0">
    <dxf>
      <font>
        <sz val="11"/>
        <color theme="1"/>
        <name val="Calibri"/>
        <scheme val="none"/>
      </font>
    </dxf>
  </rfmt>
  <rfmt sheetId="1" sqref="AW218" start="0" length="0">
    <dxf>
      <font>
        <sz val="11"/>
        <color theme="1"/>
        <name val="Calibri"/>
        <scheme val="none"/>
      </font>
    </dxf>
  </rfmt>
  <rfmt sheetId="1" sqref="AX218" start="0" length="0">
    <dxf>
      <font>
        <sz val="11"/>
        <color theme="1"/>
        <name val="Calibri"/>
        <scheme val="none"/>
      </font>
    </dxf>
  </rfmt>
  <rfmt sheetId="1" sqref="AY218" start="0" length="0">
    <dxf>
      <font>
        <sz val="11"/>
        <color theme="1"/>
        <name val="Calibri"/>
        <scheme val="none"/>
      </font>
    </dxf>
  </rfmt>
  <rfmt sheetId="1" sqref="A218:XFD218" start="0" length="0">
    <dxf>
      <font>
        <sz val="11"/>
        <color theme="1"/>
        <name val="Calibri"/>
        <scheme val="none"/>
      </font>
    </dxf>
  </rfmt>
  <rfmt sheetId="1" sqref="A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1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1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19" start="0" length="0">
    <dxf>
      <font>
        <sz val="11"/>
        <color theme="1"/>
        <name val="Calibri"/>
        <scheme val="none"/>
      </font>
    </dxf>
  </rfmt>
  <rfmt sheetId="1" sqref="AM219" start="0" length="0">
    <dxf>
      <font>
        <sz val="11"/>
        <color theme="1"/>
        <name val="Calibri"/>
        <scheme val="none"/>
      </font>
      <numFmt numFmtId="1" formatCode="0"/>
    </dxf>
  </rfmt>
  <rfmt sheetId="1" sqref="AN219" start="0" length="0">
    <dxf>
      <font>
        <sz val="11"/>
        <color theme="1"/>
        <name val="Calibri"/>
        <scheme val="none"/>
      </font>
      <numFmt numFmtId="1" formatCode="0"/>
    </dxf>
  </rfmt>
  <rfmt sheetId="1" sqref="AO219" start="0" length="0">
    <dxf>
      <font>
        <sz val="11"/>
        <color theme="1"/>
        <name val="Calibri"/>
        <scheme val="none"/>
      </font>
    </dxf>
  </rfmt>
  <rfmt sheetId="1" sqref="AP219" start="0" length="0">
    <dxf>
      <font>
        <sz val="11"/>
        <color theme="1"/>
        <name val="Calibri"/>
        <scheme val="none"/>
      </font>
    </dxf>
  </rfmt>
  <rfmt sheetId="1" sqref="AQ219" start="0" length="0">
    <dxf>
      <font>
        <sz val="11"/>
        <color theme="1"/>
        <name val="Calibri"/>
        <scheme val="none"/>
      </font>
      <numFmt numFmtId="164" formatCode="_-* #,##0_-;\-* #,##0_-;_-* &quot;-&quot;??_-;_-@_-"/>
    </dxf>
  </rfmt>
  <rfmt sheetId="1" sqref="AR219" start="0" length="0">
    <dxf>
      <font>
        <sz val="11"/>
        <color theme="1"/>
        <name val="Calibri"/>
        <scheme val="none"/>
      </font>
      <numFmt numFmtId="164" formatCode="_-* #,##0_-;\-* #,##0_-;_-* &quot;-&quot;??_-;_-@_-"/>
    </dxf>
  </rfmt>
  <rfmt sheetId="1" sqref="AS219" start="0" length="0">
    <dxf>
      <font>
        <sz val="11"/>
        <color theme="1"/>
        <name val="Calibri"/>
        <scheme val="none"/>
      </font>
      <numFmt numFmtId="164" formatCode="_-* #,##0_-;\-* #,##0_-;_-* &quot;-&quot;??_-;_-@_-"/>
    </dxf>
  </rfmt>
  <rfmt sheetId="1" sqref="AT219" start="0" length="0">
    <dxf>
      <font>
        <sz val="11"/>
        <color theme="1"/>
        <name val="Calibri"/>
        <scheme val="none"/>
      </font>
      <numFmt numFmtId="164" formatCode="_-* #,##0_-;\-* #,##0_-;_-* &quot;-&quot;??_-;_-@_-"/>
    </dxf>
  </rfmt>
  <rfmt sheetId="1" sqref="AU219" start="0" length="0">
    <dxf>
      <font>
        <sz val="11"/>
        <color theme="1"/>
        <name val="Calibri"/>
        <scheme val="none"/>
      </font>
    </dxf>
  </rfmt>
  <rfmt sheetId="1" sqref="AV219" start="0" length="0">
    <dxf>
      <font>
        <sz val="11"/>
        <color theme="1"/>
        <name val="Calibri"/>
        <scheme val="none"/>
      </font>
    </dxf>
  </rfmt>
  <rfmt sheetId="1" sqref="AW219" start="0" length="0">
    <dxf>
      <font>
        <sz val="11"/>
        <color theme="1"/>
        <name val="Calibri"/>
        <scheme val="none"/>
      </font>
    </dxf>
  </rfmt>
  <rfmt sheetId="1" sqref="AX219" start="0" length="0">
    <dxf>
      <font>
        <sz val="11"/>
        <color theme="1"/>
        <name val="Calibri"/>
        <scheme val="none"/>
      </font>
    </dxf>
  </rfmt>
  <rfmt sheetId="1" sqref="AY219" start="0" length="0">
    <dxf>
      <font>
        <sz val="11"/>
        <color theme="1"/>
        <name val="Calibri"/>
        <scheme val="none"/>
      </font>
    </dxf>
  </rfmt>
  <rfmt sheetId="1" sqref="A219:XFD219" start="0" length="0">
    <dxf>
      <font>
        <sz val="11"/>
        <color theme="1"/>
        <name val="Calibri"/>
        <scheme val="none"/>
      </font>
    </dxf>
  </rfmt>
  <rfmt sheetId="1" sqref="A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2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2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20" start="0" length="0">
    <dxf>
      <font>
        <sz val="11"/>
        <color theme="1"/>
        <name val="Calibri"/>
        <scheme val="none"/>
      </font>
    </dxf>
  </rfmt>
  <rfmt sheetId="1" sqref="AM220" start="0" length="0">
    <dxf>
      <font>
        <sz val="11"/>
        <color theme="1"/>
        <name val="Calibri"/>
        <scheme val="none"/>
      </font>
      <numFmt numFmtId="1" formatCode="0"/>
    </dxf>
  </rfmt>
  <rfmt sheetId="1" sqref="AN220" start="0" length="0">
    <dxf>
      <font>
        <sz val="11"/>
        <color theme="1"/>
        <name val="Calibri"/>
        <scheme val="none"/>
      </font>
      <numFmt numFmtId="1" formatCode="0"/>
    </dxf>
  </rfmt>
  <rfmt sheetId="1" sqref="AO220" start="0" length="0">
    <dxf>
      <font>
        <sz val="11"/>
        <color theme="1"/>
        <name val="Calibri"/>
        <scheme val="none"/>
      </font>
    </dxf>
  </rfmt>
  <rfmt sheetId="1" sqref="AP220" start="0" length="0">
    <dxf>
      <font>
        <sz val="11"/>
        <color theme="1"/>
        <name val="Calibri"/>
        <scheme val="none"/>
      </font>
    </dxf>
  </rfmt>
  <rfmt sheetId="1" sqref="AQ220" start="0" length="0">
    <dxf>
      <font>
        <sz val="11"/>
        <color theme="1"/>
        <name val="Calibri"/>
        <scheme val="none"/>
      </font>
      <numFmt numFmtId="164" formatCode="_-* #,##0_-;\-* #,##0_-;_-* &quot;-&quot;??_-;_-@_-"/>
    </dxf>
  </rfmt>
  <rfmt sheetId="1" sqref="AR220" start="0" length="0">
    <dxf>
      <font>
        <sz val="11"/>
        <color theme="1"/>
        <name val="Calibri"/>
        <scheme val="none"/>
      </font>
      <numFmt numFmtId="164" formatCode="_-* #,##0_-;\-* #,##0_-;_-* &quot;-&quot;??_-;_-@_-"/>
    </dxf>
  </rfmt>
  <rfmt sheetId="1" sqref="AS220" start="0" length="0">
    <dxf>
      <font>
        <sz val="11"/>
        <color theme="1"/>
        <name val="Calibri"/>
        <scheme val="none"/>
      </font>
      <numFmt numFmtId="164" formatCode="_-* #,##0_-;\-* #,##0_-;_-* &quot;-&quot;??_-;_-@_-"/>
    </dxf>
  </rfmt>
  <rfmt sheetId="1" sqref="AT220" start="0" length="0">
    <dxf>
      <font>
        <sz val="11"/>
        <color theme="1"/>
        <name val="Calibri"/>
        <scheme val="none"/>
      </font>
      <numFmt numFmtId="164" formatCode="_-* #,##0_-;\-* #,##0_-;_-* &quot;-&quot;??_-;_-@_-"/>
    </dxf>
  </rfmt>
  <rfmt sheetId="1" sqref="AU220" start="0" length="0">
    <dxf>
      <font>
        <sz val="11"/>
        <color theme="1"/>
        <name val="Calibri"/>
        <scheme val="none"/>
      </font>
    </dxf>
  </rfmt>
  <rfmt sheetId="1" sqref="AV220" start="0" length="0">
    <dxf>
      <font>
        <sz val="11"/>
        <color theme="1"/>
        <name val="Calibri"/>
        <scheme val="none"/>
      </font>
    </dxf>
  </rfmt>
  <rfmt sheetId="1" sqref="AW220" start="0" length="0">
    <dxf>
      <font>
        <sz val="11"/>
        <color theme="1"/>
        <name val="Calibri"/>
        <scheme val="none"/>
      </font>
    </dxf>
  </rfmt>
  <rfmt sheetId="1" sqref="AX220" start="0" length="0">
    <dxf>
      <font>
        <sz val="11"/>
        <color theme="1"/>
        <name val="Calibri"/>
        <scheme val="none"/>
      </font>
    </dxf>
  </rfmt>
  <rfmt sheetId="1" sqref="AY220" start="0" length="0">
    <dxf>
      <font>
        <sz val="11"/>
        <color theme="1"/>
        <name val="Calibri"/>
        <scheme val="none"/>
      </font>
    </dxf>
  </rfmt>
  <rfmt sheetId="1" sqref="A220:XFD220" start="0" length="0">
    <dxf>
      <font>
        <sz val="11"/>
        <color theme="1"/>
        <name val="Calibri"/>
        <scheme val="none"/>
      </font>
    </dxf>
  </rfmt>
  <rfmt sheetId="1" sqref="A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2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2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21" start="0" length="0">
    <dxf>
      <font>
        <sz val="11"/>
        <color theme="1"/>
        <name val="Calibri"/>
        <scheme val="none"/>
      </font>
    </dxf>
  </rfmt>
  <rfmt sheetId="1" sqref="AM221" start="0" length="0">
    <dxf>
      <font>
        <sz val="11"/>
        <color theme="1"/>
        <name val="Calibri"/>
        <scheme val="none"/>
      </font>
      <numFmt numFmtId="1" formatCode="0"/>
    </dxf>
  </rfmt>
  <rfmt sheetId="1" sqref="AN221" start="0" length="0">
    <dxf>
      <font>
        <sz val="11"/>
        <color theme="1"/>
        <name val="Calibri"/>
        <scheme val="none"/>
      </font>
      <numFmt numFmtId="1" formatCode="0"/>
    </dxf>
  </rfmt>
  <rfmt sheetId="1" sqref="AO221" start="0" length="0">
    <dxf>
      <font>
        <sz val="11"/>
        <color theme="1"/>
        <name val="Calibri"/>
        <scheme val="none"/>
      </font>
    </dxf>
  </rfmt>
  <rfmt sheetId="1" sqref="AP221" start="0" length="0">
    <dxf>
      <font>
        <sz val="11"/>
        <color theme="1"/>
        <name val="Calibri"/>
        <scheme val="none"/>
      </font>
    </dxf>
  </rfmt>
  <rfmt sheetId="1" sqref="AQ221" start="0" length="0">
    <dxf>
      <font>
        <sz val="11"/>
        <color theme="1"/>
        <name val="Calibri"/>
        <scheme val="none"/>
      </font>
      <numFmt numFmtId="164" formatCode="_-* #,##0_-;\-* #,##0_-;_-* &quot;-&quot;??_-;_-@_-"/>
    </dxf>
  </rfmt>
  <rfmt sheetId="1" sqref="AR221" start="0" length="0">
    <dxf>
      <font>
        <sz val="11"/>
        <color theme="1"/>
        <name val="Calibri"/>
        <scheme val="none"/>
      </font>
      <numFmt numFmtId="164" formatCode="_-* #,##0_-;\-* #,##0_-;_-* &quot;-&quot;??_-;_-@_-"/>
    </dxf>
  </rfmt>
  <rfmt sheetId="1" sqref="AS221" start="0" length="0">
    <dxf>
      <font>
        <sz val="11"/>
        <color theme="1"/>
        <name val="Calibri"/>
        <scheme val="none"/>
      </font>
      <numFmt numFmtId="164" formatCode="_-* #,##0_-;\-* #,##0_-;_-* &quot;-&quot;??_-;_-@_-"/>
    </dxf>
  </rfmt>
  <rfmt sheetId="1" sqref="AT221" start="0" length="0">
    <dxf>
      <font>
        <sz val="11"/>
        <color theme="1"/>
        <name val="Calibri"/>
        <scheme val="none"/>
      </font>
      <numFmt numFmtId="164" formatCode="_-* #,##0_-;\-* #,##0_-;_-* &quot;-&quot;??_-;_-@_-"/>
    </dxf>
  </rfmt>
  <rfmt sheetId="1" sqref="AU221" start="0" length="0">
    <dxf>
      <font>
        <sz val="11"/>
        <color theme="1"/>
        <name val="Calibri"/>
        <scheme val="none"/>
      </font>
    </dxf>
  </rfmt>
  <rfmt sheetId="1" sqref="AV221" start="0" length="0">
    <dxf>
      <font>
        <sz val="11"/>
        <color theme="1"/>
        <name val="Calibri"/>
        <scheme val="none"/>
      </font>
    </dxf>
  </rfmt>
  <rfmt sheetId="1" sqref="AW221" start="0" length="0">
    <dxf>
      <font>
        <sz val="11"/>
        <color theme="1"/>
        <name val="Calibri"/>
        <scheme val="none"/>
      </font>
    </dxf>
  </rfmt>
  <rfmt sheetId="1" sqref="AX221" start="0" length="0">
    <dxf>
      <font>
        <sz val="11"/>
        <color theme="1"/>
        <name val="Calibri"/>
        <scheme val="none"/>
      </font>
    </dxf>
  </rfmt>
  <rfmt sheetId="1" sqref="AY221" start="0" length="0">
    <dxf>
      <font>
        <sz val="11"/>
        <color theme="1"/>
        <name val="Calibri"/>
        <scheme val="none"/>
      </font>
    </dxf>
  </rfmt>
  <rfmt sheetId="1" sqref="A221:XFD221" start="0" length="0">
    <dxf>
      <font>
        <sz val="11"/>
        <color theme="1"/>
        <name val="Calibri"/>
        <scheme val="none"/>
      </font>
    </dxf>
  </rfmt>
  <rfmt sheetId="1" sqref="A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2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2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22" start="0" length="0">
    <dxf>
      <font>
        <sz val="11"/>
        <color theme="1"/>
        <name val="Calibri"/>
        <scheme val="none"/>
      </font>
    </dxf>
  </rfmt>
  <rfmt sheetId="1" sqref="AM222" start="0" length="0">
    <dxf>
      <font>
        <sz val="11"/>
        <color theme="1"/>
        <name val="Calibri"/>
        <scheme val="none"/>
      </font>
      <numFmt numFmtId="1" formatCode="0"/>
    </dxf>
  </rfmt>
  <rfmt sheetId="1" sqref="AN222" start="0" length="0">
    <dxf>
      <font>
        <sz val="11"/>
        <color theme="1"/>
        <name val="Calibri"/>
        <scheme val="none"/>
      </font>
      <numFmt numFmtId="1" formatCode="0"/>
    </dxf>
  </rfmt>
  <rfmt sheetId="1" sqref="AO222" start="0" length="0">
    <dxf>
      <font>
        <sz val="11"/>
        <color theme="1"/>
        <name val="Calibri"/>
        <scheme val="none"/>
      </font>
    </dxf>
  </rfmt>
  <rfmt sheetId="1" sqref="AP222" start="0" length="0">
    <dxf>
      <font>
        <sz val="11"/>
        <color theme="1"/>
        <name val="Calibri"/>
        <scheme val="none"/>
      </font>
    </dxf>
  </rfmt>
  <rfmt sheetId="1" sqref="AQ222" start="0" length="0">
    <dxf>
      <font>
        <sz val="11"/>
        <color theme="1"/>
        <name val="Calibri"/>
        <scheme val="none"/>
      </font>
      <numFmt numFmtId="164" formatCode="_-* #,##0_-;\-* #,##0_-;_-* &quot;-&quot;??_-;_-@_-"/>
    </dxf>
  </rfmt>
  <rfmt sheetId="1" sqref="AR222" start="0" length="0">
    <dxf>
      <font>
        <sz val="11"/>
        <color theme="1"/>
        <name val="Calibri"/>
        <scheme val="none"/>
      </font>
      <numFmt numFmtId="164" formatCode="_-* #,##0_-;\-* #,##0_-;_-* &quot;-&quot;??_-;_-@_-"/>
    </dxf>
  </rfmt>
  <rfmt sheetId="1" sqref="AS222" start="0" length="0">
    <dxf>
      <font>
        <sz val="11"/>
        <color theme="1"/>
        <name val="Calibri"/>
        <scheme val="none"/>
      </font>
      <numFmt numFmtId="164" formatCode="_-* #,##0_-;\-* #,##0_-;_-* &quot;-&quot;??_-;_-@_-"/>
    </dxf>
  </rfmt>
  <rfmt sheetId="1" sqref="AT222" start="0" length="0">
    <dxf>
      <font>
        <sz val="11"/>
        <color theme="1"/>
        <name val="Calibri"/>
        <scheme val="none"/>
      </font>
      <numFmt numFmtId="164" formatCode="_-* #,##0_-;\-* #,##0_-;_-* &quot;-&quot;??_-;_-@_-"/>
    </dxf>
  </rfmt>
  <rfmt sheetId="1" sqref="AU222" start="0" length="0">
    <dxf>
      <font>
        <sz val="11"/>
        <color theme="1"/>
        <name val="Calibri"/>
        <scheme val="none"/>
      </font>
    </dxf>
  </rfmt>
  <rfmt sheetId="1" sqref="AV222" start="0" length="0">
    <dxf>
      <font>
        <sz val="11"/>
        <color theme="1"/>
        <name val="Calibri"/>
        <scheme val="none"/>
      </font>
    </dxf>
  </rfmt>
  <rfmt sheetId="1" sqref="AW222" start="0" length="0">
    <dxf>
      <font>
        <sz val="11"/>
        <color theme="1"/>
        <name val="Calibri"/>
        <scheme val="none"/>
      </font>
    </dxf>
  </rfmt>
  <rfmt sheetId="1" sqref="AX222" start="0" length="0">
    <dxf>
      <font>
        <sz val="11"/>
        <color theme="1"/>
        <name val="Calibri"/>
        <scheme val="none"/>
      </font>
    </dxf>
  </rfmt>
  <rfmt sheetId="1" sqref="AY222" start="0" length="0">
    <dxf>
      <font>
        <sz val="11"/>
        <color theme="1"/>
        <name val="Calibri"/>
        <scheme val="none"/>
      </font>
    </dxf>
  </rfmt>
  <rfmt sheetId="1" sqref="A222:XFD222" start="0" length="0">
    <dxf>
      <font>
        <sz val="11"/>
        <color theme="1"/>
        <name val="Calibri"/>
        <scheme val="none"/>
      </font>
    </dxf>
  </rfmt>
  <rfmt sheetId="1" sqref="A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2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2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23" start="0" length="0">
    <dxf>
      <font>
        <sz val="11"/>
        <color theme="1"/>
        <name val="Calibri"/>
        <scheme val="none"/>
      </font>
    </dxf>
  </rfmt>
  <rfmt sheetId="1" sqref="AM223" start="0" length="0">
    <dxf>
      <font>
        <sz val="11"/>
        <color theme="1"/>
        <name val="Calibri"/>
        <scheme val="none"/>
      </font>
      <numFmt numFmtId="1" formatCode="0"/>
    </dxf>
  </rfmt>
  <rfmt sheetId="1" sqref="AN223" start="0" length="0">
    <dxf>
      <font>
        <sz val="11"/>
        <color theme="1"/>
        <name val="Calibri"/>
        <scheme val="none"/>
      </font>
      <numFmt numFmtId="1" formatCode="0"/>
    </dxf>
  </rfmt>
  <rfmt sheetId="1" sqref="AO223" start="0" length="0">
    <dxf>
      <font>
        <sz val="11"/>
        <color theme="1"/>
        <name val="Calibri"/>
        <scheme val="none"/>
      </font>
    </dxf>
  </rfmt>
  <rfmt sheetId="1" sqref="AP223" start="0" length="0">
    <dxf>
      <font>
        <sz val="11"/>
        <color theme="1"/>
        <name val="Calibri"/>
        <scheme val="none"/>
      </font>
    </dxf>
  </rfmt>
  <rfmt sheetId="1" sqref="AQ223" start="0" length="0">
    <dxf>
      <font>
        <sz val="11"/>
        <color theme="1"/>
        <name val="Calibri"/>
        <scheme val="none"/>
      </font>
      <numFmt numFmtId="164" formatCode="_-* #,##0_-;\-* #,##0_-;_-* &quot;-&quot;??_-;_-@_-"/>
    </dxf>
  </rfmt>
  <rfmt sheetId="1" sqref="AR223" start="0" length="0">
    <dxf>
      <font>
        <sz val="11"/>
        <color theme="1"/>
        <name val="Calibri"/>
        <scheme val="none"/>
      </font>
      <numFmt numFmtId="164" formatCode="_-* #,##0_-;\-* #,##0_-;_-* &quot;-&quot;??_-;_-@_-"/>
    </dxf>
  </rfmt>
  <rfmt sheetId="1" sqref="AS223" start="0" length="0">
    <dxf>
      <font>
        <sz val="11"/>
        <color theme="1"/>
        <name val="Calibri"/>
        <scheme val="none"/>
      </font>
      <numFmt numFmtId="164" formatCode="_-* #,##0_-;\-* #,##0_-;_-* &quot;-&quot;??_-;_-@_-"/>
    </dxf>
  </rfmt>
  <rfmt sheetId="1" sqref="AT223" start="0" length="0">
    <dxf>
      <font>
        <sz val="11"/>
        <color theme="1"/>
        <name val="Calibri"/>
        <scheme val="none"/>
      </font>
      <numFmt numFmtId="164" formatCode="_-* #,##0_-;\-* #,##0_-;_-* &quot;-&quot;??_-;_-@_-"/>
    </dxf>
  </rfmt>
  <rfmt sheetId="1" sqref="AU223" start="0" length="0">
    <dxf>
      <font>
        <sz val="11"/>
        <color theme="1"/>
        <name val="Calibri"/>
        <scheme val="none"/>
      </font>
    </dxf>
  </rfmt>
  <rfmt sheetId="1" sqref="AV223" start="0" length="0">
    <dxf>
      <font>
        <sz val="11"/>
        <color theme="1"/>
        <name val="Calibri"/>
        <scheme val="none"/>
      </font>
    </dxf>
  </rfmt>
  <rfmt sheetId="1" sqref="AW223" start="0" length="0">
    <dxf>
      <font>
        <sz val="11"/>
        <color theme="1"/>
        <name val="Calibri"/>
        <scheme val="none"/>
      </font>
    </dxf>
  </rfmt>
  <rfmt sheetId="1" sqref="AX223" start="0" length="0">
    <dxf>
      <font>
        <sz val="11"/>
        <color theme="1"/>
        <name val="Calibri"/>
        <scheme val="none"/>
      </font>
    </dxf>
  </rfmt>
  <rfmt sheetId="1" sqref="AY223" start="0" length="0">
    <dxf>
      <font>
        <sz val="11"/>
        <color theme="1"/>
        <name val="Calibri"/>
        <scheme val="none"/>
      </font>
    </dxf>
  </rfmt>
  <rfmt sheetId="1" sqref="A223:XFD223" start="0" length="0">
    <dxf>
      <font>
        <sz val="11"/>
        <color theme="1"/>
        <name val="Calibri"/>
        <scheme val="none"/>
      </font>
    </dxf>
  </rfmt>
  <rfmt sheetId="1" sqref="A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2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2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24" start="0" length="0">
    <dxf>
      <font>
        <sz val="11"/>
        <color theme="1"/>
        <name val="Calibri"/>
        <scheme val="none"/>
      </font>
    </dxf>
  </rfmt>
  <rfmt sheetId="1" sqref="AM224" start="0" length="0">
    <dxf>
      <font>
        <sz val="11"/>
        <color theme="1"/>
        <name val="Calibri"/>
        <scheme val="none"/>
      </font>
      <numFmt numFmtId="1" formatCode="0"/>
    </dxf>
  </rfmt>
  <rfmt sheetId="1" sqref="AN224" start="0" length="0">
    <dxf>
      <font>
        <sz val="11"/>
        <color theme="1"/>
        <name val="Calibri"/>
        <scheme val="none"/>
      </font>
      <numFmt numFmtId="1" formatCode="0"/>
    </dxf>
  </rfmt>
  <rfmt sheetId="1" sqref="AO224" start="0" length="0">
    <dxf>
      <font>
        <sz val="11"/>
        <color theme="1"/>
        <name val="Calibri"/>
        <scheme val="none"/>
      </font>
    </dxf>
  </rfmt>
  <rfmt sheetId="1" sqref="AP224" start="0" length="0">
    <dxf>
      <font>
        <sz val="11"/>
        <color theme="1"/>
        <name val="Calibri"/>
        <scheme val="none"/>
      </font>
    </dxf>
  </rfmt>
  <rfmt sheetId="1" sqref="AQ224" start="0" length="0">
    <dxf>
      <font>
        <sz val="11"/>
        <color theme="1"/>
        <name val="Calibri"/>
        <scheme val="none"/>
      </font>
      <numFmt numFmtId="164" formatCode="_-* #,##0_-;\-* #,##0_-;_-* &quot;-&quot;??_-;_-@_-"/>
    </dxf>
  </rfmt>
  <rfmt sheetId="1" sqref="AR224" start="0" length="0">
    <dxf>
      <font>
        <sz val="11"/>
        <color theme="1"/>
        <name val="Calibri"/>
        <scheme val="none"/>
      </font>
      <numFmt numFmtId="164" formatCode="_-* #,##0_-;\-* #,##0_-;_-* &quot;-&quot;??_-;_-@_-"/>
    </dxf>
  </rfmt>
  <rfmt sheetId="1" sqref="AS224" start="0" length="0">
    <dxf>
      <font>
        <sz val="11"/>
        <color theme="1"/>
        <name val="Calibri"/>
        <scheme val="none"/>
      </font>
      <numFmt numFmtId="164" formatCode="_-* #,##0_-;\-* #,##0_-;_-* &quot;-&quot;??_-;_-@_-"/>
    </dxf>
  </rfmt>
  <rfmt sheetId="1" sqref="AT224" start="0" length="0">
    <dxf>
      <font>
        <sz val="11"/>
        <color theme="1"/>
        <name val="Calibri"/>
        <scheme val="none"/>
      </font>
      <numFmt numFmtId="164" formatCode="_-* #,##0_-;\-* #,##0_-;_-* &quot;-&quot;??_-;_-@_-"/>
    </dxf>
  </rfmt>
  <rfmt sheetId="1" sqref="AU224" start="0" length="0">
    <dxf>
      <font>
        <sz val="11"/>
        <color theme="1"/>
        <name val="Calibri"/>
        <scheme val="none"/>
      </font>
    </dxf>
  </rfmt>
  <rfmt sheetId="1" sqref="AV224" start="0" length="0">
    <dxf>
      <font>
        <sz val="11"/>
        <color theme="1"/>
        <name val="Calibri"/>
        <scheme val="none"/>
      </font>
    </dxf>
  </rfmt>
  <rfmt sheetId="1" sqref="AW224" start="0" length="0">
    <dxf>
      <font>
        <sz val="11"/>
        <color theme="1"/>
        <name val="Calibri"/>
        <scheme val="none"/>
      </font>
    </dxf>
  </rfmt>
  <rfmt sheetId="1" sqref="AX224" start="0" length="0">
    <dxf>
      <font>
        <sz val="11"/>
        <color theme="1"/>
        <name val="Calibri"/>
        <scheme val="none"/>
      </font>
    </dxf>
  </rfmt>
  <rfmt sheetId="1" sqref="AY224" start="0" length="0">
    <dxf>
      <font>
        <sz val="11"/>
        <color theme="1"/>
        <name val="Calibri"/>
        <scheme val="none"/>
      </font>
    </dxf>
  </rfmt>
  <rfmt sheetId="1" sqref="A224:XFD224" start="0" length="0">
    <dxf>
      <font>
        <sz val="11"/>
        <color theme="1"/>
        <name val="Calibri"/>
        <scheme val="none"/>
      </font>
    </dxf>
  </rfmt>
  <rfmt sheetId="1" sqref="A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2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2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25" start="0" length="0">
    <dxf>
      <font>
        <sz val="11"/>
        <color theme="1"/>
        <name val="Calibri"/>
        <scheme val="none"/>
      </font>
    </dxf>
  </rfmt>
  <rfmt sheetId="1" sqref="AM225" start="0" length="0">
    <dxf>
      <font>
        <sz val="11"/>
        <color theme="1"/>
        <name val="Calibri"/>
        <scheme val="none"/>
      </font>
      <numFmt numFmtId="1" formatCode="0"/>
    </dxf>
  </rfmt>
  <rfmt sheetId="1" sqref="AN225" start="0" length="0">
    <dxf>
      <font>
        <sz val="11"/>
        <color theme="1"/>
        <name val="Calibri"/>
        <scheme val="none"/>
      </font>
      <numFmt numFmtId="1" formatCode="0"/>
    </dxf>
  </rfmt>
  <rfmt sheetId="1" sqref="AO225" start="0" length="0">
    <dxf>
      <font>
        <sz val="11"/>
        <color theme="1"/>
        <name val="Calibri"/>
        <scheme val="none"/>
      </font>
    </dxf>
  </rfmt>
  <rfmt sheetId="1" sqref="AP225" start="0" length="0">
    <dxf>
      <font>
        <sz val="11"/>
        <color theme="1"/>
        <name val="Calibri"/>
        <scheme val="none"/>
      </font>
    </dxf>
  </rfmt>
  <rfmt sheetId="1" sqref="AQ225" start="0" length="0">
    <dxf>
      <font>
        <sz val="11"/>
        <color theme="1"/>
        <name val="Calibri"/>
        <scheme val="none"/>
      </font>
      <numFmt numFmtId="164" formatCode="_-* #,##0_-;\-* #,##0_-;_-* &quot;-&quot;??_-;_-@_-"/>
    </dxf>
  </rfmt>
  <rfmt sheetId="1" sqref="AR225" start="0" length="0">
    <dxf>
      <font>
        <sz val="11"/>
        <color theme="1"/>
        <name val="Calibri"/>
        <scheme val="none"/>
      </font>
      <numFmt numFmtId="164" formatCode="_-* #,##0_-;\-* #,##0_-;_-* &quot;-&quot;??_-;_-@_-"/>
    </dxf>
  </rfmt>
  <rfmt sheetId="1" sqref="AS225" start="0" length="0">
    <dxf>
      <font>
        <sz val="11"/>
        <color theme="1"/>
        <name val="Calibri"/>
        <scheme val="none"/>
      </font>
      <numFmt numFmtId="164" formatCode="_-* #,##0_-;\-* #,##0_-;_-* &quot;-&quot;??_-;_-@_-"/>
    </dxf>
  </rfmt>
  <rfmt sheetId="1" sqref="AT225" start="0" length="0">
    <dxf>
      <font>
        <sz val="11"/>
        <color theme="1"/>
        <name val="Calibri"/>
        <scheme val="none"/>
      </font>
      <numFmt numFmtId="164" formatCode="_-* #,##0_-;\-* #,##0_-;_-* &quot;-&quot;??_-;_-@_-"/>
    </dxf>
  </rfmt>
  <rfmt sheetId="1" sqref="AU225" start="0" length="0">
    <dxf>
      <font>
        <sz val="11"/>
        <color theme="1"/>
        <name val="Calibri"/>
        <scheme val="none"/>
      </font>
    </dxf>
  </rfmt>
  <rfmt sheetId="1" sqref="AV225" start="0" length="0">
    <dxf>
      <font>
        <sz val="11"/>
        <color theme="1"/>
        <name val="Calibri"/>
        <scheme val="none"/>
      </font>
    </dxf>
  </rfmt>
  <rfmt sheetId="1" sqref="AW225" start="0" length="0">
    <dxf>
      <font>
        <sz val="11"/>
        <color theme="1"/>
        <name val="Calibri"/>
        <scheme val="none"/>
      </font>
    </dxf>
  </rfmt>
  <rfmt sheetId="1" sqref="AX225" start="0" length="0">
    <dxf>
      <font>
        <sz val="11"/>
        <color theme="1"/>
        <name val="Calibri"/>
        <scheme val="none"/>
      </font>
    </dxf>
  </rfmt>
  <rfmt sheetId="1" sqref="AY225" start="0" length="0">
    <dxf>
      <font>
        <sz val="11"/>
        <color theme="1"/>
        <name val="Calibri"/>
        <scheme val="none"/>
      </font>
    </dxf>
  </rfmt>
  <rfmt sheetId="1" sqref="A225:XFD225" start="0" length="0">
    <dxf>
      <font>
        <sz val="11"/>
        <color theme="1"/>
        <name val="Calibri"/>
        <scheme val="none"/>
      </font>
    </dxf>
  </rfmt>
  <rfmt sheetId="1" sqref="A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2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2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26" start="0" length="0">
    <dxf>
      <font>
        <sz val="11"/>
        <color theme="1"/>
        <name val="Calibri"/>
        <scheme val="none"/>
      </font>
    </dxf>
  </rfmt>
  <rfmt sheetId="1" sqref="AM226" start="0" length="0">
    <dxf>
      <font>
        <sz val="11"/>
        <color theme="1"/>
        <name val="Calibri"/>
        <scheme val="none"/>
      </font>
      <numFmt numFmtId="1" formatCode="0"/>
    </dxf>
  </rfmt>
  <rfmt sheetId="1" sqref="AN226" start="0" length="0">
    <dxf>
      <font>
        <sz val="11"/>
        <color theme="1"/>
        <name val="Calibri"/>
        <scheme val="none"/>
      </font>
      <numFmt numFmtId="1" formatCode="0"/>
    </dxf>
  </rfmt>
  <rfmt sheetId="1" sqref="AO226" start="0" length="0">
    <dxf>
      <font>
        <sz val="11"/>
        <color theme="1"/>
        <name val="Calibri"/>
        <scheme val="none"/>
      </font>
    </dxf>
  </rfmt>
  <rfmt sheetId="1" sqref="AP226" start="0" length="0">
    <dxf>
      <font>
        <sz val="11"/>
        <color theme="1"/>
        <name val="Calibri"/>
        <scheme val="none"/>
      </font>
    </dxf>
  </rfmt>
  <rfmt sheetId="1" sqref="AQ226" start="0" length="0">
    <dxf>
      <font>
        <sz val="11"/>
        <color theme="1"/>
        <name val="Calibri"/>
        <scheme val="none"/>
      </font>
      <numFmt numFmtId="164" formatCode="_-* #,##0_-;\-* #,##0_-;_-* &quot;-&quot;??_-;_-@_-"/>
    </dxf>
  </rfmt>
  <rfmt sheetId="1" sqref="AR226" start="0" length="0">
    <dxf>
      <font>
        <sz val="11"/>
        <color theme="1"/>
        <name val="Calibri"/>
        <scheme val="none"/>
      </font>
      <numFmt numFmtId="164" formatCode="_-* #,##0_-;\-* #,##0_-;_-* &quot;-&quot;??_-;_-@_-"/>
    </dxf>
  </rfmt>
  <rfmt sheetId="1" sqref="AS226" start="0" length="0">
    <dxf>
      <font>
        <sz val="11"/>
        <color theme="1"/>
        <name val="Calibri"/>
        <scheme val="none"/>
      </font>
      <numFmt numFmtId="164" formatCode="_-* #,##0_-;\-* #,##0_-;_-* &quot;-&quot;??_-;_-@_-"/>
    </dxf>
  </rfmt>
  <rfmt sheetId="1" sqref="AT226" start="0" length="0">
    <dxf>
      <font>
        <sz val="11"/>
        <color theme="1"/>
        <name val="Calibri"/>
        <scheme val="none"/>
      </font>
      <numFmt numFmtId="164" formatCode="_-* #,##0_-;\-* #,##0_-;_-* &quot;-&quot;??_-;_-@_-"/>
    </dxf>
  </rfmt>
  <rfmt sheetId="1" sqref="AU226" start="0" length="0">
    <dxf>
      <font>
        <sz val="11"/>
        <color theme="1"/>
        <name val="Calibri"/>
        <scheme val="none"/>
      </font>
    </dxf>
  </rfmt>
  <rfmt sheetId="1" sqref="AV226" start="0" length="0">
    <dxf>
      <font>
        <sz val="11"/>
        <color theme="1"/>
        <name val="Calibri"/>
        <scheme val="none"/>
      </font>
    </dxf>
  </rfmt>
  <rfmt sheetId="1" sqref="AW226" start="0" length="0">
    <dxf>
      <font>
        <sz val="11"/>
        <color theme="1"/>
        <name val="Calibri"/>
        <scheme val="none"/>
      </font>
    </dxf>
  </rfmt>
  <rfmt sheetId="1" sqref="AX226" start="0" length="0">
    <dxf>
      <font>
        <sz val="11"/>
        <color theme="1"/>
        <name val="Calibri"/>
        <scheme val="none"/>
      </font>
    </dxf>
  </rfmt>
  <rfmt sheetId="1" sqref="AY226" start="0" length="0">
    <dxf>
      <font>
        <sz val="11"/>
        <color theme="1"/>
        <name val="Calibri"/>
        <scheme val="none"/>
      </font>
    </dxf>
  </rfmt>
  <rfmt sheetId="1" sqref="A226:XFD226" start="0" length="0">
    <dxf>
      <font>
        <sz val="11"/>
        <color theme="1"/>
        <name val="Calibri"/>
        <scheme val="none"/>
      </font>
    </dxf>
  </rfmt>
  <rfmt sheetId="1" sqref="A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2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2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27" start="0" length="0">
    <dxf>
      <font>
        <sz val="11"/>
        <color theme="1"/>
        <name val="Calibri"/>
        <scheme val="none"/>
      </font>
    </dxf>
  </rfmt>
  <rfmt sheetId="1" sqref="AM227" start="0" length="0">
    <dxf>
      <font>
        <sz val="11"/>
        <color theme="1"/>
        <name val="Calibri"/>
        <scheme val="none"/>
      </font>
      <numFmt numFmtId="1" formatCode="0"/>
    </dxf>
  </rfmt>
  <rfmt sheetId="1" sqref="AN227" start="0" length="0">
    <dxf>
      <font>
        <sz val="11"/>
        <color theme="1"/>
        <name val="Calibri"/>
        <scheme val="none"/>
      </font>
      <numFmt numFmtId="1" formatCode="0"/>
    </dxf>
  </rfmt>
  <rfmt sheetId="1" sqref="AO227" start="0" length="0">
    <dxf>
      <font>
        <sz val="11"/>
        <color theme="1"/>
        <name val="Calibri"/>
        <scheme val="none"/>
      </font>
    </dxf>
  </rfmt>
  <rfmt sheetId="1" sqref="AP227" start="0" length="0">
    <dxf>
      <font>
        <sz val="11"/>
        <color theme="1"/>
        <name val="Calibri"/>
        <scheme val="none"/>
      </font>
    </dxf>
  </rfmt>
  <rfmt sheetId="1" sqref="AQ227" start="0" length="0">
    <dxf>
      <font>
        <sz val="11"/>
        <color theme="1"/>
        <name val="Calibri"/>
        <scheme val="none"/>
      </font>
      <numFmt numFmtId="164" formatCode="_-* #,##0_-;\-* #,##0_-;_-* &quot;-&quot;??_-;_-@_-"/>
    </dxf>
  </rfmt>
  <rfmt sheetId="1" sqref="AR227" start="0" length="0">
    <dxf>
      <font>
        <sz val="11"/>
        <color theme="1"/>
        <name val="Calibri"/>
        <scheme val="none"/>
      </font>
      <numFmt numFmtId="164" formatCode="_-* #,##0_-;\-* #,##0_-;_-* &quot;-&quot;??_-;_-@_-"/>
    </dxf>
  </rfmt>
  <rfmt sheetId="1" sqref="AS227" start="0" length="0">
    <dxf>
      <font>
        <sz val="11"/>
        <color theme="1"/>
        <name val="Calibri"/>
        <scheme val="none"/>
      </font>
      <numFmt numFmtId="164" formatCode="_-* #,##0_-;\-* #,##0_-;_-* &quot;-&quot;??_-;_-@_-"/>
    </dxf>
  </rfmt>
  <rfmt sheetId="1" sqref="AT227" start="0" length="0">
    <dxf>
      <font>
        <sz val="11"/>
        <color theme="1"/>
        <name val="Calibri"/>
        <scheme val="none"/>
      </font>
      <numFmt numFmtId="164" formatCode="_-* #,##0_-;\-* #,##0_-;_-* &quot;-&quot;??_-;_-@_-"/>
    </dxf>
  </rfmt>
  <rfmt sheetId="1" sqref="AU227" start="0" length="0">
    <dxf>
      <font>
        <sz val="11"/>
        <color theme="1"/>
        <name val="Calibri"/>
        <scheme val="none"/>
      </font>
    </dxf>
  </rfmt>
  <rfmt sheetId="1" sqref="AV227" start="0" length="0">
    <dxf>
      <font>
        <sz val="11"/>
        <color theme="1"/>
        <name val="Calibri"/>
        <scheme val="none"/>
      </font>
    </dxf>
  </rfmt>
  <rfmt sheetId="1" sqref="AW227" start="0" length="0">
    <dxf>
      <font>
        <sz val="11"/>
        <color theme="1"/>
        <name val="Calibri"/>
        <scheme val="none"/>
      </font>
    </dxf>
  </rfmt>
  <rfmt sheetId="1" sqref="AX227" start="0" length="0">
    <dxf>
      <font>
        <sz val="11"/>
        <color theme="1"/>
        <name val="Calibri"/>
        <scheme val="none"/>
      </font>
    </dxf>
  </rfmt>
  <rfmt sheetId="1" sqref="AY227" start="0" length="0">
    <dxf>
      <font>
        <sz val="11"/>
        <color theme="1"/>
        <name val="Calibri"/>
        <scheme val="none"/>
      </font>
    </dxf>
  </rfmt>
  <rfmt sheetId="1" sqref="A227:XFD227" start="0" length="0">
    <dxf>
      <font>
        <sz val="11"/>
        <color theme="1"/>
        <name val="Calibri"/>
        <scheme val="none"/>
      </font>
    </dxf>
  </rfmt>
  <rfmt sheetId="1" sqref="A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2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2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28" start="0" length="0">
    <dxf>
      <font>
        <sz val="11"/>
        <color theme="1"/>
        <name val="Calibri"/>
        <scheme val="none"/>
      </font>
    </dxf>
  </rfmt>
  <rfmt sheetId="1" sqref="AM228" start="0" length="0">
    <dxf>
      <font>
        <sz val="11"/>
        <color theme="1"/>
        <name val="Calibri"/>
        <scheme val="none"/>
      </font>
      <numFmt numFmtId="1" formatCode="0"/>
    </dxf>
  </rfmt>
  <rfmt sheetId="1" sqref="AN228" start="0" length="0">
    <dxf>
      <font>
        <sz val="11"/>
        <color theme="1"/>
        <name val="Calibri"/>
        <scheme val="none"/>
      </font>
      <numFmt numFmtId="1" formatCode="0"/>
    </dxf>
  </rfmt>
  <rfmt sheetId="1" sqref="AO228" start="0" length="0">
    <dxf>
      <font>
        <sz val="11"/>
        <color theme="1"/>
        <name val="Calibri"/>
        <scheme val="none"/>
      </font>
    </dxf>
  </rfmt>
  <rfmt sheetId="1" sqref="AP228" start="0" length="0">
    <dxf>
      <font>
        <sz val="11"/>
        <color theme="1"/>
        <name val="Calibri"/>
        <scheme val="none"/>
      </font>
    </dxf>
  </rfmt>
  <rfmt sheetId="1" sqref="AQ228" start="0" length="0">
    <dxf>
      <font>
        <sz val="11"/>
        <color theme="1"/>
        <name val="Calibri"/>
        <scheme val="none"/>
      </font>
      <numFmt numFmtId="164" formatCode="_-* #,##0_-;\-* #,##0_-;_-* &quot;-&quot;??_-;_-@_-"/>
    </dxf>
  </rfmt>
  <rfmt sheetId="1" sqref="AR228" start="0" length="0">
    <dxf>
      <font>
        <sz val="11"/>
        <color theme="1"/>
        <name val="Calibri"/>
        <scheme val="none"/>
      </font>
      <numFmt numFmtId="164" formatCode="_-* #,##0_-;\-* #,##0_-;_-* &quot;-&quot;??_-;_-@_-"/>
    </dxf>
  </rfmt>
  <rfmt sheetId="1" sqref="AS228" start="0" length="0">
    <dxf>
      <font>
        <sz val="11"/>
        <color theme="1"/>
        <name val="Calibri"/>
        <scheme val="none"/>
      </font>
      <numFmt numFmtId="164" formatCode="_-* #,##0_-;\-* #,##0_-;_-* &quot;-&quot;??_-;_-@_-"/>
    </dxf>
  </rfmt>
  <rfmt sheetId="1" sqref="AT228" start="0" length="0">
    <dxf>
      <font>
        <sz val="11"/>
        <color theme="1"/>
        <name val="Calibri"/>
        <scheme val="none"/>
      </font>
      <numFmt numFmtId="164" formatCode="_-* #,##0_-;\-* #,##0_-;_-* &quot;-&quot;??_-;_-@_-"/>
    </dxf>
  </rfmt>
  <rfmt sheetId="1" sqref="AU228" start="0" length="0">
    <dxf>
      <font>
        <sz val="11"/>
        <color theme="1"/>
        <name val="Calibri"/>
        <scheme val="none"/>
      </font>
    </dxf>
  </rfmt>
  <rfmt sheetId="1" sqref="AV228" start="0" length="0">
    <dxf>
      <font>
        <sz val="11"/>
        <color theme="1"/>
        <name val="Calibri"/>
        <scheme val="none"/>
      </font>
    </dxf>
  </rfmt>
  <rfmt sheetId="1" sqref="AW228" start="0" length="0">
    <dxf>
      <font>
        <sz val="11"/>
        <color theme="1"/>
        <name val="Calibri"/>
        <scheme val="none"/>
      </font>
    </dxf>
  </rfmt>
  <rfmt sheetId="1" sqref="AX228" start="0" length="0">
    <dxf>
      <font>
        <sz val="11"/>
        <color theme="1"/>
        <name val="Calibri"/>
        <scheme val="none"/>
      </font>
    </dxf>
  </rfmt>
  <rfmt sheetId="1" sqref="AY228" start="0" length="0">
    <dxf>
      <font>
        <sz val="11"/>
        <color theme="1"/>
        <name val="Calibri"/>
        <scheme val="none"/>
      </font>
    </dxf>
  </rfmt>
  <rfmt sheetId="1" sqref="A228:XFD228" start="0" length="0">
    <dxf>
      <font>
        <sz val="11"/>
        <color theme="1"/>
        <name val="Calibri"/>
        <scheme val="none"/>
      </font>
    </dxf>
  </rfmt>
  <rfmt sheetId="1" sqref="A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2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2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29" start="0" length="0">
    <dxf>
      <font>
        <sz val="11"/>
        <color theme="1"/>
        <name val="Calibri"/>
        <scheme val="none"/>
      </font>
    </dxf>
  </rfmt>
  <rfmt sheetId="1" sqref="AM229" start="0" length="0">
    <dxf>
      <font>
        <sz val="11"/>
        <color theme="1"/>
        <name val="Calibri"/>
        <scheme val="none"/>
      </font>
      <numFmt numFmtId="1" formatCode="0"/>
    </dxf>
  </rfmt>
  <rfmt sheetId="1" sqref="AN229" start="0" length="0">
    <dxf>
      <font>
        <sz val="11"/>
        <color theme="1"/>
        <name val="Calibri"/>
        <scheme val="none"/>
      </font>
      <numFmt numFmtId="1" formatCode="0"/>
    </dxf>
  </rfmt>
  <rfmt sheetId="1" sqref="AO229" start="0" length="0">
    <dxf>
      <font>
        <sz val="11"/>
        <color theme="1"/>
        <name val="Calibri"/>
        <scheme val="none"/>
      </font>
    </dxf>
  </rfmt>
  <rfmt sheetId="1" sqref="AP229" start="0" length="0">
    <dxf>
      <font>
        <sz val="11"/>
        <color theme="1"/>
        <name val="Calibri"/>
        <scheme val="none"/>
      </font>
    </dxf>
  </rfmt>
  <rfmt sheetId="1" sqref="AQ229" start="0" length="0">
    <dxf>
      <font>
        <sz val="11"/>
        <color theme="1"/>
        <name val="Calibri"/>
        <scheme val="none"/>
      </font>
      <numFmt numFmtId="164" formatCode="_-* #,##0_-;\-* #,##0_-;_-* &quot;-&quot;??_-;_-@_-"/>
    </dxf>
  </rfmt>
  <rfmt sheetId="1" sqref="AR229" start="0" length="0">
    <dxf>
      <font>
        <sz val="11"/>
        <color theme="1"/>
        <name val="Calibri"/>
        <scheme val="none"/>
      </font>
      <numFmt numFmtId="164" formatCode="_-* #,##0_-;\-* #,##0_-;_-* &quot;-&quot;??_-;_-@_-"/>
    </dxf>
  </rfmt>
  <rfmt sheetId="1" sqref="AS229" start="0" length="0">
    <dxf>
      <font>
        <sz val="11"/>
        <color theme="1"/>
        <name val="Calibri"/>
        <scheme val="none"/>
      </font>
      <numFmt numFmtId="164" formatCode="_-* #,##0_-;\-* #,##0_-;_-* &quot;-&quot;??_-;_-@_-"/>
    </dxf>
  </rfmt>
  <rfmt sheetId="1" sqref="AT229" start="0" length="0">
    <dxf>
      <font>
        <sz val="11"/>
        <color theme="1"/>
        <name val="Calibri"/>
        <scheme val="none"/>
      </font>
      <numFmt numFmtId="164" formatCode="_-* #,##0_-;\-* #,##0_-;_-* &quot;-&quot;??_-;_-@_-"/>
    </dxf>
  </rfmt>
  <rfmt sheetId="1" sqref="AU229" start="0" length="0">
    <dxf>
      <font>
        <sz val="11"/>
        <color theme="1"/>
        <name val="Calibri"/>
        <scheme val="none"/>
      </font>
    </dxf>
  </rfmt>
  <rfmt sheetId="1" sqref="AV229" start="0" length="0">
    <dxf>
      <font>
        <sz val="11"/>
        <color theme="1"/>
        <name val="Calibri"/>
        <scheme val="none"/>
      </font>
    </dxf>
  </rfmt>
  <rfmt sheetId="1" sqref="AW229" start="0" length="0">
    <dxf>
      <font>
        <sz val="11"/>
        <color theme="1"/>
        <name val="Calibri"/>
        <scheme val="none"/>
      </font>
    </dxf>
  </rfmt>
  <rfmt sheetId="1" sqref="AX229" start="0" length="0">
    <dxf>
      <font>
        <sz val="11"/>
        <color theme="1"/>
        <name val="Calibri"/>
        <scheme val="none"/>
      </font>
    </dxf>
  </rfmt>
  <rfmt sheetId="1" sqref="AY229" start="0" length="0">
    <dxf>
      <font>
        <sz val="11"/>
        <color theme="1"/>
        <name val="Calibri"/>
        <scheme val="none"/>
      </font>
    </dxf>
  </rfmt>
  <rfmt sheetId="1" sqref="A229:XFD229" start="0" length="0">
    <dxf>
      <font>
        <sz val="11"/>
        <color theme="1"/>
        <name val="Calibri"/>
        <scheme val="none"/>
      </font>
    </dxf>
  </rfmt>
  <rfmt sheetId="1" sqref="A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3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3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30" start="0" length="0">
    <dxf>
      <font>
        <sz val="11"/>
        <color theme="1"/>
        <name val="Calibri"/>
        <scheme val="none"/>
      </font>
    </dxf>
  </rfmt>
  <rfmt sheetId="1" sqref="AM230" start="0" length="0">
    <dxf>
      <font>
        <sz val="11"/>
        <color theme="1"/>
        <name val="Calibri"/>
        <scheme val="none"/>
      </font>
      <numFmt numFmtId="1" formatCode="0"/>
    </dxf>
  </rfmt>
  <rfmt sheetId="1" sqref="AN230" start="0" length="0">
    <dxf>
      <font>
        <sz val="11"/>
        <color theme="1"/>
        <name val="Calibri"/>
        <scheme val="none"/>
      </font>
      <numFmt numFmtId="1" formatCode="0"/>
    </dxf>
  </rfmt>
  <rfmt sheetId="1" sqref="AO230" start="0" length="0">
    <dxf>
      <font>
        <sz val="11"/>
        <color theme="1"/>
        <name val="Calibri"/>
        <scheme val="none"/>
      </font>
    </dxf>
  </rfmt>
  <rfmt sheetId="1" sqref="AP230" start="0" length="0">
    <dxf>
      <font>
        <sz val="11"/>
        <color theme="1"/>
        <name val="Calibri"/>
        <scheme val="none"/>
      </font>
    </dxf>
  </rfmt>
  <rfmt sheetId="1" sqref="AQ230" start="0" length="0">
    <dxf>
      <font>
        <sz val="11"/>
        <color theme="1"/>
        <name val="Calibri"/>
        <scheme val="none"/>
      </font>
      <numFmt numFmtId="164" formatCode="_-* #,##0_-;\-* #,##0_-;_-* &quot;-&quot;??_-;_-@_-"/>
    </dxf>
  </rfmt>
  <rfmt sheetId="1" sqref="AR230" start="0" length="0">
    <dxf>
      <font>
        <sz val="11"/>
        <color theme="1"/>
        <name val="Calibri"/>
        <scheme val="none"/>
      </font>
      <numFmt numFmtId="164" formatCode="_-* #,##0_-;\-* #,##0_-;_-* &quot;-&quot;??_-;_-@_-"/>
    </dxf>
  </rfmt>
  <rfmt sheetId="1" sqref="AS230" start="0" length="0">
    <dxf>
      <font>
        <sz val="11"/>
        <color theme="1"/>
        <name val="Calibri"/>
        <scheme val="none"/>
      </font>
      <numFmt numFmtId="164" formatCode="_-* #,##0_-;\-* #,##0_-;_-* &quot;-&quot;??_-;_-@_-"/>
    </dxf>
  </rfmt>
  <rfmt sheetId="1" sqref="AT230" start="0" length="0">
    <dxf>
      <font>
        <sz val="11"/>
        <color theme="1"/>
        <name val="Calibri"/>
        <scheme val="none"/>
      </font>
      <numFmt numFmtId="164" formatCode="_-* #,##0_-;\-* #,##0_-;_-* &quot;-&quot;??_-;_-@_-"/>
    </dxf>
  </rfmt>
  <rfmt sheetId="1" sqref="AU230" start="0" length="0">
    <dxf>
      <font>
        <sz val="11"/>
        <color theme="1"/>
        <name val="Calibri"/>
        <scheme val="none"/>
      </font>
    </dxf>
  </rfmt>
  <rfmt sheetId="1" sqref="AV230" start="0" length="0">
    <dxf>
      <font>
        <sz val="11"/>
        <color theme="1"/>
        <name val="Calibri"/>
        <scheme val="none"/>
      </font>
    </dxf>
  </rfmt>
  <rfmt sheetId="1" sqref="AW230" start="0" length="0">
    <dxf>
      <font>
        <sz val="11"/>
        <color theme="1"/>
        <name val="Calibri"/>
        <scheme val="none"/>
      </font>
    </dxf>
  </rfmt>
  <rfmt sheetId="1" sqref="AX230" start="0" length="0">
    <dxf>
      <font>
        <sz val="11"/>
        <color theme="1"/>
        <name val="Calibri"/>
        <scheme val="none"/>
      </font>
    </dxf>
  </rfmt>
  <rfmt sheetId="1" sqref="AY230" start="0" length="0">
    <dxf>
      <font>
        <sz val="11"/>
        <color theme="1"/>
        <name val="Calibri"/>
        <scheme val="none"/>
      </font>
    </dxf>
  </rfmt>
  <rfmt sheetId="1" sqref="A230:XFD230" start="0" length="0">
    <dxf>
      <font>
        <sz val="11"/>
        <color theme="1"/>
        <name val="Calibri"/>
        <scheme val="none"/>
      </font>
    </dxf>
  </rfmt>
  <rfmt sheetId="1" sqref="A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3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3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31" start="0" length="0">
    <dxf>
      <font>
        <sz val="11"/>
        <color theme="1"/>
        <name val="Calibri"/>
        <scheme val="none"/>
      </font>
    </dxf>
  </rfmt>
  <rfmt sheetId="1" sqref="AM231" start="0" length="0">
    <dxf>
      <font>
        <sz val="11"/>
        <color theme="1"/>
        <name val="Calibri"/>
        <scheme val="none"/>
      </font>
      <numFmt numFmtId="1" formatCode="0"/>
    </dxf>
  </rfmt>
  <rfmt sheetId="1" sqref="AN231" start="0" length="0">
    <dxf>
      <font>
        <sz val="11"/>
        <color theme="1"/>
        <name val="Calibri"/>
        <scheme val="none"/>
      </font>
      <numFmt numFmtId="1" formatCode="0"/>
    </dxf>
  </rfmt>
  <rfmt sheetId="1" sqref="AO231" start="0" length="0">
    <dxf>
      <font>
        <sz val="11"/>
        <color theme="1"/>
        <name val="Calibri"/>
        <scheme val="none"/>
      </font>
    </dxf>
  </rfmt>
  <rfmt sheetId="1" sqref="AP231" start="0" length="0">
    <dxf>
      <font>
        <sz val="11"/>
        <color theme="1"/>
        <name val="Calibri"/>
        <scheme val="none"/>
      </font>
    </dxf>
  </rfmt>
  <rfmt sheetId="1" sqref="AQ231" start="0" length="0">
    <dxf>
      <font>
        <sz val="11"/>
        <color theme="1"/>
        <name val="Calibri"/>
        <scheme val="none"/>
      </font>
      <numFmt numFmtId="164" formatCode="_-* #,##0_-;\-* #,##0_-;_-* &quot;-&quot;??_-;_-@_-"/>
    </dxf>
  </rfmt>
  <rfmt sheetId="1" sqref="AR231" start="0" length="0">
    <dxf>
      <font>
        <sz val="11"/>
        <color theme="1"/>
        <name val="Calibri"/>
        <scheme val="none"/>
      </font>
      <numFmt numFmtId="164" formatCode="_-* #,##0_-;\-* #,##0_-;_-* &quot;-&quot;??_-;_-@_-"/>
    </dxf>
  </rfmt>
  <rfmt sheetId="1" sqref="AS231" start="0" length="0">
    <dxf>
      <font>
        <sz val="11"/>
        <color theme="1"/>
        <name val="Calibri"/>
        <scheme val="none"/>
      </font>
      <numFmt numFmtId="164" formatCode="_-* #,##0_-;\-* #,##0_-;_-* &quot;-&quot;??_-;_-@_-"/>
    </dxf>
  </rfmt>
  <rfmt sheetId="1" sqref="AT231" start="0" length="0">
    <dxf>
      <font>
        <sz val="11"/>
        <color theme="1"/>
        <name val="Calibri"/>
        <scheme val="none"/>
      </font>
      <numFmt numFmtId="164" formatCode="_-* #,##0_-;\-* #,##0_-;_-* &quot;-&quot;??_-;_-@_-"/>
    </dxf>
  </rfmt>
  <rfmt sheetId="1" sqref="AU231" start="0" length="0">
    <dxf>
      <font>
        <sz val="11"/>
        <color theme="1"/>
        <name val="Calibri"/>
        <scheme val="none"/>
      </font>
    </dxf>
  </rfmt>
  <rfmt sheetId="1" sqref="AV231" start="0" length="0">
    <dxf>
      <font>
        <sz val="11"/>
        <color theme="1"/>
        <name val="Calibri"/>
        <scheme val="none"/>
      </font>
    </dxf>
  </rfmt>
  <rfmt sheetId="1" sqref="AW231" start="0" length="0">
    <dxf>
      <font>
        <sz val="11"/>
        <color theme="1"/>
        <name val="Calibri"/>
        <scheme val="none"/>
      </font>
    </dxf>
  </rfmt>
  <rfmt sheetId="1" sqref="AX231" start="0" length="0">
    <dxf>
      <font>
        <sz val="11"/>
        <color theme="1"/>
        <name val="Calibri"/>
        <scheme val="none"/>
      </font>
    </dxf>
  </rfmt>
  <rfmt sheetId="1" sqref="AY231" start="0" length="0">
    <dxf>
      <font>
        <sz val="11"/>
        <color theme="1"/>
        <name val="Calibri"/>
        <scheme val="none"/>
      </font>
    </dxf>
  </rfmt>
  <rfmt sheetId="1" sqref="A231:XFD231" start="0" length="0">
    <dxf>
      <font>
        <sz val="11"/>
        <color theme="1"/>
        <name val="Calibri"/>
        <scheme val="none"/>
      </font>
    </dxf>
  </rfmt>
  <rfmt sheetId="1" sqref="A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3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3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32" start="0" length="0">
    <dxf>
      <font>
        <sz val="11"/>
        <color theme="1"/>
        <name val="Calibri"/>
        <scheme val="none"/>
      </font>
    </dxf>
  </rfmt>
  <rfmt sheetId="1" sqref="AM232" start="0" length="0">
    <dxf>
      <font>
        <sz val="11"/>
        <color theme="1"/>
        <name val="Calibri"/>
        <scheme val="none"/>
      </font>
      <numFmt numFmtId="1" formatCode="0"/>
    </dxf>
  </rfmt>
  <rfmt sheetId="1" sqref="AN232" start="0" length="0">
    <dxf>
      <font>
        <sz val="11"/>
        <color theme="1"/>
        <name val="Calibri"/>
        <scheme val="none"/>
      </font>
      <numFmt numFmtId="1" formatCode="0"/>
    </dxf>
  </rfmt>
  <rfmt sheetId="1" sqref="AO232" start="0" length="0">
    <dxf>
      <font>
        <sz val="11"/>
        <color theme="1"/>
        <name val="Calibri"/>
        <scheme val="none"/>
      </font>
    </dxf>
  </rfmt>
  <rfmt sheetId="1" sqref="AP232" start="0" length="0">
    <dxf>
      <font>
        <sz val="11"/>
        <color theme="1"/>
        <name val="Calibri"/>
        <scheme val="none"/>
      </font>
    </dxf>
  </rfmt>
  <rfmt sheetId="1" sqref="AQ232" start="0" length="0">
    <dxf>
      <font>
        <sz val="11"/>
        <color theme="1"/>
        <name val="Calibri"/>
        <scheme val="none"/>
      </font>
      <numFmt numFmtId="164" formatCode="_-* #,##0_-;\-* #,##0_-;_-* &quot;-&quot;??_-;_-@_-"/>
    </dxf>
  </rfmt>
  <rfmt sheetId="1" sqref="AR232" start="0" length="0">
    <dxf>
      <font>
        <sz val="11"/>
        <color theme="1"/>
        <name val="Calibri"/>
        <scheme val="none"/>
      </font>
      <numFmt numFmtId="164" formatCode="_-* #,##0_-;\-* #,##0_-;_-* &quot;-&quot;??_-;_-@_-"/>
    </dxf>
  </rfmt>
  <rfmt sheetId="1" sqref="AS232" start="0" length="0">
    <dxf>
      <font>
        <sz val="11"/>
        <color theme="1"/>
        <name val="Calibri"/>
        <scheme val="none"/>
      </font>
      <numFmt numFmtId="164" formatCode="_-* #,##0_-;\-* #,##0_-;_-* &quot;-&quot;??_-;_-@_-"/>
    </dxf>
  </rfmt>
  <rfmt sheetId="1" sqref="AT232" start="0" length="0">
    <dxf>
      <font>
        <sz val="11"/>
        <color theme="1"/>
        <name val="Calibri"/>
        <scheme val="none"/>
      </font>
      <numFmt numFmtId="164" formatCode="_-* #,##0_-;\-* #,##0_-;_-* &quot;-&quot;??_-;_-@_-"/>
    </dxf>
  </rfmt>
  <rfmt sheetId="1" sqref="AU232" start="0" length="0">
    <dxf>
      <font>
        <sz val="11"/>
        <color theme="1"/>
        <name val="Calibri"/>
        <scheme val="none"/>
      </font>
    </dxf>
  </rfmt>
  <rfmt sheetId="1" sqref="AV232" start="0" length="0">
    <dxf>
      <font>
        <sz val="11"/>
        <color theme="1"/>
        <name val="Calibri"/>
        <scheme val="none"/>
      </font>
    </dxf>
  </rfmt>
  <rfmt sheetId="1" sqref="AW232" start="0" length="0">
    <dxf>
      <font>
        <sz val="11"/>
        <color theme="1"/>
        <name val="Calibri"/>
        <scheme val="none"/>
      </font>
    </dxf>
  </rfmt>
  <rfmt sheetId="1" sqref="AX232" start="0" length="0">
    <dxf>
      <font>
        <sz val="11"/>
        <color theme="1"/>
        <name val="Calibri"/>
        <scheme val="none"/>
      </font>
    </dxf>
  </rfmt>
  <rfmt sheetId="1" sqref="AY232" start="0" length="0">
    <dxf>
      <font>
        <sz val="11"/>
        <color theme="1"/>
        <name val="Calibri"/>
        <scheme val="none"/>
      </font>
    </dxf>
  </rfmt>
  <rfmt sheetId="1" sqref="A232:XFD232" start="0" length="0">
    <dxf>
      <font>
        <sz val="11"/>
        <color theme="1"/>
        <name val="Calibri"/>
        <scheme val="none"/>
      </font>
    </dxf>
  </rfmt>
  <rfmt sheetId="1" sqref="A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3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3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33" start="0" length="0">
    <dxf>
      <font>
        <sz val="11"/>
        <color theme="1"/>
        <name val="Calibri"/>
        <scheme val="none"/>
      </font>
    </dxf>
  </rfmt>
  <rfmt sheetId="1" sqref="AM233" start="0" length="0">
    <dxf>
      <font>
        <sz val="11"/>
        <color theme="1"/>
        <name val="Calibri"/>
        <scheme val="none"/>
      </font>
      <numFmt numFmtId="1" formatCode="0"/>
    </dxf>
  </rfmt>
  <rfmt sheetId="1" sqref="AN233" start="0" length="0">
    <dxf>
      <font>
        <sz val="11"/>
        <color theme="1"/>
        <name val="Calibri"/>
        <scheme val="none"/>
      </font>
      <numFmt numFmtId="1" formatCode="0"/>
    </dxf>
  </rfmt>
  <rfmt sheetId="1" sqref="AO233" start="0" length="0">
    <dxf>
      <font>
        <sz val="11"/>
        <color theme="1"/>
        <name val="Calibri"/>
        <scheme val="none"/>
      </font>
    </dxf>
  </rfmt>
  <rfmt sheetId="1" sqref="AP233" start="0" length="0">
    <dxf>
      <font>
        <sz val="11"/>
        <color theme="1"/>
        <name val="Calibri"/>
        <scheme val="none"/>
      </font>
    </dxf>
  </rfmt>
  <rfmt sheetId="1" sqref="AQ233" start="0" length="0">
    <dxf>
      <font>
        <sz val="11"/>
        <color theme="1"/>
        <name val="Calibri"/>
        <scheme val="none"/>
      </font>
      <numFmt numFmtId="164" formatCode="_-* #,##0_-;\-* #,##0_-;_-* &quot;-&quot;??_-;_-@_-"/>
    </dxf>
  </rfmt>
  <rfmt sheetId="1" sqref="AR233" start="0" length="0">
    <dxf>
      <font>
        <sz val="11"/>
        <color theme="1"/>
        <name val="Calibri"/>
        <scheme val="none"/>
      </font>
      <numFmt numFmtId="164" formatCode="_-* #,##0_-;\-* #,##0_-;_-* &quot;-&quot;??_-;_-@_-"/>
    </dxf>
  </rfmt>
  <rfmt sheetId="1" sqref="AS233" start="0" length="0">
    <dxf>
      <font>
        <sz val="11"/>
        <color theme="1"/>
        <name val="Calibri"/>
        <scheme val="none"/>
      </font>
      <numFmt numFmtId="164" formatCode="_-* #,##0_-;\-* #,##0_-;_-* &quot;-&quot;??_-;_-@_-"/>
    </dxf>
  </rfmt>
  <rfmt sheetId="1" sqref="AT233" start="0" length="0">
    <dxf>
      <font>
        <sz val="11"/>
        <color theme="1"/>
        <name val="Calibri"/>
        <scheme val="none"/>
      </font>
      <numFmt numFmtId="164" formatCode="_-* #,##0_-;\-* #,##0_-;_-* &quot;-&quot;??_-;_-@_-"/>
    </dxf>
  </rfmt>
  <rfmt sheetId="1" sqref="AU233" start="0" length="0">
    <dxf>
      <font>
        <sz val="11"/>
        <color theme="1"/>
        <name val="Calibri"/>
        <scheme val="none"/>
      </font>
    </dxf>
  </rfmt>
  <rfmt sheetId="1" sqref="AV233" start="0" length="0">
    <dxf>
      <font>
        <sz val="11"/>
        <color theme="1"/>
        <name val="Calibri"/>
        <scheme val="none"/>
      </font>
    </dxf>
  </rfmt>
  <rfmt sheetId="1" sqref="AW233" start="0" length="0">
    <dxf>
      <font>
        <sz val="11"/>
        <color theme="1"/>
        <name val="Calibri"/>
        <scheme val="none"/>
      </font>
    </dxf>
  </rfmt>
  <rfmt sheetId="1" sqref="AX233" start="0" length="0">
    <dxf>
      <font>
        <sz val="11"/>
        <color theme="1"/>
        <name val="Calibri"/>
        <scheme val="none"/>
      </font>
    </dxf>
  </rfmt>
  <rfmt sheetId="1" sqref="AY233" start="0" length="0">
    <dxf>
      <font>
        <sz val="11"/>
        <color theme="1"/>
        <name val="Calibri"/>
        <scheme val="none"/>
      </font>
    </dxf>
  </rfmt>
  <rfmt sheetId="1" sqref="A233:XFD233" start="0" length="0">
    <dxf>
      <font>
        <sz val="11"/>
        <color theme="1"/>
        <name val="Calibri"/>
        <scheme val="none"/>
      </font>
    </dxf>
  </rfmt>
  <rfmt sheetId="1" sqref="A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3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3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34" start="0" length="0">
    <dxf>
      <font>
        <sz val="11"/>
        <color theme="1"/>
        <name val="Calibri"/>
        <scheme val="none"/>
      </font>
    </dxf>
  </rfmt>
  <rfmt sheetId="1" sqref="AM234" start="0" length="0">
    <dxf>
      <font>
        <sz val="11"/>
        <color theme="1"/>
        <name val="Calibri"/>
        <scheme val="none"/>
      </font>
      <numFmt numFmtId="1" formatCode="0"/>
    </dxf>
  </rfmt>
  <rfmt sheetId="1" sqref="AN234" start="0" length="0">
    <dxf>
      <font>
        <sz val="11"/>
        <color theme="1"/>
        <name val="Calibri"/>
        <scheme val="none"/>
      </font>
      <numFmt numFmtId="1" formatCode="0"/>
    </dxf>
  </rfmt>
  <rfmt sheetId="1" sqref="AO234" start="0" length="0">
    <dxf>
      <font>
        <sz val="11"/>
        <color theme="1"/>
        <name val="Calibri"/>
        <scheme val="none"/>
      </font>
    </dxf>
  </rfmt>
  <rfmt sheetId="1" sqref="AP234" start="0" length="0">
    <dxf>
      <font>
        <sz val="11"/>
        <color theme="1"/>
        <name val="Calibri"/>
        <scheme val="none"/>
      </font>
    </dxf>
  </rfmt>
  <rfmt sheetId="1" sqref="AQ234" start="0" length="0">
    <dxf>
      <font>
        <sz val="11"/>
        <color theme="1"/>
        <name val="Calibri"/>
        <scheme val="none"/>
      </font>
      <numFmt numFmtId="164" formatCode="_-* #,##0_-;\-* #,##0_-;_-* &quot;-&quot;??_-;_-@_-"/>
    </dxf>
  </rfmt>
  <rfmt sheetId="1" sqref="AR234" start="0" length="0">
    <dxf>
      <font>
        <sz val="11"/>
        <color theme="1"/>
        <name val="Calibri"/>
        <scheme val="none"/>
      </font>
      <numFmt numFmtId="164" formatCode="_-* #,##0_-;\-* #,##0_-;_-* &quot;-&quot;??_-;_-@_-"/>
    </dxf>
  </rfmt>
  <rfmt sheetId="1" sqref="AS234" start="0" length="0">
    <dxf>
      <font>
        <sz val="11"/>
        <color theme="1"/>
        <name val="Calibri"/>
        <scheme val="none"/>
      </font>
      <numFmt numFmtId="164" formatCode="_-* #,##0_-;\-* #,##0_-;_-* &quot;-&quot;??_-;_-@_-"/>
    </dxf>
  </rfmt>
  <rfmt sheetId="1" sqref="AT234" start="0" length="0">
    <dxf>
      <font>
        <sz val="11"/>
        <color theme="1"/>
        <name val="Calibri"/>
        <scheme val="none"/>
      </font>
      <numFmt numFmtId="164" formatCode="_-* #,##0_-;\-* #,##0_-;_-* &quot;-&quot;??_-;_-@_-"/>
    </dxf>
  </rfmt>
  <rfmt sheetId="1" sqref="AU234" start="0" length="0">
    <dxf>
      <font>
        <sz val="11"/>
        <color theme="1"/>
        <name val="Calibri"/>
        <scheme val="none"/>
      </font>
    </dxf>
  </rfmt>
  <rfmt sheetId="1" sqref="AV234" start="0" length="0">
    <dxf>
      <font>
        <sz val="11"/>
        <color theme="1"/>
        <name val="Calibri"/>
        <scheme val="none"/>
      </font>
    </dxf>
  </rfmt>
  <rfmt sheetId="1" sqref="AW234" start="0" length="0">
    <dxf>
      <font>
        <sz val="11"/>
        <color theme="1"/>
        <name val="Calibri"/>
        <scheme val="none"/>
      </font>
    </dxf>
  </rfmt>
  <rfmt sheetId="1" sqref="AX234" start="0" length="0">
    <dxf>
      <font>
        <sz val="11"/>
        <color theme="1"/>
        <name val="Calibri"/>
        <scheme val="none"/>
      </font>
    </dxf>
  </rfmt>
  <rfmt sheetId="1" sqref="AY234" start="0" length="0">
    <dxf>
      <font>
        <sz val="11"/>
        <color theme="1"/>
        <name val="Calibri"/>
        <scheme val="none"/>
      </font>
    </dxf>
  </rfmt>
  <rfmt sheetId="1" sqref="A234:XFD234" start="0" length="0">
    <dxf>
      <font>
        <sz val="11"/>
        <color theme="1"/>
        <name val="Calibri"/>
        <scheme val="none"/>
      </font>
    </dxf>
  </rfmt>
  <rfmt sheetId="1" sqref="A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3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3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35" start="0" length="0">
    <dxf>
      <font>
        <sz val="11"/>
        <color theme="1"/>
        <name val="Calibri"/>
        <scheme val="none"/>
      </font>
    </dxf>
  </rfmt>
  <rfmt sheetId="1" sqref="AM235" start="0" length="0">
    <dxf>
      <font>
        <sz val="11"/>
        <color theme="1"/>
        <name val="Calibri"/>
        <scheme val="none"/>
      </font>
      <numFmt numFmtId="1" formatCode="0"/>
    </dxf>
  </rfmt>
  <rfmt sheetId="1" sqref="AN235" start="0" length="0">
    <dxf>
      <font>
        <sz val="11"/>
        <color theme="1"/>
        <name val="Calibri"/>
        <scheme val="none"/>
      </font>
      <numFmt numFmtId="1" formatCode="0"/>
    </dxf>
  </rfmt>
  <rfmt sheetId="1" sqref="AO235" start="0" length="0">
    <dxf>
      <font>
        <sz val="11"/>
        <color theme="1"/>
        <name val="Calibri"/>
        <scheme val="none"/>
      </font>
    </dxf>
  </rfmt>
  <rfmt sheetId="1" sqref="AP235" start="0" length="0">
    <dxf>
      <font>
        <sz val="11"/>
        <color theme="1"/>
        <name val="Calibri"/>
        <scheme val="none"/>
      </font>
    </dxf>
  </rfmt>
  <rfmt sheetId="1" sqref="AQ235" start="0" length="0">
    <dxf>
      <font>
        <sz val="11"/>
        <color theme="1"/>
        <name val="Calibri"/>
        <scheme val="none"/>
      </font>
      <numFmt numFmtId="164" formatCode="_-* #,##0_-;\-* #,##0_-;_-* &quot;-&quot;??_-;_-@_-"/>
    </dxf>
  </rfmt>
  <rfmt sheetId="1" sqref="AR235" start="0" length="0">
    <dxf>
      <font>
        <sz val="11"/>
        <color theme="1"/>
        <name val="Calibri"/>
        <scheme val="none"/>
      </font>
      <numFmt numFmtId="164" formatCode="_-* #,##0_-;\-* #,##0_-;_-* &quot;-&quot;??_-;_-@_-"/>
    </dxf>
  </rfmt>
  <rfmt sheetId="1" sqref="AS235" start="0" length="0">
    <dxf>
      <font>
        <sz val="11"/>
        <color theme="1"/>
        <name val="Calibri"/>
        <scheme val="none"/>
      </font>
      <numFmt numFmtId="164" formatCode="_-* #,##0_-;\-* #,##0_-;_-* &quot;-&quot;??_-;_-@_-"/>
    </dxf>
  </rfmt>
  <rfmt sheetId="1" sqref="AT235" start="0" length="0">
    <dxf>
      <font>
        <sz val="11"/>
        <color theme="1"/>
        <name val="Calibri"/>
        <scheme val="none"/>
      </font>
      <numFmt numFmtId="164" formatCode="_-* #,##0_-;\-* #,##0_-;_-* &quot;-&quot;??_-;_-@_-"/>
    </dxf>
  </rfmt>
  <rfmt sheetId="1" sqref="AU235" start="0" length="0">
    <dxf>
      <font>
        <sz val="11"/>
        <color theme="1"/>
        <name val="Calibri"/>
        <scheme val="none"/>
      </font>
    </dxf>
  </rfmt>
  <rfmt sheetId="1" sqref="AV235" start="0" length="0">
    <dxf>
      <font>
        <sz val="11"/>
        <color theme="1"/>
        <name val="Calibri"/>
        <scheme val="none"/>
      </font>
    </dxf>
  </rfmt>
  <rfmt sheetId="1" sqref="AW235" start="0" length="0">
    <dxf>
      <font>
        <sz val="11"/>
        <color theme="1"/>
        <name val="Calibri"/>
        <scheme val="none"/>
      </font>
    </dxf>
  </rfmt>
  <rfmt sheetId="1" sqref="AX235" start="0" length="0">
    <dxf>
      <font>
        <sz val="11"/>
        <color theme="1"/>
        <name val="Calibri"/>
        <scheme val="none"/>
      </font>
    </dxf>
  </rfmt>
  <rfmt sheetId="1" sqref="AY235" start="0" length="0">
    <dxf>
      <font>
        <sz val="11"/>
        <color theme="1"/>
        <name val="Calibri"/>
        <scheme val="none"/>
      </font>
    </dxf>
  </rfmt>
  <rfmt sheetId="1" sqref="A235:XFD235" start="0" length="0">
    <dxf>
      <font>
        <sz val="11"/>
        <color theme="1"/>
        <name val="Calibri"/>
        <scheme val="none"/>
      </font>
    </dxf>
  </rfmt>
  <rfmt sheetId="1" sqref="A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3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3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36" start="0" length="0">
    <dxf>
      <font>
        <sz val="11"/>
        <color theme="1"/>
        <name val="Calibri"/>
        <scheme val="none"/>
      </font>
    </dxf>
  </rfmt>
  <rfmt sheetId="1" sqref="AM236" start="0" length="0">
    <dxf>
      <font>
        <sz val="11"/>
        <color theme="1"/>
        <name val="Calibri"/>
        <scheme val="none"/>
      </font>
      <numFmt numFmtId="1" formatCode="0"/>
    </dxf>
  </rfmt>
  <rfmt sheetId="1" sqref="AN236" start="0" length="0">
    <dxf>
      <font>
        <sz val="11"/>
        <color theme="1"/>
        <name val="Calibri"/>
        <scheme val="none"/>
      </font>
      <numFmt numFmtId="1" formatCode="0"/>
    </dxf>
  </rfmt>
  <rfmt sheetId="1" sqref="AO236" start="0" length="0">
    <dxf>
      <font>
        <sz val="11"/>
        <color theme="1"/>
        <name val="Calibri"/>
        <scheme val="none"/>
      </font>
    </dxf>
  </rfmt>
  <rfmt sheetId="1" sqref="AP236" start="0" length="0">
    <dxf>
      <font>
        <sz val="11"/>
        <color theme="1"/>
        <name val="Calibri"/>
        <scheme val="none"/>
      </font>
    </dxf>
  </rfmt>
  <rfmt sheetId="1" sqref="AQ236" start="0" length="0">
    <dxf>
      <font>
        <sz val="11"/>
        <color theme="1"/>
        <name val="Calibri"/>
        <scheme val="none"/>
      </font>
      <numFmt numFmtId="164" formatCode="_-* #,##0_-;\-* #,##0_-;_-* &quot;-&quot;??_-;_-@_-"/>
    </dxf>
  </rfmt>
  <rfmt sheetId="1" sqref="AR236" start="0" length="0">
    <dxf>
      <font>
        <sz val="11"/>
        <color theme="1"/>
        <name val="Calibri"/>
        <scheme val="none"/>
      </font>
      <numFmt numFmtId="164" formatCode="_-* #,##0_-;\-* #,##0_-;_-* &quot;-&quot;??_-;_-@_-"/>
    </dxf>
  </rfmt>
  <rfmt sheetId="1" sqref="AS236" start="0" length="0">
    <dxf>
      <font>
        <sz val="11"/>
        <color theme="1"/>
        <name val="Calibri"/>
        <scheme val="none"/>
      </font>
      <numFmt numFmtId="164" formatCode="_-* #,##0_-;\-* #,##0_-;_-* &quot;-&quot;??_-;_-@_-"/>
    </dxf>
  </rfmt>
  <rfmt sheetId="1" sqref="AT236" start="0" length="0">
    <dxf>
      <font>
        <sz val="11"/>
        <color theme="1"/>
        <name val="Calibri"/>
        <scheme val="none"/>
      </font>
      <numFmt numFmtId="164" formatCode="_-* #,##0_-;\-* #,##0_-;_-* &quot;-&quot;??_-;_-@_-"/>
    </dxf>
  </rfmt>
  <rfmt sheetId="1" sqref="AU236" start="0" length="0">
    <dxf>
      <font>
        <sz val="11"/>
        <color theme="1"/>
        <name val="Calibri"/>
        <scheme val="none"/>
      </font>
    </dxf>
  </rfmt>
  <rfmt sheetId="1" sqref="AV236" start="0" length="0">
    <dxf>
      <font>
        <sz val="11"/>
        <color theme="1"/>
        <name val="Calibri"/>
        <scheme val="none"/>
      </font>
    </dxf>
  </rfmt>
  <rfmt sheetId="1" sqref="AW236" start="0" length="0">
    <dxf>
      <font>
        <sz val="11"/>
        <color theme="1"/>
        <name val="Calibri"/>
        <scheme val="none"/>
      </font>
    </dxf>
  </rfmt>
  <rfmt sheetId="1" sqref="AX236" start="0" length="0">
    <dxf>
      <font>
        <sz val="11"/>
        <color theme="1"/>
        <name val="Calibri"/>
        <scheme val="none"/>
      </font>
    </dxf>
  </rfmt>
  <rfmt sheetId="1" sqref="AY236" start="0" length="0">
    <dxf>
      <font>
        <sz val="11"/>
        <color theme="1"/>
        <name val="Calibri"/>
        <scheme val="none"/>
      </font>
    </dxf>
  </rfmt>
  <rfmt sheetId="1" sqref="A236:XFD236" start="0" length="0">
    <dxf>
      <font>
        <sz val="11"/>
        <color theme="1"/>
        <name val="Calibri"/>
        <scheme val="none"/>
      </font>
    </dxf>
  </rfmt>
  <rfmt sheetId="1" sqref="A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3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3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37" start="0" length="0">
    <dxf>
      <font>
        <sz val="11"/>
        <color theme="1"/>
        <name val="Calibri"/>
        <scheme val="none"/>
      </font>
    </dxf>
  </rfmt>
  <rfmt sheetId="1" sqref="AM237" start="0" length="0">
    <dxf>
      <font>
        <sz val="11"/>
        <color theme="1"/>
        <name val="Calibri"/>
        <scheme val="none"/>
      </font>
      <numFmt numFmtId="1" formatCode="0"/>
    </dxf>
  </rfmt>
  <rfmt sheetId="1" sqref="AN237" start="0" length="0">
    <dxf>
      <font>
        <sz val="11"/>
        <color theme="1"/>
        <name val="Calibri"/>
        <scheme val="none"/>
      </font>
      <numFmt numFmtId="1" formatCode="0"/>
    </dxf>
  </rfmt>
  <rfmt sheetId="1" sqref="AO237" start="0" length="0">
    <dxf>
      <font>
        <sz val="11"/>
        <color theme="1"/>
        <name val="Calibri"/>
        <scheme val="none"/>
      </font>
    </dxf>
  </rfmt>
  <rfmt sheetId="1" sqref="AP237" start="0" length="0">
    <dxf>
      <font>
        <sz val="11"/>
        <color theme="1"/>
        <name val="Calibri"/>
        <scheme val="none"/>
      </font>
    </dxf>
  </rfmt>
  <rfmt sheetId="1" sqref="AQ237" start="0" length="0">
    <dxf>
      <font>
        <sz val="11"/>
        <color theme="1"/>
        <name val="Calibri"/>
        <scheme val="none"/>
      </font>
      <numFmt numFmtId="164" formatCode="_-* #,##0_-;\-* #,##0_-;_-* &quot;-&quot;??_-;_-@_-"/>
    </dxf>
  </rfmt>
  <rfmt sheetId="1" sqref="AR237" start="0" length="0">
    <dxf>
      <font>
        <sz val="11"/>
        <color theme="1"/>
        <name val="Calibri"/>
        <scheme val="none"/>
      </font>
      <numFmt numFmtId="164" formatCode="_-* #,##0_-;\-* #,##0_-;_-* &quot;-&quot;??_-;_-@_-"/>
    </dxf>
  </rfmt>
  <rfmt sheetId="1" sqref="AS237" start="0" length="0">
    <dxf>
      <font>
        <sz val="11"/>
        <color theme="1"/>
        <name val="Calibri"/>
        <scheme val="none"/>
      </font>
      <numFmt numFmtId="164" formatCode="_-* #,##0_-;\-* #,##0_-;_-* &quot;-&quot;??_-;_-@_-"/>
    </dxf>
  </rfmt>
  <rfmt sheetId="1" sqref="AT237" start="0" length="0">
    <dxf>
      <font>
        <sz val="11"/>
        <color theme="1"/>
        <name val="Calibri"/>
        <scheme val="none"/>
      </font>
      <numFmt numFmtId="164" formatCode="_-* #,##0_-;\-* #,##0_-;_-* &quot;-&quot;??_-;_-@_-"/>
    </dxf>
  </rfmt>
  <rfmt sheetId="1" sqref="AU237" start="0" length="0">
    <dxf>
      <font>
        <sz val="11"/>
        <color theme="1"/>
        <name val="Calibri"/>
        <scheme val="none"/>
      </font>
    </dxf>
  </rfmt>
  <rfmt sheetId="1" sqref="AV237" start="0" length="0">
    <dxf>
      <font>
        <sz val="11"/>
        <color theme="1"/>
        <name val="Calibri"/>
        <scheme val="none"/>
      </font>
    </dxf>
  </rfmt>
  <rfmt sheetId="1" sqref="AW237" start="0" length="0">
    <dxf>
      <font>
        <sz val="11"/>
        <color theme="1"/>
        <name val="Calibri"/>
        <scheme val="none"/>
      </font>
    </dxf>
  </rfmt>
  <rfmt sheetId="1" sqref="AX237" start="0" length="0">
    <dxf>
      <font>
        <sz val="11"/>
        <color theme="1"/>
        <name val="Calibri"/>
        <scheme val="none"/>
      </font>
    </dxf>
  </rfmt>
  <rfmt sheetId="1" sqref="AY237" start="0" length="0">
    <dxf>
      <font>
        <sz val="11"/>
        <color theme="1"/>
        <name val="Calibri"/>
        <scheme val="none"/>
      </font>
    </dxf>
  </rfmt>
  <rfmt sheetId="1" sqref="A237:XFD237" start="0" length="0">
    <dxf>
      <font>
        <sz val="11"/>
        <color theme="1"/>
        <name val="Calibri"/>
        <scheme val="none"/>
      </font>
    </dxf>
  </rfmt>
  <rfmt sheetId="1" sqref="A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3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3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38" start="0" length="0">
    <dxf>
      <font>
        <sz val="11"/>
        <color theme="1"/>
        <name val="Calibri"/>
        <scheme val="none"/>
      </font>
    </dxf>
  </rfmt>
  <rfmt sheetId="1" sqref="AM238" start="0" length="0">
    <dxf>
      <font>
        <sz val="11"/>
        <color theme="1"/>
        <name val="Calibri"/>
        <scheme val="none"/>
      </font>
      <numFmt numFmtId="1" formatCode="0"/>
    </dxf>
  </rfmt>
  <rfmt sheetId="1" sqref="AN238" start="0" length="0">
    <dxf>
      <font>
        <sz val="11"/>
        <color theme="1"/>
        <name val="Calibri"/>
        <scheme val="none"/>
      </font>
      <numFmt numFmtId="1" formatCode="0"/>
    </dxf>
  </rfmt>
  <rfmt sheetId="1" sqref="AO238" start="0" length="0">
    <dxf>
      <font>
        <sz val="11"/>
        <color theme="1"/>
        <name val="Calibri"/>
        <scheme val="none"/>
      </font>
    </dxf>
  </rfmt>
  <rfmt sheetId="1" sqref="AP238" start="0" length="0">
    <dxf>
      <font>
        <sz val="11"/>
        <color theme="1"/>
        <name val="Calibri"/>
        <scheme val="none"/>
      </font>
    </dxf>
  </rfmt>
  <rfmt sheetId="1" sqref="AQ238" start="0" length="0">
    <dxf>
      <font>
        <sz val="11"/>
        <color theme="1"/>
        <name val="Calibri"/>
        <scheme val="none"/>
      </font>
      <numFmt numFmtId="164" formatCode="_-* #,##0_-;\-* #,##0_-;_-* &quot;-&quot;??_-;_-@_-"/>
    </dxf>
  </rfmt>
  <rfmt sheetId="1" sqref="AR238" start="0" length="0">
    <dxf>
      <font>
        <sz val="11"/>
        <color theme="1"/>
        <name val="Calibri"/>
        <scheme val="none"/>
      </font>
      <numFmt numFmtId="164" formatCode="_-* #,##0_-;\-* #,##0_-;_-* &quot;-&quot;??_-;_-@_-"/>
    </dxf>
  </rfmt>
  <rfmt sheetId="1" sqref="AS238" start="0" length="0">
    <dxf>
      <font>
        <sz val="11"/>
        <color theme="1"/>
        <name val="Calibri"/>
        <scheme val="none"/>
      </font>
      <numFmt numFmtId="164" formatCode="_-* #,##0_-;\-* #,##0_-;_-* &quot;-&quot;??_-;_-@_-"/>
    </dxf>
  </rfmt>
  <rfmt sheetId="1" sqref="AT238" start="0" length="0">
    <dxf>
      <font>
        <sz val="11"/>
        <color theme="1"/>
        <name val="Calibri"/>
        <scheme val="none"/>
      </font>
      <numFmt numFmtId="164" formatCode="_-* #,##0_-;\-* #,##0_-;_-* &quot;-&quot;??_-;_-@_-"/>
    </dxf>
  </rfmt>
  <rfmt sheetId="1" sqref="AU238" start="0" length="0">
    <dxf>
      <font>
        <sz val="11"/>
        <color theme="1"/>
        <name val="Calibri"/>
        <scheme val="none"/>
      </font>
    </dxf>
  </rfmt>
  <rfmt sheetId="1" sqref="AV238" start="0" length="0">
    <dxf>
      <font>
        <sz val="11"/>
        <color theme="1"/>
        <name val="Calibri"/>
        <scheme val="none"/>
      </font>
    </dxf>
  </rfmt>
  <rfmt sheetId="1" sqref="AW238" start="0" length="0">
    <dxf>
      <font>
        <sz val="11"/>
        <color theme="1"/>
        <name val="Calibri"/>
        <scheme val="none"/>
      </font>
    </dxf>
  </rfmt>
  <rfmt sheetId="1" sqref="AX238" start="0" length="0">
    <dxf>
      <font>
        <sz val="11"/>
        <color theme="1"/>
        <name val="Calibri"/>
        <scheme val="none"/>
      </font>
    </dxf>
  </rfmt>
  <rfmt sheetId="1" sqref="AY238" start="0" length="0">
    <dxf>
      <font>
        <sz val="11"/>
        <color theme="1"/>
        <name val="Calibri"/>
        <scheme val="none"/>
      </font>
    </dxf>
  </rfmt>
  <rfmt sheetId="1" sqref="A238:XFD238" start="0" length="0">
    <dxf>
      <font>
        <sz val="11"/>
        <color theme="1"/>
        <name val="Calibri"/>
        <scheme val="none"/>
      </font>
    </dxf>
  </rfmt>
  <rfmt sheetId="1" sqref="A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3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3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39" start="0" length="0">
    <dxf>
      <font>
        <sz val="11"/>
        <color theme="1"/>
        <name val="Calibri"/>
        <scheme val="none"/>
      </font>
    </dxf>
  </rfmt>
  <rfmt sheetId="1" sqref="AM239" start="0" length="0">
    <dxf>
      <font>
        <sz val="11"/>
        <color theme="1"/>
        <name val="Calibri"/>
        <scheme val="none"/>
      </font>
      <numFmt numFmtId="1" formatCode="0"/>
    </dxf>
  </rfmt>
  <rfmt sheetId="1" sqref="AN239" start="0" length="0">
    <dxf>
      <font>
        <sz val="11"/>
        <color theme="1"/>
        <name val="Calibri"/>
        <scheme val="none"/>
      </font>
      <numFmt numFmtId="1" formatCode="0"/>
    </dxf>
  </rfmt>
  <rfmt sheetId="1" sqref="AO239" start="0" length="0">
    <dxf>
      <font>
        <sz val="11"/>
        <color theme="1"/>
        <name val="Calibri"/>
        <scheme val="none"/>
      </font>
    </dxf>
  </rfmt>
  <rfmt sheetId="1" sqref="AP239" start="0" length="0">
    <dxf>
      <font>
        <sz val="11"/>
        <color theme="1"/>
        <name val="Calibri"/>
        <scheme val="none"/>
      </font>
    </dxf>
  </rfmt>
  <rfmt sheetId="1" sqref="AQ239" start="0" length="0">
    <dxf>
      <font>
        <sz val="11"/>
        <color theme="1"/>
        <name val="Calibri"/>
        <scheme val="none"/>
      </font>
      <numFmt numFmtId="164" formatCode="_-* #,##0_-;\-* #,##0_-;_-* &quot;-&quot;??_-;_-@_-"/>
    </dxf>
  </rfmt>
  <rfmt sheetId="1" sqref="AR239" start="0" length="0">
    <dxf>
      <font>
        <sz val="11"/>
        <color theme="1"/>
        <name val="Calibri"/>
        <scheme val="none"/>
      </font>
      <numFmt numFmtId="164" formatCode="_-* #,##0_-;\-* #,##0_-;_-* &quot;-&quot;??_-;_-@_-"/>
    </dxf>
  </rfmt>
  <rfmt sheetId="1" sqref="AS239" start="0" length="0">
    <dxf>
      <font>
        <sz val="11"/>
        <color theme="1"/>
        <name val="Calibri"/>
        <scheme val="none"/>
      </font>
      <numFmt numFmtId="164" formatCode="_-* #,##0_-;\-* #,##0_-;_-* &quot;-&quot;??_-;_-@_-"/>
    </dxf>
  </rfmt>
  <rfmt sheetId="1" sqref="AT239" start="0" length="0">
    <dxf>
      <font>
        <sz val="11"/>
        <color theme="1"/>
        <name val="Calibri"/>
        <scheme val="none"/>
      </font>
      <numFmt numFmtId="164" formatCode="_-* #,##0_-;\-* #,##0_-;_-* &quot;-&quot;??_-;_-@_-"/>
    </dxf>
  </rfmt>
  <rfmt sheetId="1" sqref="AU239" start="0" length="0">
    <dxf>
      <font>
        <sz val="11"/>
        <color theme="1"/>
        <name val="Calibri"/>
        <scheme val="none"/>
      </font>
    </dxf>
  </rfmt>
  <rfmt sheetId="1" sqref="AV239" start="0" length="0">
    <dxf>
      <font>
        <sz val="11"/>
        <color theme="1"/>
        <name val="Calibri"/>
        <scheme val="none"/>
      </font>
    </dxf>
  </rfmt>
  <rfmt sheetId="1" sqref="AW239" start="0" length="0">
    <dxf>
      <font>
        <sz val="11"/>
        <color theme="1"/>
        <name val="Calibri"/>
        <scheme val="none"/>
      </font>
    </dxf>
  </rfmt>
  <rfmt sheetId="1" sqref="AX239" start="0" length="0">
    <dxf>
      <font>
        <sz val="11"/>
        <color theme="1"/>
        <name val="Calibri"/>
        <scheme val="none"/>
      </font>
    </dxf>
  </rfmt>
  <rfmt sheetId="1" sqref="AY239" start="0" length="0">
    <dxf>
      <font>
        <sz val="11"/>
        <color theme="1"/>
        <name val="Calibri"/>
        <scheme val="none"/>
      </font>
    </dxf>
  </rfmt>
  <rfmt sheetId="1" sqref="A239:XFD239" start="0" length="0">
    <dxf>
      <font>
        <sz val="11"/>
        <color theme="1"/>
        <name val="Calibri"/>
        <scheme val="none"/>
      </font>
    </dxf>
  </rfmt>
  <rfmt sheetId="1" sqref="A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4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4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40" start="0" length="0">
    <dxf>
      <font>
        <sz val="11"/>
        <color theme="1"/>
        <name val="Calibri"/>
        <scheme val="none"/>
      </font>
    </dxf>
  </rfmt>
  <rfmt sheetId="1" sqref="AM240" start="0" length="0">
    <dxf>
      <font>
        <sz val="11"/>
        <color theme="1"/>
        <name val="Calibri"/>
        <scheme val="none"/>
      </font>
      <numFmt numFmtId="1" formatCode="0"/>
    </dxf>
  </rfmt>
  <rfmt sheetId="1" sqref="AN240" start="0" length="0">
    <dxf>
      <font>
        <sz val="11"/>
        <color theme="1"/>
        <name val="Calibri"/>
        <scheme val="none"/>
      </font>
      <numFmt numFmtId="1" formatCode="0"/>
    </dxf>
  </rfmt>
  <rfmt sheetId="1" sqref="AO240" start="0" length="0">
    <dxf>
      <font>
        <sz val="11"/>
        <color theme="1"/>
        <name val="Calibri"/>
        <scheme val="none"/>
      </font>
    </dxf>
  </rfmt>
  <rfmt sheetId="1" sqref="AP240" start="0" length="0">
    <dxf>
      <font>
        <sz val="11"/>
        <color theme="1"/>
        <name val="Calibri"/>
        <scheme val="none"/>
      </font>
    </dxf>
  </rfmt>
  <rfmt sheetId="1" sqref="AQ240" start="0" length="0">
    <dxf>
      <font>
        <sz val="11"/>
        <color theme="1"/>
        <name val="Calibri"/>
        <scheme val="none"/>
      </font>
      <numFmt numFmtId="164" formatCode="_-* #,##0_-;\-* #,##0_-;_-* &quot;-&quot;??_-;_-@_-"/>
    </dxf>
  </rfmt>
  <rfmt sheetId="1" sqref="AR240" start="0" length="0">
    <dxf>
      <font>
        <sz val="11"/>
        <color theme="1"/>
        <name val="Calibri"/>
        <scheme val="none"/>
      </font>
      <numFmt numFmtId="164" formatCode="_-* #,##0_-;\-* #,##0_-;_-* &quot;-&quot;??_-;_-@_-"/>
    </dxf>
  </rfmt>
  <rfmt sheetId="1" sqref="AS240" start="0" length="0">
    <dxf>
      <font>
        <sz val="11"/>
        <color theme="1"/>
        <name val="Calibri"/>
        <scheme val="none"/>
      </font>
      <numFmt numFmtId="164" formatCode="_-* #,##0_-;\-* #,##0_-;_-* &quot;-&quot;??_-;_-@_-"/>
    </dxf>
  </rfmt>
  <rfmt sheetId="1" sqref="AT240" start="0" length="0">
    <dxf>
      <font>
        <sz val="11"/>
        <color theme="1"/>
        <name val="Calibri"/>
        <scheme val="none"/>
      </font>
      <numFmt numFmtId="164" formatCode="_-* #,##0_-;\-* #,##0_-;_-* &quot;-&quot;??_-;_-@_-"/>
    </dxf>
  </rfmt>
  <rfmt sheetId="1" sqref="AU240" start="0" length="0">
    <dxf>
      <font>
        <sz val="11"/>
        <color theme="1"/>
        <name val="Calibri"/>
        <scheme val="none"/>
      </font>
    </dxf>
  </rfmt>
  <rfmt sheetId="1" sqref="AV240" start="0" length="0">
    <dxf>
      <font>
        <sz val="11"/>
        <color theme="1"/>
        <name val="Calibri"/>
        <scheme val="none"/>
      </font>
    </dxf>
  </rfmt>
  <rfmt sheetId="1" sqref="AW240" start="0" length="0">
    <dxf>
      <font>
        <sz val="11"/>
        <color theme="1"/>
        <name val="Calibri"/>
        <scheme val="none"/>
      </font>
    </dxf>
  </rfmt>
  <rfmt sheetId="1" sqref="AX240" start="0" length="0">
    <dxf>
      <font>
        <sz val="11"/>
        <color theme="1"/>
        <name val="Calibri"/>
        <scheme val="none"/>
      </font>
    </dxf>
  </rfmt>
  <rfmt sheetId="1" sqref="AY240" start="0" length="0">
    <dxf>
      <font>
        <sz val="11"/>
        <color theme="1"/>
        <name val="Calibri"/>
        <scheme val="none"/>
      </font>
    </dxf>
  </rfmt>
  <rfmt sheetId="1" sqref="A240:XFD240" start="0" length="0">
    <dxf>
      <font>
        <sz val="11"/>
        <color theme="1"/>
        <name val="Calibri"/>
        <scheme val="none"/>
      </font>
    </dxf>
  </rfmt>
  <rfmt sheetId="1" sqref="A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4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4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41" start="0" length="0">
    <dxf>
      <font>
        <sz val="11"/>
        <color theme="1"/>
        <name val="Calibri"/>
        <scheme val="none"/>
      </font>
    </dxf>
  </rfmt>
  <rfmt sheetId="1" sqref="AM241" start="0" length="0">
    <dxf>
      <font>
        <sz val="11"/>
        <color theme="1"/>
        <name val="Calibri"/>
        <scheme val="none"/>
      </font>
      <numFmt numFmtId="1" formatCode="0"/>
    </dxf>
  </rfmt>
  <rfmt sheetId="1" sqref="AN241" start="0" length="0">
    <dxf>
      <font>
        <sz val="11"/>
        <color theme="1"/>
        <name val="Calibri"/>
        <scheme val="none"/>
      </font>
      <numFmt numFmtId="1" formatCode="0"/>
    </dxf>
  </rfmt>
  <rfmt sheetId="1" sqref="AO241" start="0" length="0">
    <dxf>
      <font>
        <sz val="11"/>
        <color theme="1"/>
        <name val="Calibri"/>
        <scheme val="none"/>
      </font>
    </dxf>
  </rfmt>
  <rfmt sheetId="1" sqref="AP241" start="0" length="0">
    <dxf>
      <font>
        <sz val="11"/>
        <color theme="1"/>
        <name val="Calibri"/>
        <scheme val="none"/>
      </font>
    </dxf>
  </rfmt>
  <rfmt sheetId="1" sqref="AQ241" start="0" length="0">
    <dxf>
      <font>
        <sz val="11"/>
        <color theme="1"/>
        <name val="Calibri"/>
        <scheme val="none"/>
      </font>
      <numFmt numFmtId="164" formatCode="_-* #,##0_-;\-* #,##0_-;_-* &quot;-&quot;??_-;_-@_-"/>
    </dxf>
  </rfmt>
  <rfmt sheetId="1" sqref="AR241" start="0" length="0">
    <dxf>
      <font>
        <sz val="11"/>
        <color theme="1"/>
        <name val="Calibri"/>
        <scheme val="none"/>
      </font>
      <numFmt numFmtId="164" formatCode="_-* #,##0_-;\-* #,##0_-;_-* &quot;-&quot;??_-;_-@_-"/>
    </dxf>
  </rfmt>
  <rfmt sheetId="1" sqref="AS241" start="0" length="0">
    <dxf>
      <font>
        <sz val="11"/>
        <color theme="1"/>
        <name val="Calibri"/>
        <scheme val="none"/>
      </font>
      <numFmt numFmtId="164" formatCode="_-* #,##0_-;\-* #,##0_-;_-* &quot;-&quot;??_-;_-@_-"/>
    </dxf>
  </rfmt>
  <rfmt sheetId="1" sqref="AT241" start="0" length="0">
    <dxf>
      <font>
        <sz val="11"/>
        <color theme="1"/>
        <name val="Calibri"/>
        <scheme val="none"/>
      </font>
      <numFmt numFmtId="164" formatCode="_-* #,##0_-;\-* #,##0_-;_-* &quot;-&quot;??_-;_-@_-"/>
    </dxf>
  </rfmt>
  <rfmt sheetId="1" sqref="AU241" start="0" length="0">
    <dxf>
      <font>
        <sz val="11"/>
        <color theme="1"/>
        <name val="Calibri"/>
        <scheme val="none"/>
      </font>
    </dxf>
  </rfmt>
  <rfmt sheetId="1" sqref="AV241" start="0" length="0">
    <dxf>
      <font>
        <sz val="11"/>
        <color theme="1"/>
        <name val="Calibri"/>
        <scheme val="none"/>
      </font>
    </dxf>
  </rfmt>
  <rfmt sheetId="1" sqref="AW241" start="0" length="0">
    <dxf>
      <font>
        <sz val="11"/>
        <color theme="1"/>
        <name val="Calibri"/>
        <scheme val="none"/>
      </font>
    </dxf>
  </rfmt>
  <rfmt sheetId="1" sqref="AX241" start="0" length="0">
    <dxf>
      <font>
        <sz val="11"/>
        <color theme="1"/>
        <name val="Calibri"/>
        <scheme val="none"/>
      </font>
    </dxf>
  </rfmt>
  <rfmt sheetId="1" sqref="AY241" start="0" length="0">
    <dxf>
      <font>
        <sz val="11"/>
        <color theme="1"/>
        <name val="Calibri"/>
        <scheme val="none"/>
      </font>
    </dxf>
  </rfmt>
  <rfmt sheetId="1" sqref="A241:XFD241" start="0" length="0">
    <dxf>
      <font>
        <sz val="11"/>
        <color theme="1"/>
        <name val="Calibri"/>
        <scheme val="none"/>
      </font>
    </dxf>
  </rfmt>
  <rfmt sheetId="1" sqref="A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4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4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42" start="0" length="0">
    <dxf>
      <font>
        <sz val="11"/>
        <color theme="1"/>
        <name val="Calibri"/>
        <scheme val="none"/>
      </font>
    </dxf>
  </rfmt>
  <rfmt sheetId="1" sqref="AM242" start="0" length="0">
    <dxf>
      <font>
        <sz val="11"/>
        <color theme="1"/>
        <name val="Calibri"/>
        <scheme val="none"/>
      </font>
      <numFmt numFmtId="1" formatCode="0"/>
    </dxf>
  </rfmt>
  <rfmt sheetId="1" sqref="AN242" start="0" length="0">
    <dxf>
      <font>
        <sz val="11"/>
        <color theme="1"/>
        <name val="Calibri"/>
        <scheme val="none"/>
      </font>
      <numFmt numFmtId="1" formatCode="0"/>
    </dxf>
  </rfmt>
  <rfmt sheetId="1" sqref="AO242" start="0" length="0">
    <dxf>
      <font>
        <sz val="11"/>
        <color theme="1"/>
        <name val="Calibri"/>
        <scheme val="none"/>
      </font>
    </dxf>
  </rfmt>
  <rfmt sheetId="1" sqref="AP242" start="0" length="0">
    <dxf>
      <font>
        <sz val="11"/>
        <color theme="1"/>
        <name val="Calibri"/>
        <scheme val="none"/>
      </font>
    </dxf>
  </rfmt>
  <rfmt sheetId="1" sqref="AQ242" start="0" length="0">
    <dxf>
      <font>
        <sz val="11"/>
        <color theme="1"/>
        <name val="Calibri"/>
        <scheme val="none"/>
      </font>
      <numFmt numFmtId="164" formatCode="_-* #,##0_-;\-* #,##0_-;_-* &quot;-&quot;??_-;_-@_-"/>
    </dxf>
  </rfmt>
  <rfmt sheetId="1" sqref="AR242" start="0" length="0">
    <dxf>
      <font>
        <sz val="11"/>
        <color theme="1"/>
        <name val="Calibri"/>
        <scheme val="none"/>
      </font>
      <numFmt numFmtId="164" formatCode="_-* #,##0_-;\-* #,##0_-;_-* &quot;-&quot;??_-;_-@_-"/>
    </dxf>
  </rfmt>
  <rfmt sheetId="1" sqref="AS242" start="0" length="0">
    <dxf>
      <font>
        <sz val="11"/>
        <color theme="1"/>
        <name val="Calibri"/>
        <scheme val="none"/>
      </font>
      <numFmt numFmtId="164" formatCode="_-* #,##0_-;\-* #,##0_-;_-* &quot;-&quot;??_-;_-@_-"/>
    </dxf>
  </rfmt>
  <rfmt sheetId="1" sqref="AT242" start="0" length="0">
    <dxf>
      <font>
        <sz val="11"/>
        <color theme="1"/>
        <name val="Calibri"/>
        <scheme val="none"/>
      </font>
      <numFmt numFmtId="164" formatCode="_-* #,##0_-;\-* #,##0_-;_-* &quot;-&quot;??_-;_-@_-"/>
    </dxf>
  </rfmt>
  <rfmt sheetId="1" sqref="AU242" start="0" length="0">
    <dxf>
      <font>
        <sz val="11"/>
        <color theme="1"/>
        <name val="Calibri"/>
        <scheme val="none"/>
      </font>
    </dxf>
  </rfmt>
  <rfmt sheetId="1" sqref="AV242" start="0" length="0">
    <dxf>
      <font>
        <sz val="11"/>
        <color theme="1"/>
        <name val="Calibri"/>
        <scheme val="none"/>
      </font>
    </dxf>
  </rfmt>
  <rfmt sheetId="1" sqref="AW242" start="0" length="0">
    <dxf>
      <font>
        <sz val="11"/>
        <color theme="1"/>
        <name val="Calibri"/>
        <scheme val="none"/>
      </font>
    </dxf>
  </rfmt>
  <rfmt sheetId="1" sqref="AX242" start="0" length="0">
    <dxf>
      <font>
        <sz val="11"/>
        <color theme="1"/>
        <name val="Calibri"/>
        <scheme val="none"/>
      </font>
    </dxf>
  </rfmt>
  <rfmt sheetId="1" sqref="AY242" start="0" length="0">
    <dxf>
      <font>
        <sz val="11"/>
        <color theme="1"/>
        <name val="Calibri"/>
        <scheme val="none"/>
      </font>
    </dxf>
  </rfmt>
  <rfmt sheetId="1" sqref="A242:XFD242" start="0" length="0">
    <dxf>
      <font>
        <sz val="11"/>
        <color theme="1"/>
        <name val="Calibri"/>
        <scheme val="none"/>
      </font>
    </dxf>
  </rfmt>
  <rfmt sheetId="1" sqref="A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4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4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43" start="0" length="0">
    <dxf>
      <font>
        <sz val="11"/>
        <color theme="1"/>
        <name val="Calibri"/>
        <scheme val="none"/>
      </font>
    </dxf>
  </rfmt>
  <rfmt sheetId="1" sqref="AM243" start="0" length="0">
    <dxf>
      <font>
        <sz val="11"/>
        <color theme="1"/>
        <name val="Calibri"/>
        <scheme val="none"/>
      </font>
      <numFmt numFmtId="1" formatCode="0"/>
    </dxf>
  </rfmt>
  <rfmt sheetId="1" sqref="AN243" start="0" length="0">
    <dxf>
      <font>
        <sz val="11"/>
        <color theme="1"/>
        <name val="Calibri"/>
        <scheme val="none"/>
      </font>
      <numFmt numFmtId="1" formatCode="0"/>
    </dxf>
  </rfmt>
  <rfmt sheetId="1" sqref="AO243" start="0" length="0">
    <dxf>
      <font>
        <sz val="11"/>
        <color theme="1"/>
        <name val="Calibri"/>
        <scheme val="none"/>
      </font>
    </dxf>
  </rfmt>
  <rfmt sheetId="1" sqref="AP243" start="0" length="0">
    <dxf>
      <font>
        <sz val="11"/>
        <color theme="1"/>
        <name val="Calibri"/>
        <scheme val="none"/>
      </font>
    </dxf>
  </rfmt>
  <rfmt sheetId="1" sqref="AQ243" start="0" length="0">
    <dxf>
      <font>
        <sz val="11"/>
        <color theme="1"/>
        <name val="Calibri"/>
        <scheme val="none"/>
      </font>
      <numFmt numFmtId="164" formatCode="_-* #,##0_-;\-* #,##0_-;_-* &quot;-&quot;??_-;_-@_-"/>
    </dxf>
  </rfmt>
  <rfmt sheetId="1" sqref="AR243" start="0" length="0">
    <dxf>
      <font>
        <sz val="11"/>
        <color theme="1"/>
        <name val="Calibri"/>
        <scheme val="none"/>
      </font>
      <numFmt numFmtId="164" formatCode="_-* #,##0_-;\-* #,##0_-;_-* &quot;-&quot;??_-;_-@_-"/>
    </dxf>
  </rfmt>
  <rfmt sheetId="1" sqref="AS243" start="0" length="0">
    <dxf>
      <font>
        <sz val="11"/>
        <color theme="1"/>
        <name val="Calibri"/>
        <scheme val="none"/>
      </font>
      <numFmt numFmtId="164" formatCode="_-* #,##0_-;\-* #,##0_-;_-* &quot;-&quot;??_-;_-@_-"/>
    </dxf>
  </rfmt>
  <rfmt sheetId="1" sqref="AT243" start="0" length="0">
    <dxf>
      <font>
        <sz val="11"/>
        <color theme="1"/>
        <name val="Calibri"/>
        <scheme val="none"/>
      </font>
      <numFmt numFmtId="164" formatCode="_-* #,##0_-;\-* #,##0_-;_-* &quot;-&quot;??_-;_-@_-"/>
    </dxf>
  </rfmt>
  <rfmt sheetId="1" sqref="AU243" start="0" length="0">
    <dxf>
      <font>
        <sz val="11"/>
        <color theme="1"/>
        <name val="Calibri"/>
        <scheme val="none"/>
      </font>
    </dxf>
  </rfmt>
  <rfmt sheetId="1" sqref="AV243" start="0" length="0">
    <dxf>
      <font>
        <sz val="11"/>
        <color theme="1"/>
        <name val="Calibri"/>
        <scheme val="none"/>
      </font>
    </dxf>
  </rfmt>
  <rfmt sheetId="1" sqref="AW243" start="0" length="0">
    <dxf>
      <font>
        <sz val="11"/>
        <color theme="1"/>
        <name val="Calibri"/>
        <scheme val="none"/>
      </font>
    </dxf>
  </rfmt>
  <rfmt sheetId="1" sqref="AX243" start="0" length="0">
    <dxf>
      <font>
        <sz val="11"/>
        <color theme="1"/>
        <name val="Calibri"/>
        <scheme val="none"/>
      </font>
    </dxf>
  </rfmt>
  <rfmt sheetId="1" sqref="AY243" start="0" length="0">
    <dxf>
      <font>
        <sz val="11"/>
        <color theme="1"/>
        <name val="Calibri"/>
        <scheme val="none"/>
      </font>
    </dxf>
  </rfmt>
  <rfmt sheetId="1" sqref="A243:XFD243" start="0" length="0">
    <dxf>
      <font>
        <sz val="11"/>
        <color theme="1"/>
        <name val="Calibri"/>
        <scheme val="none"/>
      </font>
    </dxf>
  </rfmt>
  <rfmt sheetId="1" sqref="A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4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4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44" start="0" length="0">
    <dxf>
      <font>
        <sz val="11"/>
        <color theme="1"/>
        <name val="Calibri"/>
        <scheme val="none"/>
      </font>
    </dxf>
  </rfmt>
  <rfmt sheetId="1" sqref="AM244" start="0" length="0">
    <dxf>
      <font>
        <sz val="11"/>
        <color theme="1"/>
        <name val="Calibri"/>
        <scheme val="none"/>
      </font>
      <numFmt numFmtId="1" formatCode="0"/>
    </dxf>
  </rfmt>
  <rfmt sheetId="1" sqref="AN244" start="0" length="0">
    <dxf>
      <font>
        <sz val="11"/>
        <color theme="1"/>
        <name val="Calibri"/>
        <scheme val="none"/>
      </font>
      <numFmt numFmtId="1" formatCode="0"/>
    </dxf>
  </rfmt>
  <rfmt sheetId="1" sqref="AO244" start="0" length="0">
    <dxf>
      <font>
        <sz val="11"/>
        <color theme="1"/>
        <name val="Calibri"/>
        <scheme val="none"/>
      </font>
    </dxf>
  </rfmt>
  <rfmt sheetId="1" sqref="AP244" start="0" length="0">
    <dxf>
      <font>
        <sz val="11"/>
        <color theme="1"/>
        <name val="Calibri"/>
        <scheme val="none"/>
      </font>
    </dxf>
  </rfmt>
  <rfmt sheetId="1" sqref="AQ244" start="0" length="0">
    <dxf>
      <font>
        <sz val="11"/>
        <color theme="1"/>
        <name val="Calibri"/>
        <scheme val="none"/>
      </font>
      <numFmt numFmtId="164" formatCode="_-* #,##0_-;\-* #,##0_-;_-* &quot;-&quot;??_-;_-@_-"/>
    </dxf>
  </rfmt>
  <rfmt sheetId="1" sqref="AR244" start="0" length="0">
    <dxf>
      <font>
        <sz val="11"/>
        <color theme="1"/>
        <name val="Calibri"/>
        <scheme val="none"/>
      </font>
      <numFmt numFmtId="164" formatCode="_-* #,##0_-;\-* #,##0_-;_-* &quot;-&quot;??_-;_-@_-"/>
    </dxf>
  </rfmt>
  <rfmt sheetId="1" sqref="AS244" start="0" length="0">
    <dxf>
      <font>
        <sz val="11"/>
        <color theme="1"/>
        <name val="Calibri"/>
        <scheme val="none"/>
      </font>
      <numFmt numFmtId="164" formatCode="_-* #,##0_-;\-* #,##0_-;_-* &quot;-&quot;??_-;_-@_-"/>
    </dxf>
  </rfmt>
  <rfmt sheetId="1" sqref="AT244" start="0" length="0">
    <dxf>
      <font>
        <sz val="11"/>
        <color theme="1"/>
        <name val="Calibri"/>
        <scheme val="none"/>
      </font>
      <numFmt numFmtId="164" formatCode="_-* #,##0_-;\-* #,##0_-;_-* &quot;-&quot;??_-;_-@_-"/>
    </dxf>
  </rfmt>
  <rfmt sheetId="1" sqref="AU244" start="0" length="0">
    <dxf>
      <font>
        <sz val="11"/>
        <color theme="1"/>
        <name val="Calibri"/>
        <scheme val="none"/>
      </font>
    </dxf>
  </rfmt>
  <rfmt sheetId="1" sqref="AV244" start="0" length="0">
    <dxf>
      <font>
        <sz val="11"/>
        <color theme="1"/>
        <name val="Calibri"/>
        <scheme val="none"/>
      </font>
    </dxf>
  </rfmt>
  <rfmt sheetId="1" sqref="AW244" start="0" length="0">
    <dxf>
      <font>
        <sz val="11"/>
        <color theme="1"/>
        <name val="Calibri"/>
        <scheme val="none"/>
      </font>
    </dxf>
  </rfmt>
  <rfmt sheetId="1" sqref="AX244" start="0" length="0">
    <dxf>
      <font>
        <sz val="11"/>
        <color theme="1"/>
        <name val="Calibri"/>
        <scheme val="none"/>
      </font>
    </dxf>
  </rfmt>
  <rfmt sheetId="1" sqref="AY244" start="0" length="0">
    <dxf>
      <font>
        <sz val="11"/>
        <color theme="1"/>
        <name val="Calibri"/>
        <scheme val="none"/>
      </font>
    </dxf>
  </rfmt>
  <rfmt sheetId="1" sqref="A244:XFD244" start="0" length="0">
    <dxf>
      <font>
        <sz val="11"/>
        <color theme="1"/>
        <name val="Calibri"/>
        <scheme val="none"/>
      </font>
    </dxf>
  </rfmt>
  <rfmt sheetId="1" sqref="A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4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4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45" start="0" length="0">
    <dxf>
      <font>
        <sz val="11"/>
        <color theme="1"/>
        <name val="Calibri"/>
        <scheme val="none"/>
      </font>
    </dxf>
  </rfmt>
  <rfmt sheetId="1" sqref="AM245" start="0" length="0">
    <dxf>
      <font>
        <sz val="11"/>
        <color theme="1"/>
        <name val="Calibri"/>
        <scheme val="none"/>
      </font>
      <numFmt numFmtId="1" formatCode="0"/>
    </dxf>
  </rfmt>
  <rfmt sheetId="1" sqref="AN245" start="0" length="0">
    <dxf>
      <font>
        <sz val="11"/>
        <color theme="1"/>
        <name val="Calibri"/>
        <scheme val="none"/>
      </font>
      <numFmt numFmtId="1" formatCode="0"/>
    </dxf>
  </rfmt>
  <rfmt sheetId="1" sqref="AO245" start="0" length="0">
    <dxf>
      <font>
        <sz val="11"/>
        <color theme="1"/>
        <name val="Calibri"/>
        <scheme val="none"/>
      </font>
    </dxf>
  </rfmt>
  <rfmt sheetId="1" sqref="AP245" start="0" length="0">
    <dxf>
      <font>
        <sz val="11"/>
        <color theme="1"/>
        <name val="Calibri"/>
        <scheme val="none"/>
      </font>
    </dxf>
  </rfmt>
  <rfmt sheetId="1" sqref="AQ245" start="0" length="0">
    <dxf>
      <font>
        <sz val="11"/>
        <color theme="1"/>
        <name val="Calibri"/>
        <scheme val="none"/>
      </font>
      <numFmt numFmtId="164" formatCode="_-* #,##0_-;\-* #,##0_-;_-* &quot;-&quot;??_-;_-@_-"/>
    </dxf>
  </rfmt>
  <rfmt sheetId="1" sqref="AR245" start="0" length="0">
    <dxf>
      <font>
        <sz val="11"/>
        <color theme="1"/>
        <name val="Calibri"/>
        <scheme val="none"/>
      </font>
      <numFmt numFmtId="164" formatCode="_-* #,##0_-;\-* #,##0_-;_-* &quot;-&quot;??_-;_-@_-"/>
    </dxf>
  </rfmt>
  <rfmt sheetId="1" sqref="AS245" start="0" length="0">
    <dxf>
      <font>
        <sz val="11"/>
        <color theme="1"/>
        <name val="Calibri"/>
        <scheme val="none"/>
      </font>
      <numFmt numFmtId="164" formatCode="_-* #,##0_-;\-* #,##0_-;_-* &quot;-&quot;??_-;_-@_-"/>
    </dxf>
  </rfmt>
  <rfmt sheetId="1" sqref="AT245" start="0" length="0">
    <dxf>
      <font>
        <sz val="11"/>
        <color theme="1"/>
        <name val="Calibri"/>
        <scheme val="none"/>
      </font>
      <numFmt numFmtId="164" formatCode="_-* #,##0_-;\-* #,##0_-;_-* &quot;-&quot;??_-;_-@_-"/>
    </dxf>
  </rfmt>
  <rfmt sheetId="1" sqref="AU245" start="0" length="0">
    <dxf>
      <font>
        <sz val="11"/>
        <color theme="1"/>
        <name val="Calibri"/>
        <scheme val="none"/>
      </font>
    </dxf>
  </rfmt>
  <rfmt sheetId="1" sqref="AV245" start="0" length="0">
    <dxf>
      <font>
        <sz val="11"/>
        <color theme="1"/>
        <name val="Calibri"/>
        <scheme val="none"/>
      </font>
    </dxf>
  </rfmt>
  <rfmt sheetId="1" sqref="AW245" start="0" length="0">
    <dxf>
      <font>
        <sz val="11"/>
        <color theme="1"/>
        <name val="Calibri"/>
        <scheme val="none"/>
      </font>
    </dxf>
  </rfmt>
  <rfmt sheetId="1" sqref="AX245" start="0" length="0">
    <dxf>
      <font>
        <sz val="11"/>
        <color theme="1"/>
        <name val="Calibri"/>
        <scheme val="none"/>
      </font>
    </dxf>
  </rfmt>
  <rfmt sheetId="1" sqref="AY245" start="0" length="0">
    <dxf>
      <font>
        <sz val="11"/>
        <color theme="1"/>
        <name val="Calibri"/>
        <scheme val="none"/>
      </font>
    </dxf>
  </rfmt>
  <rfmt sheetId="1" sqref="A245:XFD245" start="0" length="0">
    <dxf>
      <font>
        <sz val="11"/>
        <color theme="1"/>
        <name val="Calibri"/>
        <scheme val="none"/>
      </font>
    </dxf>
  </rfmt>
  <rfmt sheetId="1" sqref="A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4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4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46" start="0" length="0">
    <dxf>
      <font>
        <sz val="11"/>
        <color theme="1"/>
        <name val="Calibri"/>
        <scheme val="none"/>
      </font>
    </dxf>
  </rfmt>
  <rfmt sheetId="1" sqref="AM246" start="0" length="0">
    <dxf>
      <font>
        <sz val="11"/>
        <color theme="1"/>
        <name val="Calibri"/>
        <scheme val="none"/>
      </font>
      <numFmt numFmtId="1" formatCode="0"/>
    </dxf>
  </rfmt>
  <rfmt sheetId="1" sqref="AN246" start="0" length="0">
    <dxf>
      <font>
        <sz val="11"/>
        <color theme="1"/>
        <name val="Calibri"/>
        <scheme val="none"/>
      </font>
      <numFmt numFmtId="1" formatCode="0"/>
    </dxf>
  </rfmt>
  <rfmt sheetId="1" sqref="AO246" start="0" length="0">
    <dxf>
      <font>
        <sz val="11"/>
        <color theme="1"/>
        <name val="Calibri"/>
        <scheme val="none"/>
      </font>
    </dxf>
  </rfmt>
  <rfmt sheetId="1" sqref="AP246" start="0" length="0">
    <dxf>
      <font>
        <sz val="11"/>
        <color theme="1"/>
        <name val="Calibri"/>
        <scheme val="none"/>
      </font>
    </dxf>
  </rfmt>
  <rfmt sheetId="1" sqref="AQ246" start="0" length="0">
    <dxf>
      <font>
        <sz val="11"/>
        <color theme="1"/>
        <name val="Calibri"/>
        <scheme val="none"/>
      </font>
      <numFmt numFmtId="164" formatCode="_-* #,##0_-;\-* #,##0_-;_-* &quot;-&quot;??_-;_-@_-"/>
    </dxf>
  </rfmt>
  <rfmt sheetId="1" sqref="AR246" start="0" length="0">
    <dxf>
      <font>
        <sz val="11"/>
        <color theme="1"/>
        <name val="Calibri"/>
        <scheme val="none"/>
      </font>
      <numFmt numFmtId="164" formatCode="_-* #,##0_-;\-* #,##0_-;_-* &quot;-&quot;??_-;_-@_-"/>
    </dxf>
  </rfmt>
  <rfmt sheetId="1" sqref="AS246" start="0" length="0">
    <dxf>
      <font>
        <sz val="11"/>
        <color theme="1"/>
        <name val="Calibri"/>
        <scheme val="none"/>
      </font>
      <numFmt numFmtId="164" formatCode="_-* #,##0_-;\-* #,##0_-;_-* &quot;-&quot;??_-;_-@_-"/>
    </dxf>
  </rfmt>
  <rfmt sheetId="1" sqref="AT246" start="0" length="0">
    <dxf>
      <font>
        <sz val="11"/>
        <color theme="1"/>
        <name val="Calibri"/>
        <scheme val="none"/>
      </font>
      <numFmt numFmtId="164" formatCode="_-* #,##0_-;\-* #,##0_-;_-* &quot;-&quot;??_-;_-@_-"/>
    </dxf>
  </rfmt>
  <rfmt sheetId="1" sqref="AU246" start="0" length="0">
    <dxf>
      <font>
        <sz val="11"/>
        <color theme="1"/>
        <name val="Calibri"/>
        <scheme val="none"/>
      </font>
    </dxf>
  </rfmt>
  <rfmt sheetId="1" sqref="AV246" start="0" length="0">
    <dxf>
      <font>
        <sz val="11"/>
        <color theme="1"/>
        <name val="Calibri"/>
        <scheme val="none"/>
      </font>
    </dxf>
  </rfmt>
  <rfmt sheetId="1" sqref="AW246" start="0" length="0">
    <dxf>
      <font>
        <sz val="11"/>
        <color theme="1"/>
        <name val="Calibri"/>
        <scheme val="none"/>
      </font>
    </dxf>
  </rfmt>
  <rfmt sheetId="1" sqref="AX246" start="0" length="0">
    <dxf>
      <font>
        <sz val="11"/>
        <color theme="1"/>
        <name val="Calibri"/>
        <scheme val="none"/>
      </font>
    </dxf>
  </rfmt>
  <rfmt sheetId="1" sqref="AY246" start="0" length="0">
    <dxf>
      <font>
        <sz val="11"/>
        <color theme="1"/>
        <name val="Calibri"/>
        <scheme val="none"/>
      </font>
    </dxf>
  </rfmt>
  <rfmt sheetId="1" sqref="A246:XFD246" start="0" length="0">
    <dxf>
      <font>
        <sz val="11"/>
        <color theme="1"/>
        <name val="Calibri"/>
        <scheme val="none"/>
      </font>
    </dxf>
  </rfmt>
  <rfmt sheetId="1" sqref="A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4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4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47" start="0" length="0">
    <dxf>
      <font>
        <sz val="11"/>
        <color theme="1"/>
        <name val="Calibri"/>
        <scheme val="none"/>
      </font>
    </dxf>
  </rfmt>
  <rfmt sheetId="1" sqref="AM247" start="0" length="0">
    <dxf>
      <font>
        <sz val="11"/>
        <color theme="1"/>
        <name val="Calibri"/>
        <scheme val="none"/>
      </font>
      <numFmt numFmtId="1" formatCode="0"/>
    </dxf>
  </rfmt>
  <rfmt sheetId="1" sqref="AN247" start="0" length="0">
    <dxf>
      <font>
        <sz val="11"/>
        <color theme="1"/>
        <name val="Calibri"/>
        <scheme val="none"/>
      </font>
      <numFmt numFmtId="1" formatCode="0"/>
    </dxf>
  </rfmt>
  <rfmt sheetId="1" sqref="AO247" start="0" length="0">
    <dxf>
      <font>
        <sz val="11"/>
        <color theme="1"/>
        <name val="Calibri"/>
        <scheme val="none"/>
      </font>
    </dxf>
  </rfmt>
  <rfmt sheetId="1" sqref="AP247" start="0" length="0">
    <dxf>
      <font>
        <sz val="11"/>
        <color theme="1"/>
        <name val="Calibri"/>
        <scheme val="none"/>
      </font>
    </dxf>
  </rfmt>
  <rfmt sheetId="1" sqref="AQ247" start="0" length="0">
    <dxf>
      <font>
        <sz val="11"/>
        <color theme="1"/>
        <name val="Calibri"/>
        <scheme val="none"/>
      </font>
      <numFmt numFmtId="164" formatCode="_-* #,##0_-;\-* #,##0_-;_-* &quot;-&quot;??_-;_-@_-"/>
    </dxf>
  </rfmt>
  <rfmt sheetId="1" sqref="AR247" start="0" length="0">
    <dxf>
      <font>
        <sz val="11"/>
        <color theme="1"/>
        <name val="Calibri"/>
        <scheme val="none"/>
      </font>
      <numFmt numFmtId="164" formatCode="_-* #,##0_-;\-* #,##0_-;_-* &quot;-&quot;??_-;_-@_-"/>
    </dxf>
  </rfmt>
  <rfmt sheetId="1" sqref="AS247" start="0" length="0">
    <dxf>
      <font>
        <sz val="11"/>
        <color theme="1"/>
        <name val="Calibri"/>
        <scheme val="none"/>
      </font>
      <numFmt numFmtId="164" formatCode="_-* #,##0_-;\-* #,##0_-;_-* &quot;-&quot;??_-;_-@_-"/>
    </dxf>
  </rfmt>
  <rfmt sheetId="1" sqref="AT247" start="0" length="0">
    <dxf>
      <font>
        <sz val="11"/>
        <color theme="1"/>
        <name val="Calibri"/>
        <scheme val="none"/>
      </font>
      <numFmt numFmtId="164" formatCode="_-* #,##0_-;\-* #,##0_-;_-* &quot;-&quot;??_-;_-@_-"/>
    </dxf>
  </rfmt>
  <rfmt sheetId="1" sqref="AU247" start="0" length="0">
    <dxf>
      <font>
        <sz val="11"/>
        <color theme="1"/>
        <name val="Calibri"/>
        <scheme val="none"/>
      </font>
    </dxf>
  </rfmt>
  <rfmt sheetId="1" sqref="AV247" start="0" length="0">
    <dxf>
      <font>
        <sz val="11"/>
        <color theme="1"/>
        <name val="Calibri"/>
        <scheme val="none"/>
      </font>
    </dxf>
  </rfmt>
  <rfmt sheetId="1" sqref="AW247" start="0" length="0">
    <dxf>
      <font>
        <sz val="11"/>
        <color theme="1"/>
        <name val="Calibri"/>
        <scheme val="none"/>
      </font>
    </dxf>
  </rfmt>
  <rfmt sheetId="1" sqref="AX247" start="0" length="0">
    <dxf>
      <font>
        <sz val="11"/>
        <color theme="1"/>
        <name val="Calibri"/>
        <scheme val="none"/>
      </font>
    </dxf>
  </rfmt>
  <rfmt sheetId="1" sqref="AY247" start="0" length="0">
    <dxf>
      <font>
        <sz val="11"/>
        <color theme="1"/>
        <name val="Calibri"/>
        <scheme val="none"/>
      </font>
    </dxf>
  </rfmt>
  <rfmt sheetId="1" sqref="A247:XFD247" start="0" length="0">
    <dxf>
      <font>
        <sz val="11"/>
        <color theme="1"/>
        <name val="Calibri"/>
        <scheme val="none"/>
      </font>
    </dxf>
  </rfmt>
  <rfmt sheetId="1" sqref="A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4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4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48" start="0" length="0">
    <dxf>
      <font>
        <sz val="11"/>
        <color theme="1"/>
        <name val="Calibri"/>
        <scheme val="none"/>
      </font>
    </dxf>
  </rfmt>
  <rfmt sheetId="1" sqref="AM248" start="0" length="0">
    <dxf>
      <font>
        <sz val="11"/>
        <color theme="1"/>
        <name val="Calibri"/>
        <scheme val="none"/>
      </font>
      <numFmt numFmtId="1" formatCode="0"/>
    </dxf>
  </rfmt>
  <rfmt sheetId="1" sqref="AN248" start="0" length="0">
    <dxf>
      <font>
        <sz val="11"/>
        <color theme="1"/>
        <name val="Calibri"/>
        <scheme val="none"/>
      </font>
      <numFmt numFmtId="1" formatCode="0"/>
    </dxf>
  </rfmt>
  <rfmt sheetId="1" sqref="AO248" start="0" length="0">
    <dxf>
      <font>
        <sz val="11"/>
        <color theme="1"/>
        <name val="Calibri"/>
        <scheme val="none"/>
      </font>
    </dxf>
  </rfmt>
  <rfmt sheetId="1" sqref="AP248" start="0" length="0">
    <dxf>
      <font>
        <sz val="11"/>
        <color theme="1"/>
        <name val="Calibri"/>
        <scheme val="none"/>
      </font>
    </dxf>
  </rfmt>
  <rfmt sheetId="1" sqref="AQ248" start="0" length="0">
    <dxf>
      <font>
        <sz val="11"/>
        <color theme="1"/>
        <name val="Calibri"/>
        <scheme val="none"/>
      </font>
      <numFmt numFmtId="164" formatCode="_-* #,##0_-;\-* #,##0_-;_-* &quot;-&quot;??_-;_-@_-"/>
    </dxf>
  </rfmt>
  <rfmt sheetId="1" sqref="AR248" start="0" length="0">
    <dxf>
      <font>
        <sz val="11"/>
        <color theme="1"/>
        <name val="Calibri"/>
        <scheme val="none"/>
      </font>
      <numFmt numFmtId="164" formatCode="_-* #,##0_-;\-* #,##0_-;_-* &quot;-&quot;??_-;_-@_-"/>
    </dxf>
  </rfmt>
  <rfmt sheetId="1" sqref="AS248" start="0" length="0">
    <dxf>
      <font>
        <sz val="11"/>
        <color theme="1"/>
        <name val="Calibri"/>
        <scheme val="none"/>
      </font>
      <numFmt numFmtId="164" formatCode="_-* #,##0_-;\-* #,##0_-;_-* &quot;-&quot;??_-;_-@_-"/>
    </dxf>
  </rfmt>
  <rfmt sheetId="1" sqref="AT248" start="0" length="0">
    <dxf>
      <font>
        <sz val="11"/>
        <color theme="1"/>
        <name val="Calibri"/>
        <scheme val="none"/>
      </font>
      <numFmt numFmtId="164" formatCode="_-* #,##0_-;\-* #,##0_-;_-* &quot;-&quot;??_-;_-@_-"/>
    </dxf>
  </rfmt>
  <rfmt sheetId="1" sqref="AU248" start="0" length="0">
    <dxf>
      <font>
        <sz val="11"/>
        <color theme="1"/>
        <name val="Calibri"/>
        <scheme val="none"/>
      </font>
    </dxf>
  </rfmt>
  <rfmt sheetId="1" sqref="AV248" start="0" length="0">
    <dxf>
      <font>
        <sz val="11"/>
        <color theme="1"/>
        <name val="Calibri"/>
        <scheme val="none"/>
      </font>
    </dxf>
  </rfmt>
  <rfmt sheetId="1" sqref="AW248" start="0" length="0">
    <dxf>
      <font>
        <sz val="11"/>
        <color theme="1"/>
        <name val="Calibri"/>
        <scheme val="none"/>
      </font>
    </dxf>
  </rfmt>
  <rfmt sheetId="1" sqref="AX248" start="0" length="0">
    <dxf>
      <font>
        <sz val="11"/>
        <color theme="1"/>
        <name val="Calibri"/>
        <scheme val="none"/>
      </font>
    </dxf>
  </rfmt>
  <rfmt sheetId="1" sqref="AY248" start="0" length="0">
    <dxf>
      <font>
        <sz val="11"/>
        <color theme="1"/>
        <name val="Calibri"/>
        <scheme val="none"/>
      </font>
    </dxf>
  </rfmt>
  <rfmt sheetId="1" sqref="A248:XFD248" start="0" length="0">
    <dxf>
      <font>
        <sz val="11"/>
        <color theme="1"/>
        <name val="Calibri"/>
        <scheme val="none"/>
      </font>
    </dxf>
  </rfmt>
  <rfmt sheetId="1" sqref="A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4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4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49" start="0" length="0">
    <dxf>
      <font>
        <sz val="11"/>
        <color theme="1"/>
        <name val="Calibri"/>
        <scheme val="none"/>
      </font>
    </dxf>
  </rfmt>
  <rfmt sheetId="1" sqref="AM249" start="0" length="0">
    <dxf>
      <font>
        <sz val="11"/>
        <color theme="1"/>
        <name val="Calibri"/>
        <scheme val="none"/>
      </font>
      <numFmt numFmtId="1" formatCode="0"/>
    </dxf>
  </rfmt>
  <rfmt sheetId="1" sqref="AN249" start="0" length="0">
    <dxf>
      <font>
        <sz val="11"/>
        <color theme="1"/>
        <name val="Calibri"/>
        <scheme val="none"/>
      </font>
      <numFmt numFmtId="1" formatCode="0"/>
    </dxf>
  </rfmt>
  <rfmt sheetId="1" sqref="AO249" start="0" length="0">
    <dxf>
      <font>
        <sz val="11"/>
        <color theme="1"/>
        <name val="Calibri"/>
        <scheme val="none"/>
      </font>
    </dxf>
  </rfmt>
  <rfmt sheetId="1" sqref="AP249" start="0" length="0">
    <dxf>
      <font>
        <sz val="11"/>
        <color theme="1"/>
        <name val="Calibri"/>
        <scheme val="none"/>
      </font>
    </dxf>
  </rfmt>
  <rfmt sheetId="1" sqref="AQ249" start="0" length="0">
    <dxf>
      <font>
        <sz val="11"/>
        <color theme="1"/>
        <name val="Calibri"/>
        <scheme val="none"/>
      </font>
      <numFmt numFmtId="164" formatCode="_-* #,##0_-;\-* #,##0_-;_-* &quot;-&quot;??_-;_-@_-"/>
    </dxf>
  </rfmt>
  <rfmt sheetId="1" sqref="AR249" start="0" length="0">
    <dxf>
      <font>
        <sz val="11"/>
        <color theme="1"/>
        <name val="Calibri"/>
        <scheme val="none"/>
      </font>
      <numFmt numFmtId="164" formatCode="_-* #,##0_-;\-* #,##0_-;_-* &quot;-&quot;??_-;_-@_-"/>
    </dxf>
  </rfmt>
  <rfmt sheetId="1" sqref="AS249" start="0" length="0">
    <dxf>
      <font>
        <sz val="11"/>
        <color theme="1"/>
        <name val="Calibri"/>
        <scheme val="none"/>
      </font>
      <numFmt numFmtId="164" formatCode="_-* #,##0_-;\-* #,##0_-;_-* &quot;-&quot;??_-;_-@_-"/>
    </dxf>
  </rfmt>
  <rfmt sheetId="1" sqref="AT249" start="0" length="0">
    <dxf>
      <font>
        <sz val="11"/>
        <color theme="1"/>
        <name val="Calibri"/>
        <scheme val="none"/>
      </font>
      <numFmt numFmtId="164" formatCode="_-* #,##0_-;\-* #,##0_-;_-* &quot;-&quot;??_-;_-@_-"/>
    </dxf>
  </rfmt>
  <rfmt sheetId="1" sqref="AU249" start="0" length="0">
    <dxf>
      <font>
        <sz val="11"/>
        <color theme="1"/>
        <name val="Calibri"/>
        <scheme val="none"/>
      </font>
    </dxf>
  </rfmt>
  <rfmt sheetId="1" sqref="AV249" start="0" length="0">
    <dxf>
      <font>
        <sz val="11"/>
        <color theme="1"/>
        <name val="Calibri"/>
        <scheme val="none"/>
      </font>
    </dxf>
  </rfmt>
  <rfmt sheetId="1" sqref="AW249" start="0" length="0">
    <dxf>
      <font>
        <sz val="11"/>
        <color theme="1"/>
        <name val="Calibri"/>
        <scheme val="none"/>
      </font>
    </dxf>
  </rfmt>
  <rfmt sheetId="1" sqref="AX249" start="0" length="0">
    <dxf>
      <font>
        <sz val="11"/>
        <color theme="1"/>
        <name val="Calibri"/>
        <scheme val="none"/>
      </font>
    </dxf>
  </rfmt>
  <rfmt sheetId="1" sqref="AY249" start="0" length="0">
    <dxf>
      <font>
        <sz val="11"/>
        <color theme="1"/>
        <name val="Calibri"/>
        <scheme val="none"/>
      </font>
    </dxf>
  </rfmt>
  <rfmt sheetId="1" sqref="A249:XFD249" start="0" length="0">
    <dxf>
      <font>
        <sz val="11"/>
        <color theme="1"/>
        <name val="Calibri"/>
        <scheme val="none"/>
      </font>
    </dxf>
  </rfmt>
  <rfmt sheetId="1" sqref="A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5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5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50" start="0" length="0">
    <dxf>
      <font>
        <sz val="11"/>
        <color theme="1"/>
        <name val="Calibri"/>
        <scheme val="none"/>
      </font>
    </dxf>
  </rfmt>
  <rfmt sheetId="1" sqref="AM250" start="0" length="0">
    <dxf>
      <font>
        <sz val="11"/>
        <color theme="1"/>
        <name val="Calibri"/>
        <scheme val="none"/>
      </font>
      <numFmt numFmtId="1" formatCode="0"/>
    </dxf>
  </rfmt>
  <rfmt sheetId="1" sqref="AN250" start="0" length="0">
    <dxf>
      <font>
        <sz val="11"/>
        <color theme="1"/>
        <name val="Calibri"/>
        <scheme val="none"/>
      </font>
      <numFmt numFmtId="1" formatCode="0"/>
    </dxf>
  </rfmt>
  <rfmt sheetId="1" sqref="AO250" start="0" length="0">
    <dxf>
      <font>
        <sz val="11"/>
        <color theme="1"/>
        <name val="Calibri"/>
        <scheme val="none"/>
      </font>
    </dxf>
  </rfmt>
  <rfmt sheetId="1" sqref="AP250" start="0" length="0">
    <dxf>
      <font>
        <sz val="11"/>
        <color theme="1"/>
        <name val="Calibri"/>
        <scheme val="none"/>
      </font>
    </dxf>
  </rfmt>
  <rfmt sheetId="1" sqref="AQ250" start="0" length="0">
    <dxf>
      <font>
        <sz val="11"/>
        <color theme="1"/>
        <name val="Calibri"/>
        <scheme val="none"/>
      </font>
      <numFmt numFmtId="164" formatCode="_-* #,##0_-;\-* #,##0_-;_-* &quot;-&quot;??_-;_-@_-"/>
    </dxf>
  </rfmt>
  <rfmt sheetId="1" sqref="AR250" start="0" length="0">
    <dxf>
      <font>
        <sz val="11"/>
        <color theme="1"/>
        <name val="Calibri"/>
        <scheme val="none"/>
      </font>
      <numFmt numFmtId="164" formatCode="_-* #,##0_-;\-* #,##0_-;_-* &quot;-&quot;??_-;_-@_-"/>
    </dxf>
  </rfmt>
  <rfmt sheetId="1" sqref="AS250" start="0" length="0">
    <dxf>
      <font>
        <sz val="11"/>
        <color theme="1"/>
        <name val="Calibri"/>
        <scheme val="none"/>
      </font>
      <numFmt numFmtId="164" formatCode="_-* #,##0_-;\-* #,##0_-;_-* &quot;-&quot;??_-;_-@_-"/>
    </dxf>
  </rfmt>
  <rfmt sheetId="1" sqref="AT250" start="0" length="0">
    <dxf>
      <font>
        <sz val="11"/>
        <color theme="1"/>
        <name val="Calibri"/>
        <scheme val="none"/>
      </font>
      <numFmt numFmtId="164" formatCode="_-* #,##0_-;\-* #,##0_-;_-* &quot;-&quot;??_-;_-@_-"/>
    </dxf>
  </rfmt>
  <rfmt sheetId="1" sqref="AU250" start="0" length="0">
    <dxf>
      <font>
        <sz val="11"/>
        <color theme="1"/>
        <name val="Calibri"/>
        <scheme val="none"/>
      </font>
    </dxf>
  </rfmt>
  <rfmt sheetId="1" sqref="AV250" start="0" length="0">
    <dxf>
      <font>
        <sz val="11"/>
        <color theme="1"/>
        <name val="Calibri"/>
        <scheme val="none"/>
      </font>
    </dxf>
  </rfmt>
  <rfmt sheetId="1" sqref="AW250" start="0" length="0">
    <dxf>
      <font>
        <sz val="11"/>
        <color theme="1"/>
        <name val="Calibri"/>
        <scheme val="none"/>
      </font>
    </dxf>
  </rfmt>
  <rfmt sheetId="1" sqref="AX250" start="0" length="0">
    <dxf>
      <font>
        <sz val="11"/>
        <color theme="1"/>
        <name val="Calibri"/>
        <scheme val="none"/>
      </font>
    </dxf>
  </rfmt>
  <rfmt sheetId="1" sqref="AY250" start="0" length="0">
    <dxf>
      <font>
        <sz val="11"/>
        <color theme="1"/>
        <name val="Calibri"/>
        <scheme val="none"/>
      </font>
    </dxf>
  </rfmt>
  <rfmt sheetId="1" sqref="A250:XFD250" start="0" length="0">
    <dxf>
      <font>
        <sz val="11"/>
        <color theme="1"/>
        <name val="Calibri"/>
        <scheme val="none"/>
      </font>
    </dxf>
  </rfmt>
  <rfmt sheetId="1" sqref="A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5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5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51" start="0" length="0">
    <dxf>
      <font>
        <sz val="11"/>
        <color theme="1"/>
        <name val="Calibri"/>
        <scheme val="none"/>
      </font>
    </dxf>
  </rfmt>
  <rfmt sheetId="1" sqref="AM251" start="0" length="0">
    <dxf>
      <font>
        <sz val="11"/>
        <color theme="1"/>
        <name val="Calibri"/>
        <scheme val="none"/>
      </font>
      <numFmt numFmtId="1" formatCode="0"/>
    </dxf>
  </rfmt>
  <rfmt sheetId="1" sqref="AN251" start="0" length="0">
    <dxf>
      <font>
        <sz val="11"/>
        <color theme="1"/>
        <name val="Calibri"/>
        <scheme val="none"/>
      </font>
      <numFmt numFmtId="1" formatCode="0"/>
    </dxf>
  </rfmt>
  <rfmt sheetId="1" sqref="AO251" start="0" length="0">
    <dxf>
      <font>
        <sz val="11"/>
        <color theme="1"/>
        <name val="Calibri"/>
        <scheme val="none"/>
      </font>
    </dxf>
  </rfmt>
  <rfmt sheetId="1" sqref="AP251" start="0" length="0">
    <dxf>
      <font>
        <sz val="11"/>
        <color theme="1"/>
        <name val="Calibri"/>
        <scheme val="none"/>
      </font>
    </dxf>
  </rfmt>
  <rfmt sheetId="1" sqref="AQ251" start="0" length="0">
    <dxf>
      <font>
        <sz val="11"/>
        <color theme="1"/>
        <name val="Calibri"/>
        <scheme val="none"/>
      </font>
      <numFmt numFmtId="164" formatCode="_-* #,##0_-;\-* #,##0_-;_-* &quot;-&quot;??_-;_-@_-"/>
    </dxf>
  </rfmt>
  <rfmt sheetId="1" sqref="AR251" start="0" length="0">
    <dxf>
      <font>
        <sz val="11"/>
        <color theme="1"/>
        <name val="Calibri"/>
        <scheme val="none"/>
      </font>
      <numFmt numFmtId="164" formatCode="_-* #,##0_-;\-* #,##0_-;_-* &quot;-&quot;??_-;_-@_-"/>
    </dxf>
  </rfmt>
  <rfmt sheetId="1" sqref="AS251" start="0" length="0">
    <dxf>
      <font>
        <sz val="11"/>
        <color theme="1"/>
        <name val="Calibri"/>
        <scheme val="none"/>
      </font>
      <numFmt numFmtId="164" formatCode="_-* #,##0_-;\-* #,##0_-;_-* &quot;-&quot;??_-;_-@_-"/>
    </dxf>
  </rfmt>
  <rfmt sheetId="1" sqref="AT251" start="0" length="0">
    <dxf>
      <font>
        <sz val="11"/>
        <color theme="1"/>
        <name val="Calibri"/>
        <scheme val="none"/>
      </font>
      <numFmt numFmtId="164" formatCode="_-* #,##0_-;\-* #,##0_-;_-* &quot;-&quot;??_-;_-@_-"/>
    </dxf>
  </rfmt>
  <rfmt sheetId="1" sqref="AU251" start="0" length="0">
    <dxf>
      <font>
        <sz val="11"/>
        <color theme="1"/>
        <name val="Calibri"/>
        <scheme val="none"/>
      </font>
    </dxf>
  </rfmt>
  <rfmt sheetId="1" sqref="AV251" start="0" length="0">
    <dxf>
      <font>
        <sz val="11"/>
        <color theme="1"/>
        <name val="Calibri"/>
        <scheme val="none"/>
      </font>
    </dxf>
  </rfmt>
  <rfmt sheetId="1" sqref="AW251" start="0" length="0">
    <dxf>
      <font>
        <sz val="11"/>
        <color theme="1"/>
        <name val="Calibri"/>
        <scheme val="none"/>
      </font>
    </dxf>
  </rfmt>
  <rfmt sheetId="1" sqref="AX251" start="0" length="0">
    <dxf>
      <font>
        <sz val="11"/>
        <color theme="1"/>
        <name val="Calibri"/>
        <scheme val="none"/>
      </font>
    </dxf>
  </rfmt>
  <rfmt sheetId="1" sqref="AY251" start="0" length="0">
    <dxf>
      <font>
        <sz val="11"/>
        <color theme="1"/>
        <name val="Calibri"/>
        <scheme val="none"/>
      </font>
    </dxf>
  </rfmt>
  <rfmt sheetId="1" sqref="A251:XFD251" start="0" length="0">
    <dxf>
      <font>
        <sz val="11"/>
        <color theme="1"/>
        <name val="Calibri"/>
        <scheme val="none"/>
      </font>
    </dxf>
  </rfmt>
  <rfmt sheetId="1" sqref="A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5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5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52" start="0" length="0">
    <dxf>
      <font>
        <sz val="11"/>
        <color theme="1"/>
        <name val="Calibri"/>
        <scheme val="none"/>
      </font>
    </dxf>
  </rfmt>
  <rfmt sheetId="1" sqref="AM252" start="0" length="0">
    <dxf>
      <font>
        <sz val="11"/>
        <color theme="1"/>
        <name val="Calibri"/>
        <scheme val="none"/>
      </font>
      <numFmt numFmtId="1" formatCode="0"/>
    </dxf>
  </rfmt>
  <rfmt sheetId="1" sqref="AN252" start="0" length="0">
    <dxf>
      <font>
        <sz val="11"/>
        <color theme="1"/>
        <name val="Calibri"/>
        <scheme val="none"/>
      </font>
      <numFmt numFmtId="1" formatCode="0"/>
    </dxf>
  </rfmt>
  <rfmt sheetId="1" sqref="AO252" start="0" length="0">
    <dxf>
      <font>
        <sz val="11"/>
        <color theme="1"/>
        <name val="Calibri"/>
        <scheme val="none"/>
      </font>
    </dxf>
  </rfmt>
  <rfmt sheetId="1" sqref="AP252" start="0" length="0">
    <dxf>
      <font>
        <sz val="11"/>
        <color theme="1"/>
        <name val="Calibri"/>
        <scheme val="none"/>
      </font>
    </dxf>
  </rfmt>
  <rfmt sheetId="1" sqref="AQ252" start="0" length="0">
    <dxf>
      <font>
        <sz val="11"/>
        <color theme="1"/>
        <name val="Calibri"/>
        <scheme val="none"/>
      </font>
      <numFmt numFmtId="164" formatCode="_-* #,##0_-;\-* #,##0_-;_-* &quot;-&quot;??_-;_-@_-"/>
    </dxf>
  </rfmt>
  <rfmt sheetId="1" sqref="AR252" start="0" length="0">
    <dxf>
      <font>
        <sz val="11"/>
        <color theme="1"/>
        <name val="Calibri"/>
        <scheme val="none"/>
      </font>
      <numFmt numFmtId="164" formatCode="_-* #,##0_-;\-* #,##0_-;_-* &quot;-&quot;??_-;_-@_-"/>
    </dxf>
  </rfmt>
  <rfmt sheetId="1" sqref="AS252" start="0" length="0">
    <dxf>
      <font>
        <sz val="11"/>
        <color theme="1"/>
        <name val="Calibri"/>
        <scheme val="none"/>
      </font>
      <numFmt numFmtId="164" formatCode="_-* #,##0_-;\-* #,##0_-;_-* &quot;-&quot;??_-;_-@_-"/>
    </dxf>
  </rfmt>
  <rfmt sheetId="1" sqref="AT252" start="0" length="0">
    <dxf>
      <font>
        <sz val="11"/>
        <color theme="1"/>
        <name val="Calibri"/>
        <scheme val="none"/>
      </font>
      <numFmt numFmtId="164" formatCode="_-* #,##0_-;\-* #,##0_-;_-* &quot;-&quot;??_-;_-@_-"/>
    </dxf>
  </rfmt>
  <rfmt sheetId="1" sqref="AU252" start="0" length="0">
    <dxf>
      <font>
        <sz val="11"/>
        <color theme="1"/>
        <name val="Calibri"/>
        <scheme val="none"/>
      </font>
    </dxf>
  </rfmt>
  <rfmt sheetId="1" sqref="AV252" start="0" length="0">
    <dxf>
      <font>
        <sz val="11"/>
        <color theme="1"/>
        <name val="Calibri"/>
        <scheme val="none"/>
      </font>
    </dxf>
  </rfmt>
  <rfmt sheetId="1" sqref="AW252" start="0" length="0">
    <dxf>
      <font>
        <sz val="11"/>
        <color theme="1"/>
        <name val="Calibri"/>
        <scheme val="none"/>
      </font>
    </dxf>
  </rfmt>
  <rfmt sheetId="1" sqref="AX252" start="0" length="0">
    <dxf>
      <font>
        <sz val="11"/>
        <color theme="1"/>
        <name val="Calibri"/>
        <scheme val="none"/>
      </font>
    </dxf>
  </rfmt>
  <rfmt sheetId="1" sqref="AY252" start="0" length="0">
    <dxf>
      <font>
        <sz val="11"/>
        <color theme="1"/>
        <name val="Calibri"/>
        <scheme val="none"/>
      </font>
    </dxf>
  </rfmt>
  <rfmt sheetId="1" sqref="A252:XFD252" start="0" length="0">
    <dxf>
      <font>
        <sz val="11"/>
        <color theme="1"/>
        <name val="Calibri"/>
        <scheme val="none"/>
      </font>
    </dxf>
  </rfmt>
  <rfmt sheetId="1" sqref="A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5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5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53" start="0" length="0">
    <dxf>
      <font>
        <sz val="11"/>
        <color theme="1"/>
        <name val="Calibri"/>
        <scheme val="none"/>
      </font>
    </dxf>
  </rfmt>
  <rfmt sheetId="1" sqref="AM253" start="0" length="0">
    <dxf>
      <font>
        <sz val="11"/>
        <color theme="1"/>
        <name val="Calibri"/>
        <scheme val="none"/>
      </font>
      <numFmt numFmtId="1" formatCode="0"/>
    </dxf>
  </rfmt>
  <rfmt sheetId="1" sqref="AN253" start="0" length="0">
    <dxf>
      <font>
        <sz val="11"/>
        <color theme="1"/>
        <name val="Calibri"/>
        <scheme val="none"/>
      </font>
      <numFmt numFmtId="1" formatCode="0"/>
    </dxf>
  </rfmt>
  <rfmt sheetId="1" sqref="AO253" start="0" length="0">
    <dxf>
      <font>
        <sz val="11"/>
        <color theme="1"/>
        <name val="Calibri"/>
        <scheme val="none"/>
      </font>
    </dxf>
  </rfmt>
  <rfmt sheetId="1" sqref="AP253" start="0" length="0">
    <dxf>
      <font>
        <sz val="11"/>
        <color theme="1"/>
        <name val="Calibri"/>
        <scheme val="none"/>
      </font>
    </dxf>
  </rfmt>
  <rfmt sheetId="1" sqref="AQ253" start="0" length="0">
    <dxf>
      <font>
        <sz val="11"/>
        <color theme="1"/>
        <name val="Calibri"/>
        <scheme val="none"/>
      </font>
      <numFmt numFmtId="164" formatCode="_-* #,##0_-;\-* #,##0_-;_-* &quot;-&quot;??_-;_-@_-"/>
    </dxf>
  </rfmt>
  <rfmt sheetId="1" sqref="AR253" start="0" length="0">
    <dxf>
      <font>
        <sz val="11"/>
        <color theme="1"/>
        <name val="Calibri"/>
        <scheme val="none"/>
      </font>
      <numFmt numFmtId="164" formatCode="_-* #,##0_-;\-* #,##0_-;_-* &quot;-&quot;??_-;_-@_-"/>
    </dxf>
  </rfmt>
  <rfmt sheetId="1" sqref="AS253" start="0" length="0">
    <dxf>
      <font>
        <sz val="11"/>
        <color theme="1"/>
        <name val="Calibri"/>
        <scheme val="none"/>
      </font>
      <numFmt numFmtId="164" formatCode="_-* #,##0_-;\-* #,##0_-;_-* &quot;-&quot;??_-;_-@_-"/>
    </dxf>
  </rfmt>
  <rfmt sheetId="1" sqref="AT253" start="0" length="0">
    <dxf>
      <font>
        <sz val="11"/>
        <color theme="1"/>
        <name val="Calibri"/>
        <scheme val="none"/>
      </font>
      <numFmt numFmtId="164" formatCode="_-* #,##0_-;\-* #,##0_-;_-* &quot;-&quot;??_-;_-@_-"/>
    </dxf>
  </rfmt>
  <rfmt sheetId="1" sqref="AU253" start="0" length="0">
    <dxf>
      <font>
        <sz val="11"/>
        <color theme="1"/>
        <name val="Calibri"/>
        <scheme val="none"/>
      </font>
    </dxf>
  </rfmt>
  <rfmt sheetId="1" sqref="AV253" start="0" length="0">
    <dxf>
      <font>
        <sz val="11"/>
        <color theme="1"/>
        <name val="Calibri"/>
        <scheme val="none"/>
      </font>
    </dxf>
  </rfmt>
  <rfmt sheetId="1" sqref="AW253" start="0" length="0">
    <dxf>
      <font>
        <sz val="11"/>
        <color theme="1"/>
        <name val="Calibri"/>
        <scheme val="none"/>
      </font>
    </dxf>
  </rfmt>
  <rfmt sheetId="1" sqref="AX253" start="0" length="0">
    <dxf>
      <font>
        <sz val="11"/>
        <color theme="1"/>
        <name val="Calibri"/>
        <scheme val="none"/>
      </font>
    </dxf>
  </rfmt>
  <rfmt sheetId="1" sqref="AY253" start="0" length="0">
    <dxf>
      <font>
        <sz val="11"/>
        <color theme="1"/>
        <name val="Calibri"/>
        <scheme val="none"/>
      </font>
    </dxf>
  </rfmt>
  <rfmt sheetId="1" sqref="A253:XFD253" start="0" length="0">
    <dxf>
      <font>
        <sz val="11"/>
        <color theme="1"/>
        <name val="Calibri"/>
        <scheme val="none"/>
      </font>
    </dxf>
  </rfmt>
  <rfmt sheetId="1" sqref="A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5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5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54" start="0" length="0">
    <dxf>
      <font>
        <sz val="11"/>
        <color theme="1"/>
        <name val="Calibri"/>
        <scheme val="none"/>
      </font>
    </dxf>
  </rfmt>
  <rfmt sheetId="1" sqref="AM254" start="0" length="0">
    <dxf>
      <font>
        <sz val="11"/>
        <color theme="1"/>
        <name val="Calibri"/>
        <scheme val="none"/>
      </font>
      <numFmt numFmtId="1" formatCode="0"/>
    </dxf>
  </rfmt>
  <rfmt sheetId="1" sqref="AN254" start="0" length="0">
    <dxf>
      <font>
        <sz val="11"/>
        <color theme="1"/>
        <name val="Calibri"/>
        <scheme val="none"/>
      </font>
      <numFmt numFmtId="1" formatCode="0"/>
    </dxf>
  </rfmt>
  <rfmt sheetId="1" sqref="AO254" start="0" length="0">
    <dxf>
      <font>
        <sz val="11"/>
        <color theme="1"/>
        <name val="Calibri"/>
        <scheme val="none"/>
      </font>
    </dxf>
  </rfmt>
  <rfmt sheetId="1" sqref="AP254" start="0" length="0">
    <dxf>
      <font>
        <sz val="11"/>
        <color theme="1"/>
        <name val="Calibri"/>
        <scheme val="none"/>
      </font>
    </dxf>
  </rfmt>
  <rfmt sheetId="1" sqref="AQ254" start="0" length="0">
    <dxf>
      <font>
        <sz val="11"/>
        <color theme="1"/>
        <name val="Calibri"/>
        <scheme val="none"/>
      </font>
      <numFmt numFmtId="164" formatCode="_-* #,##0_-;\-* #,##0_-;_-* &quot;-&quot;??_-;_-@_-"/>
    </dxf>
  </rfmt>
  <rfmt sheetId="1" sqref="AR254" start="0" length="0">
    <dxf>
      <font>
        <sz val="11"/>
        <color theme="1"/>
        <name val="Calibri"/>
        <scheme val="none"/>
      </font>
      <numFmt numFmtId="164" formatCode="_-* #,##0_-;\-* #,##0_-;_-* &quot;-&quot;??_-;_-@_-"/>
    </dxf>
  </rfmt>
  <rfmt sheetId="1" sqref="AS254" start="0" length="0">
    <dxf>
      <font>
        <sz val="11"/>
        <color theme="1"/>
        <name val="Calibri"/>
        <scheme val="none"/>
      </font>
      <numFmt numFmtId="164" formatCode="_-* #,##0_-;\-* #,##0_-;_-* &quot;-&quot;??_-;_-@_-"/>
    </dxf>
  </rfmt>
  <rfmt sheetId="1" sqref="AT254" start="0" length="0">
    <dxf>
      <font>
        <sz val="11"/>
        <color theme="1"/>
        <name val="Calibri"/>
        <scheme val="none"/>
      </font>
      <numFmt numFmtId="164" formatCode="_-* #,##0_-;\-* #,##0_-;_-* &quot;-&quot;??_-;_-@_-"/>
    </dxf>
  </rfmt>
  <rfmt sheetId="1" sqref="AU254" start="0" length="0">
    <dxf>
      <font>
        <sz val="11"/>
        <color theme="1"/>
        <name val="Calibri"/>
        <scheme val="none"/>
      </font>
    </dxf>
  </rfmt>
  <rfmt sheetId="1" sqref="AV254" start="0" length="0">
    <dxf>
      <font>
        <sz val="11"/>
        <color theme="1"/>
        <name val="Calibri"/>
        <scheme val="none"/>
      </font>
    </dxf>
  </rfmt>
  <rfmt sheetId="1" sqref="AW254" start="0" length="0">
    <dxf>
      <font>
        <sz val="11"/>
        <color theme="1"/>
        <name val="Calibri"/>
        <scheme val="none"/>
      </font>
    </dxf>
  </rfmt>
  <rfmt sheetId="1" sqref="AX254" start="0" length="0">
    <dxf>
      <font>
        <sz val="11"/>
        <color theme="1"/>
        <name val="Calibri"/>
        <scheme val="none"/>
      </font>
    </dxf>
  </rfmt>
  <rfmt sheetId="1" sqref="AY254" start="0" length="0">
    <dxf>
      <font>
        <sz val="11"/>
        <color theme="1"/>
        <name val="Calibri"/>
        <scheme val="none"/>
      </font>
    </dxf>
  </rfmt>
  <rfmt sheetId="1" sqref="A254:XFD254" start="0" length="0">
    <dxf>
      <font>
        <sz val="11"/>
        <color theme="1"/>
        <name val="Calibri"/>
        <scheme val="none"/>
      </font>
    </dxf>
  </rfmt>
  <rfmt sheetId="1" sqref="A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5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5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55" start="0" length="0">
    <dxf>
      <font>
        <sz val="11"/>
        <color theme="1"/>
        <name val="Calibri"/>
        <scheme val="none"/>
      </font>
    </dxf>
  </rfmt>
  <rfmt sheetId="1" sqref="AM255" start="0" length="0">
    <dxf>
      <font>
        <sz val="11"/>
        <color theme="1"/>
        <name val="Calibri"/>
        <scheme val="none"/>
      </font>
      <numFmt numFmtId="1" formatCode="0"/>
    </dxf>
  </rfmt>
  <rfmt sheetId="1" sqref="AN255" start="0" length="0">
    <dxf>
      <font>
        <sz val="11"/>
        <color theme="1"/>
        <name val="Calibri"/>
        <scheme val="none"/>
      </font>
      <numFmt numFmtId="1" formatCode="0"/>
    </dxf>
  </rfmt>
  <rfmt sheetId="1" sqref="AO255" start="0" length="0">
    <dxf>
      <font>
        <sz val="11"/>
        <color theme="1"/>
        <name val="Calibri"/>
        <scheme val="none"/>
      </font>
    </dxf>
  </rfmt>
  <rfmt sheetId="1" sqref="AP255" start="0" length="0">
    <dxf>
      <font>
        <sz val="11"/>
        <color theme="1"/>
        <name val="Calibri"/>
        <scheme val="none"/>
      </font>
    </dxf>
  </rfmt>
  <rfmt sheetId="1" sqref="AQ255" start="0" length="0">
    <dxf>
      <font>
        <sz val="11"/>
        <color theme="1"/>
        <name val="Calibri"/>
        <scheme val="none"/>
      </font>
      <numFmt numFmtId="164" formatCode="_-* #,##0_-;\-* #,##0_-;_-* &quot;-&quot;??_-;_-@_-"/>
    </dxf>
  </rfmt>
  <rfmt sheetId="1" sqref="AR255" start="0" length="0">
    <dxf>
      <font>
        <sz val="11"/>
        <color theme="1"/>
        <name val="Calibri"/>
        <scheme val="none"/>
      </font>
      <numFmt numFmtId="164" formatCode="_-* #,##0_-;\-* #,##0_-;_-* &quot;-&quot;??_-;_-@_-"/>
    </dxf>
  </rfmt>
  <rfmt sheetId="1" sqref="AS255" start="0" length="0">
    <dxf>
      <font>
        <sz val="11"/>
        <color theme="1"/>
        <name val="Calibri"/>
        <scheme val="none"/>
      </font>
      <numFmt numFmtId="164" formatCode="_-* #,##0_-;\-* #,##0_-;_-* &quot;-&quot;??_-;_-@_-"/>
    </dxf>
  </rfmt>
  <rfmt sheetId="1" sqref="AT255" start="0" length="0">
    <dxf>
      <font>
        <sz val="11"/>
        <color theme="1"/>
        <name val="Calibri"/>
        <scheme val="none"/>
      </font>
      <numFmt numFmtId="164" formatCode="_-* #,##0_-;\-* #,##0_-;_-* &quot;-&quot;??_-;_-@_-"/>
    </dxf>
  </rfmt>
  <rfmt sheetId="1" sqref="AU255" start="0" length="0">
    <dxf>
      <font>
        <sz val="11"/>
        <color theme="1"/>
        <name val="Calibri"/>
        <scheme val="none"/>
      </font>
    </dxf>
  </rfmt>
  <rfmt sheetId="1" sqref="AV255" start="0" length="0">
    <dxf>
      <font>
        <sz val="11"/>
        <color theme="1"/>
        <name val="Calibri"/>
        <scheme val="none"/>
      </font>
    </dxf>
  </rfmt>
  <rfmt sheetId="1" sqref="AW255" start="0" length="0">
    <dxf>
      <font>
        <sz val="11"/>
        <color theme="1"/>
        <name val="Calibri"/>
        <scheme val="none"/>
      </font>
    </dxf>
  </rfmt>
  <rfmt sheetId="1" sqref="AX255" start="0" length="0">
    <dxf>
      <font>
        <sz val="11"/>
        <color theme="1"/>
        <name val="Calibri"/>
        <scheme val="none"/>
      </font>
    </dxf>
  </rfmt>
  <rfmt sheetId="1" sqref="AY255" start="0" length="0">
    <dxf>
      <font>
        <sz val="11"/>
        <color theme="1"/>
        <name val="Calibri"/>
        <scheme val="none"/>
      </font>
    </dxf>
  </rfmt>
  <rfmt sheetId="1" sqref="A255:XFD255" start="0" length="0">
    <dxf>
      <font>
        <sz val="11"/>
        <color theme="1"/>
        <name val="Calibri"/>
        <scheme val="none"/>
      </font>
    </dxf>
  </rfmt>
  <rfmt sheetId="1" sqref="A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5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5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56" start="0" length="0">
    <dxf>
      <font>
        <sz val="11"/>
        <color theme="1"/>
        <name val="Calibri"/>
        <scheme val="none"/>
      </font>
    </dxf>
  </rfmt>
  <rfmt sheetId="1" sqref="AM256" start="0" length="0">
    <dxf>
      <font>
        <sz val="11"/>
        <color theme="1"/>
        <name val="Calibri"/>
        <scheme val="none"/>
      </font>
      <numFmt numFmtId="1" formatCode="0"/>
    </dxf>
  </rfmt>
  <rfmt sheetId="1" sqref="AN256" start="0" length="0">
    <dxf>
      <font>
        <sz val="11"/>
        <color theme="1"/>
        <name val="Calibri"/>
        <scheme val="none"/>
      </font>
      <numFmt numFmtId="1" formatCode="0"/>
    </dxf>
  </rfmt>
  <rfmt sheetId="1" sqref="AO256" start="0" length="0">
    <dxf>
      <font>
        <sz val="11"/>
        <color theme="1"/>
        <name val="Calibri"/>
        <scheme val="none"/>
      </font>
    </dxf>
  </rfmt>
  <rfmt sheetId="1" sqref="AP256" start="0" length="0">
    <dxf>
      <font>
        <sz val="11"/>
        <color theme="1"/>
        <name val="Calibri"/>
        <scheme val="none"/>
      </font>
    </dxf>
  </rfmt>
  <rfmt sheetId="1" sqref="AQ256" start="0" length="0">
    <dxf>
      <font>
        <sz val="11"/>
        <color theme="1"/>
        <name val="Calibri"/>
        <scheme val="none"/>
      </font>
      <numFmt numFmtId="164" formatCode="_-* #,##0_-;\-* #,##0_-;_-* &quot;-&quot;??_-;_-@_-"/>
    </dxf>
  </rfmt>
  <rfmt sheetId="1" sqref="AR256" start="0" length="0">
    <dxf>
      <font>
        <sz val="11"/>
        <color theme="1"/>
        <name val="Calibri"/>
        <scheme val="none"/>
      </font>
      <numFmt numFmtId="164" formatCode="_-* #,##0_-;\-* #,##0_-;_-* &quot;-&quot;??_-;_-@_-"/>
    </dxf>
  </rfmt>
  <rfmt sheetId="1" sqref="AS256" start="0" length="0">
    <dxf>
      <font>
        <sz val="11"/>
        <color theme="1"/>
        <name val="Calibri"/>
        <scheme val="none"/>
      </font>
      <numFmt numFmtId="164" formatCode="_-* #,##0_-;\-* #,##0_-;_-* &quot;-&quot;??_-;_-@_-"/>
    </dxf>
  </rfmt>
  <rfmt sheetId="1" sqref="AT256" start="0" length="0">
    <dxf>
      <font>
        <sz val="11"/>
        <color theme="1"/>
        <name val="Calibri"/>
        <scheme val="none"/>
      </font>
      <numFmt numFmtId="164" formatCode="_-* #,##0_-;\-* #,##0_-;_-* &quot;-&quot;??_-;_-@_-"/>
    </dxf>
  </rfmt>
  <rfmt sheetId="1" sqref="AU256" start="0" length="0">
    <dxf>
      <font>
        <sz val="11"/>
        <color theme="1"/>
        <name val="Calibri"/>
        <scheme val="none"/>
      </font>
    </dxf>
  </rfmt>
  <rfmt sheetId="1" sqref="AV256" start="0" length="0">
    <dxf>
      <font>
        <sz val="11"/>
        <color theme="1"/>
        <name val="Calibri"/>
        <scheme val="none"/>
      </font>
    </dxf>
  </rfmt>
  <rfmt sheetId="1" sqref="AW256" start="0" length="0">
    <dxf>
      <font>
        <sz val="11"/>
        <color theme="1"/>
        <name val="Calibri"/>
        <scheme val="none"/>
      </font>
    </dxf>
  </rfmt>
  <rfmt sheetId="1" sqref="AX256" start="0" length="0">
    <dxf>
      <font>
        <sz val="11"/>
        <color theme="1"/>
        <name val="Calibri"/>
        <scheme val="none"/>
      </font>
    </dxf>
  </rfmt>
  <rfmt sheetId="1" sqref="AY256" start="0" length="0">
    <dxf>
      <font>
        <sz val="11"/>
        <color theme="1"/>
        <name val="Calibri"/>
        <scheme val="none"/>
      </font>
    </dxf>
  </rfmt>
  <rfmt sheetId="1" sqref="A256:XFD256" start="0" length="0">
    <dxf>
      <font>
        <sz val="11"/>
        <color theme="1"/>
        <name val="Calibri"/>
        <scheme val="none"/>
      </font>
    </dxf>
  </rfmt>
  <rfmt sheetId="1" sqref="A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5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5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57" start="0" length="0">
    <dxf>
      <font>
        <sz val="11"/>
        <color theme="1"/>
        <name val="Calibri"/>
        <scheme val="none"/>
      </font>
    </dxf>
  </rfmt>
  <rfmt sheetId="1" sqref="AM257" start="0" length="0">
    <dxf>
      <font>
        <sz val="11"/>
        <color theme="1"/>
        <name val="Calibri"/>
        <scheme val="none"/>
      </font>
      <numFmt numFmtId="1" formatCode="0"/>
    </dxf>
  </rfmt>
  <rfmt sheetId="1" sqref="AN257" start="0" length="0">
    <dxf>
      <font>
        <sz val="11"/>
        <color theme="1"/>
        <name val="Calibri"/>
        <scheme val="none"/>
      </font>
      <numFmt numFmtId="1" formatCode="0"/>
    </dxf>
  </rfmt>
  <rfmt sheetId="1" sqref="AO257" start="0" length="0">
    <dxf>
      <font>
        <sz val="11"/>
        <color theme="1"/>
        <name val="Calibri"/>
        <scheme val="none"/>
      </font>
    </dxf>
  </rfmt>
  <rfmt sheetId="1" sqref="AP257" start="0" length="0">
    <dxf>
      <font>
        <sz val="11"/>
        <color theme="1"/>
        <name val="Calibri"/>
        <scheme val="none"/>
      </font>
    </dxf>
  </rfmt>
  <rfmt sheetId="1" sqref="AQ257" start="0" length="0">
    <dxf>
      <font>
        <sz val="11"/>
        <color theme="1"/>
        <name val="Calibri"/>
        <scheme val="none"/>
      </font>
      <numFmt numFmtId="164" formatCode="_-* #,##0_-;\-* #,##0_-;_-* &quot;-&quot;??_-;_-@_-"/>
    </dxf>
  </rfmt>
  <rfmt sheetId="1" sqref="AR257" start="0" length="0">
    <dxf>
      <font>
        <sz val="11"/>
        <color theme="1"/>
        <name val="Calibri"/>
        <scheme val="none"/>
      </font>
      <numFmt numFmtId="164" formatCode="_-* #,##0_-;\-* #,##0_-;_-* &quot;-&quot;??_-;_-@_-"/>
    </dxf>
  </rfmt>
  <rfmt sheetId="1" sqref="AS257" start="0" length="0">
    <dxf>
      <font>
        <sz val="11"/>
        <color theme="1"/>
        <name val="Calibri"/>
        <scheme val="none"/>
      </font>
      <numFmt numFmtId="164" formatCode="_-* #,##0_-;\-* #,##0_-;_-* &quot;-&quot;??_-;_-@_-"/>
    </dxf>
  </rfmt>
  <rfmt sheetId="1" sqref="AT257" start="0" length="0">
    <dxf>
      <font>
        <sz val="11"/>
        <color theme="1"/>
        <name val="Calibri"/>
        <scheme val="none"/>
      </font>
      <numFmt numFmtId="164" formatCode="_-* #,##0_-;\-* #,##0_-;_-* &quot;-&quot;??_-;_-@_-"/>
    </dxf>
  </rfmt>
  <rfmt sheetId="1" sqref="AU257" start="0" length="0">
    <dxf>
      <font>
        <sz val="11"/>
        <color theme="1"/>
        <name val="Calibri"/>
        <scheme val="none"/>
      </font>
    </dxf>
  </rfmt>
  <rfmt sheetId="1" sqref="AV257" start="0" length="0">
    <dxf>
      <font>
        <sz val="11"/>
        <color theme="1"/>
        <name val="Calibri"/>
        <scheme val="none"/>
      </font>
    </dxf>
  </rfmt>
  <rfmt sheetId="1" sqref="AW257" start="0" length="0">
    <dxf>
      <font>
        <sz val="11"/>
        <color theme="1"/>
        <name val="Calibri"/>
        <scheme val="none"/>
      </font>
    </dxf>
  </rfmt>
  <rfmt sheetId="1" sqref="AX257" start="0" length="0">
    <dxf>
      <font>
        <sz val="11"/>
        <color theme="1"/>
        <name val="Calibri"/>
        <scheme val="none"/>
      </font>
    </dxf>
  </rfmt>
  <rfmt sheetId="1" sqref="AY257" start="0" length="0">
    <dxf>
      <font>
        <sz val="11"/>
        <color theme="1"/>
        <name val="Calibri"/>
        <scheme val="none"/>
      </font>
    </dxf>
  </rfmt>
  <rfmt sheetId="1" sqref="A257:XFD257" start="0" length="0">
    <dxf>
      <font>
        <sz val="11"/>
        <color theme="1"/>
        <name val="Calibri"/>
        <scheme val="none"/>
      </font>
    </dxf>
  </rfmt>
  <rfmt sheetId="1" sqref="A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5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5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58" start="0" length="0">
    <dxf>
      <font>
        <sz val="11"/>
        <color theme="1"/>
        <name val="Calibri"/>
        <scheme val="none"/>
      </font>
    </dxf>
  </rfmt>
  <rfmt sheetId="1" sqref="AM258" start="0" length="0">
    <dxf>
      <font>
        <sz val="11"/>
        <color theme="1"/>
        <name val="Calibri"/>
        <scheme val="none"/>
      </font>
      <numFmt numFmtId="1" formatCode="0"/>
    </dxf>
  </rfmt>
  <rfmt sheetId="1" sqref="AN258" start="0" length="0">
    <dxf>
      <font>
        <sz val="11"/>
        <color theme="1"/>
        <name val="Calibri"/>
        <scheme val="none"/>
      </font>
      <numFmt numFmtId="1" formatCode="0"/>
    </dxf>
  </rfmt>
  <rfmt sheetId="1" sqref="AO258" start="0" length="0">
    <dxf>
      <font>
        <sz val="11"/>
        <color theme="1"/>
        <name val="Calibri"/>
        <scheme val="none"/>
      </font>
    </dxf>
  </rfmt>
  <rfmt sheetId="1" sqref="AP258" start="0" length="0">
    <dxf>
      <font>
        <sz val="11"/>
        <color theme="1"/>
        <name val="Calibri"/>
        <scheme val="none"/>
      </font>
    </dxf>
  </rfmt>
  <rfmt sheetId="1" sqref="AQ258" start="0" length="0">
    <dxf>
      <font>
        <sz val="11"/>
        <color theme="1"/>
        <name val="Calibri"/>
        <scheme val="none"/>
      </font>
      <numFmt numFmtId="164" formatCode="_-* #,##0_-;\-* #,##0_-;_-* &quot;-&quot;??_-;_-@_-"/>
    </dxf>
  </rfmt>
  <rfmt sheetId="1" sqref="AR258" start="0" length="0">
    <dxf>
      <font>
        <sz val="11"/>
        <color theme="1"/>
        <name val="Calibri"/>
        <scheme val="none"/>
      </font>
      <numFmt numFmtId="164" formatCode="_-* #,##0_-;\-* #,##0_-;_-* &quot;-&quot;??_-;_-@_-"/>
    </dxf>
  </rfmt>
  <rfmt sheetId="1" sqref="AS258" start="0" length="0">
    <dxf>
      <font>
        <sz val="11"/>
        <color theme="1"/>
        <name val="Calibri"/>
        <scheme val="none"/>
      </font>
      <numFmt numFmtId="164" formatCode="_-* #,##0_-;\-* #,##0_-;_-* &quot;-&quot;??_-;_-@_-"/>
    </dxf>
  </rfmt>
  <rfmt sheetId="1" sqref="AT258" start="0" length="0">
    <dxf>
      <font>
        <sz val="11"/>
        <color theme="1"/>
        <name val="Calibri"/>
        <scheme val="none"/>
      </font>
      <numFmt numFmtId="164" formatCode="_-* #,##0_-;\-* #,##0_-;_-* &quot;-&quot;??_-;_-@_-"/>
    </dxf>
  </rfmt>
  <rfmt sheetId="1" sqref="AU258" start="0" length="0">
    <dxf>
      <font>
        <sz val="11"/>
        <color theme="1"/>
        <name val="Calibri"/>
        <scheme val="none"/>
      </font>
    </dxf>
  </rfmt>
  <rfmt sheetId="1" sqref="AV258" start="0" length="0">
    <dxf>
      <font>
        <sz val="11"/>
        <color theme="1"/>
        <name val="Calibri"/>
        <scheme val="none"/>
      </font>
    </dxf>
  </rfmt>
  <rfmt sheetId="1" sqref="AW258" start="0" length="0">
    <dxf>
      <font>
        <sz val="11"/>
        <color theme="1"/>
        <name val="Calibri"/>
        <scheme val="none"/>
      </font>
    </dxf>
  </rfmt>
  <rfmt sheetId="1" sqref="AX258" start="0" length="0">
    <dxf>
      <font>
        <sz val="11"/>
        <color theme="1"/>
        <name val="Calibri"/>
        <scheme val="none"/>
      </font>
    </dxf>
  </rfmt>
  <rfmt sheetId="1" sqref="AY258" start="0" length="0">
    <dxf>
      <font>
        <sz val="11"/>
        <color theme="1"/>
        <name val="Calibri"/>
        <scheme val="none"/>
      </font>
    </dxf>
  </rfmt>
  <rfmt sheetId="1" sqref="A258:XFD258" start="0" length="0">
    <dxf>
      <font>
        <sz val="11"/>
        <color theme="1"/>
        <name val="Calibri"/>
        <scheme val="none"/>
      </font>
    </dxf>
  </rfmt>
  <rfmt sheetId="1" sqref="A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5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5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59" start="0" length="0">
    <dxf>
      <font>
        <sz val="11"/>
        <color theme="1"/>
        <name val="Calibri"/>
        <scheme val="none"/>
      </font>
    </dxf>
  </rfmt>
  <rfmt sheetId="1" sqref="AM259" start="0" length="0">
    <dxf>
      <font>
        <sz val="11"/>
        <color theme="1"/>
        <name val="Calibri"/>
        <scheme val="none"/>
      </font>
      <numFmt numFmtId="1" formatCode="0"/>
    </dxf>
  </rfmt>
  <rfmt sheetId="1" sqref="AN259" start="0" length="0">
    <dxf>
      <font>
        <sz val="11"/>
        <color theme="1"/>
        <name val="Calibri"/>
        <scheme val="none"/>
      </font>
      <numFmt numFmtId="1" formatCode="0"/>
    </dxf>
  </rfmt>
  <rfmt sheetId="1" sqref="AO259" start="0" length="0">
    <dxf>
      <font>
        <sz val="11"/>
        <color theme="1"/>
        <name val="Calibri"/>
        <scheme val="none"/>
      </font>
    </dxf>
  </rfmt>
  <rfmt sheetId="1" sqref="AP259" start="0" length="0">
    <dxf>
      <font>
        <sz val="11"/>
        <color theme="1"/>
        <name val="Calibri"/>
        <scheme val="none"/>
      </font>
    </dxf>
  </rfmt>
  <rfmt sheetId="1" sqref="AQ259" start="0" length="0">
    <dxf>
      <font>
        <sz val="11"/>
        <color theme="1"/>
        <name val="Calibri"/>
        <scheme val="none"/>
      </font>
      <numFmt numFmtId="164" formatCode="_-* #,##0_-;\-* #,##0_-;_-* &quot;-&quot;??_-;_-@_-"/>
    </dxf>
  </rfmt>
  <rfmt sheetId="1" sqref="AR259" start="0" length="0">
    <dxf>
      <font>
        <sz val="11"/>
        <color theme="1"/>
        <name val="Calibri"/>
        <scheme val="none"/>
      </font>
      <numFmt numFmtId="164" formatCode="_-* #,##0_-;\-* #,##0_-;_-* &quot;-&quot;??_-;_-@_-"/>
    </dxf>
  </rfmt>
  <rfmt sheetId="1" sqref="AS259" start="0" length="0">
    <dxf>
      <font>
        <sz val="11"/>
        <color theme="1"/>
        <name val="Calibri"/>
        <scheme val="none"/>
      </font>
      <numFmt numFmtId="164" formatCode="_-* #,##0_-;\-* #,##0_-;_-* &quot;-&quot;??_-;_-@_-"/>
    </dxf>
  </rfmt>
  <rfmt sheetId="1" sqref="AT259" start="0" length="0">
    <dxf>
      <font>
        <sz val="11"/>
        <color theme="1"/>
        <name val="Calibri"/>
        <scheme val="none"/>
      </font>
      <numFmt numFmtId="164" formatCode="_-* #,##0_-;\-* #,##0_-;_-* &quot;-&quot;??_-;_-@_-"/>
    </dxf>
  </rfmt>
  <rfmt sheetId="1" sqref="AU259" start="0" length="0">
    <dxf>
      <font>
        <sz val="11"/>
        <color theme="1"/>
        <name val="Calibri"/>
        <scheme val="none"/>
      </font>
    </dxf>
  </rfmt>
  <rfmt sheetId="1" sqref="AV259" start="0" length="0">
    <dxf>
      <font>
        <sz val="11"/>
        <color theme="1"/>
        <name val="Calibri"/>
        <scheme val="none"/>
      </font>
    </dxf>
  </rfmt>
  <rfmt sheetId="1" sqref="AW259" start="0" length="0">
    <dxf>
      <font>
        <sz val="11"/>
        <color theme="1"/>
        <name val="Calibri"/>
        <scheme val="none"/>
      </font>
    </dxf>
  </rfmt>
  <rfmt sheetId="1" sqref="AX259" start="0" length="0">
    <dxf>
      <font>
        <sz val="11"/>
        <color theme="1"/>
        <name val="Calibri"/>
        <scheme val="none"/>
      </font>
    </dxf>
  </rfmt>
  <rfmt sheetId="1" sqref="AY259" start="0" length="0">
    <dxf>
      <font>
        <sz val="11"/>
        <color theme="1"/>
        <name val="Calibri"/>
        <scheme val="none"/>
      </font>
    </dxf>
  </rfmt>
  <rfmt sheetId="1" sqref="A259:XFD259" start="0" length="0">
    <dxf>
      <font>
        <sz val="11"/>
        <color theme="1"/>
        <name val="Calibri"/>
        <scheme val="none"/>
      </font>
    </dxf>
  </rfmt>
  <rfmt sheetId="1" sqref="A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6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6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60" start="0" length="0">
    <dxf>
      <font>
        <sz val="11"/>
        <color theme="1"/>
        <name val="Calibri"/>
        <scheme val="none"/>
      </font>
    </dxf>
  </rfmt>
  <rfmt sheetId="1" sqref="AM260" start="0" length="0">
    <dxf>
      <font>
        <sz val="11"/>
        <color theme="1"/>
        <name val="Calibri"/>
        <scheme val="none"/>
      </font>
      <numFmt numFmtId="1" formatCode="0"/>
    </dxf>
  </rfmt>
  <rfmt sheetId="1" sqref="AN260" start="0" length="0">
    <dxf>
      <font>
        <sz val="11"/>
        <color theme="1"/>
        <name val="Calibri"/>
        <scheme val="none"/>
      </font>
      <numFmt numFmtId="1" formatCode="0"/>
    </dxf>
  </rfmt>
  <rfmt sheetId="1" sqref="AO260" start="0" length="0">
    <dxf>
      <font>
        <sz val="11"/>
        <color theme="1"/>
        <name val="Calibri"/>
        <scheme val="none"/>
      </font>
    </dxf>
  </rfmt>
  <rfmt sheetId="1" sqref="AP260" start="0" length="0">
    <dxf>
      <font>
        <sz val="11"/>
        <color theme="1"/>
        <name val="Calibri"/>
        <scheme val="none"/>
      </font>
    </dxf>
  </rfmt>
  <rfmt sheetId="1" sqref="AQ260" start="0" length="0">
    <dxf>
      <font>
        <sz val="11"/>
        <color theme="1"/>
        <name val="Calibri"/>
        <scheme val="none"/>
      </font>
      <numFmt numFmtId="164" formatCode="_-* #,##0_-;\-* #,##0_-;_-* &quot;-&quot;??_-;_-@_-"/>
    </dxf>
  </rfmt>
  <rfmt sheetId="1" sqref="AR260" start="0" length="0">
    <dxf>
      <font>
        <sz val="11"/>
        <color theme="1"/>
        <name val="Calibri"/>
        <scheme val="none"/>
      </font>
      <numFmt numFmtId="164" formatCode="_-* #,##0_-;\-* #,##0_-;_-* &quot;-&quot;??_-;_-@_-"/>
    </dxf>
  </rfmt>
  <rfmt sheetId="1" sqref="AS260" start="0" length="0">
    <dxf>
      <font>
        <sz val="11"/>
        <color theme="1"/>
        <name val="Calibri"/>
        <scheme val="none"/>
      </font>
      <numFmt numFmtId="164" formatCode="_-* #,##0_-;\-* #,##0_-;_-* &quot;-&quot;??_-;_-@_-"/>
    </dxf>
  </rfmt>
  <rfmt sheetId="1" sqref="AT260" start="0" length="0">
    <dxf>
      <font>
        <sz val="11"/>
        <color theme="1"/>
        <name val="Calibri"/>
        <scheme val="none"/>
      </font>
      <numFmt numFmtId="164" formatCode="_-* #,##0_-;\-* #,##0_-;_-* &quot;-&quot;??_-;_-@_-"/>
    </dxf>
  </rfmt>
  <rfmt sheetId="1" sqref="AU260" start="0" length="0">
    <dxf>
      <font>
        <sz val="11"/>
        <color theme="1"/>
        <name val="Calibri"/>
        <scheme val="none"/>
      </font>
    </dxf>
  </rfmt>
  <rfmt sheetId="1" sqref="AV260" start="0" length="0">
    <dxf>
      <font>
        <sz val="11"/>
        <color theme="1"/>
        <name val="Calibri"/>
        <scheme val="none"/>
      </font>
    </dxf>
  </rfmt>
  <rfmt sheetId="1" sqref="AW260" start="0" length="0">
    <dxf>
      <font>
        <sz val="11"/>
        <color theme="1"/>
        <name val="Calibri"/>
        <scheme val="none"/>
      </font>
    </dxf>
  </rfmt>
  <rfmt sheetId="1" sqref="AX260" start="0" length="0">
    <dxf>
      <font>
        <sz val="11"/>
        <color theme="1"/>
        <name val="Calibri"/>
        <scheme val="none"/>
      </font>
    </dxf>
  </rfmt>
  <rfmt sheetId="1" sqref="AY260" start="0" length="0">
    <dxf>
      <font>
        <sz val="11"/>
        <color theme="1"/>
        <name val="Calibri"/>
        <scheme val="none"/>
      </font>
    </dxf>
  </rfmt>
  <rfmt sheetId="1" sqref="A260:XFD260" start="0" length="0">
    <dxf>
      <font>
        <sz val="11"/>
        <color theme="1"/>
        <name val="Calibri"/>
        <scheme val="none"/>
      </font>
    </dxf>
  </rfmt>
  <rfmt sheetId="1" sqref="A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6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6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61" start="0" length="0">
    <dxf>
      <font>
        <sz val="11"/>
        <color theme="1"/>
        <name val="Calibri"/>
        <scheme val="none"/>
      </font>
    </dxf>
  </rfmt>
  <rfmt sheetId="1" sqref="AM261" start="0" length="0">
    <dxf>
      <font>
        <sz val="11"/>
        <color theme="1"/>
        <name val="Calibri"/>
        <scheme val="none"/>
      </font>
      <numFmt numFmtId="1" formatCode="0"/>
    </dxf>
  </rfmt>
  <rfmt sheetId="1" sqref="AN261" start="0" length="0">
    <dxf>
      <font>
        <sz val="11"/>
        <color theme="1"/>
        <name val="Calibri"/>
        <scheme val="none"/>
      </font>
      <numFmt numFmtId="1" formatCode="0"/>
    </dxf>
  </rfmt>
  <rfmt sheetId="1" sqref="AO261" start="0" length="0">
    <dxf>
      <font>
        <sz val="11"/>
        <color theme="1"/>
        <name val="Calibri"/>
        <scheme val="none"/>
      </font>
    </dxf>
  </rfmt>
  <rfmt sheetId="1" sqref="AP261" start="0" length="0">
    <dxf>
      <font>
        <sz val="11"/>
        <color theme="1"/>
        <name val="Calibri"/>
        <scheme val="none"/>
      </font>
    </dxf>
  </rfmt>
  <rfmt sheetId="1" sqref="AQ261" start="0" length="0">
    <dxf>
      <font>
        <sz val="11"/>
        <color theme="1"/>
        <name val="Calibri"/>
        <scheme val="none"/>
      </font>
      <numFmt numFmtId="164" formatCode="_-* #,##0_-;\-* #,##0_-;_-* &quot;-&quot;??_-;_-@_-"/>
    </dxf>
  </rfmt>
  <rfmt sheetId="1" sqref="AR261" start="0" length="0">
    <dxf>
      <font>
        <sz val="11"/>
        <color theme="1"/>
        <name val="Calibri"/>
        <scheme val="none"/>
      </font>
      <numFmt numFmtId="164" formatCode="_-* #,##0_-;\-* #,##0_-;_-* &quot;-&quot;??_-;_-@_-"/>
    </dxf>
  </rfmt>
  <rfmt sheetId="1" sqref="AS261" start="0" length="0">
    <dxf>
      <font>
        <sz val="11"/>
        <color theme="1"/>
        <name val="Calibri"/>
        <scheme val="none"/>
      </font>
      <numFmt numFmtId="164" formatCode="_-* #,##0_-;\-* #,##0_-;_-* &quot;-&quot;??_-;_-@_-"/>
    </dxf>
  </rfmt>
  <rfmt sheetId="1" sqref="AT261" start="0" length="0">
    <dxf>
      <font>
        <sz val="11"/>
        <color theme="1"/>
        <name val="Calibri"/>
        <scheme val="none"/>
      </font>
      <numFmt numFmtId="164" formatCode="_-* #,##0_-;\-* #,##0_-;_-* &quot;-&quot;??_-;_-@_-"/>
    </dxf>
  </rfmt>
  <rfmt sheetId="1" sqref="AU261" start="0" length="0">
    <dxf>
      <font>
        <sz val="11"/>
        <color theme="1"/>
        <name val="Calibri"/>
        <scheme val="none"/>
      </font>
    </dxf>
  </rfmt>
  <rfmt sheetId="1" sqref="AV261" start="0" length="0">
    <dxf>
      <font>
        <sz val="11"/>
        <color theme="1"/>
        <name val="Calibri"/>
        <scheme val="none"/>
      </font>
    </dxf>
  </rfmt>
  <rfmt sheetId="1" sqref="AW261" start="0" length="0">
    <dxf>
      <font>
        <sz val="11"/>
        <color theme="1"/>
        <name val="Calibri"/>
        <scheme val="none"/>
      </font>
    </dxf>
  </rfmt>
  <rfmt sheetId="1" sqref="AX261" start="0" length="0">
    <dxf>
      <font>
        <sz val="11"/>
        <color theme="1"/>
        <name val="Calibri"/>
        <scheme val="none"/>
      </font>
    </dxf>
  </rfmt>
  <rfmt sheetId="1" sqref="AY261" start="0" length="0">
    <dxf>
      <font>
        <sz val="11"/>
        <color theme="1"/>
        <name val="Calibri"/>
        <scheme val="none"/>
      </font>
    </dxf>
  </rfmt>
  <rfmt sheetId="1" sqref="A261:XFD261" start="0" length="0">
    <dxf>
      <font>
        <sz val="11"/>
        <color theme="1"/>
        <name val="Calibri"/>
        <scheme val="none"/>
      </font>
    </dxf>
  </rfmt>
  <rfmt sheetId="1" sqref="A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6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6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62" start="0" length="0">
    <dxf>
      <font>
        <sz val="11"/>
        <color theme="1"/>
        <name val="Calibri"/>
        <scheme val="none"/>
      </font>
    </dxf>
  </rfmt>
  <rfmt sheetId="1" sqref="AM262" start="0" length="0">
    <dxf>
      <font>
        <sz val="11"/>
        <color theme="1"/>
        <name val="Calibri"/>
        <scheme val="none"/>
      </font>
      <numFmt numFmtId="1" formatCode="0"/>
    </dxf>
  </rfmt>
  <rfmt sheetId="1" sqref="AN262" start="0" length="0">
    <dxf>
      <font>
        <sz val="11"/>
        <color theme="1"/>
        <name val="Calibri"/>
        <scheme val="none"/>
      </font>
      <numFmt numFmtId="1" formatCode="0"/>
    </dxf>
  </rfmt>
  <rfmt sheetId="1" sqref="AO262" start="0" length="0">
    <dxf>
      <font>
        <sz val="11"/>
        <color theme="1"/>
        <name val="Calibri"/>
        <scheme val="none"/>
      </font>
    </dxf>
  </rfmt>
  <rfmt sheetId="1" sqref="AP262" start="0" length="0">
    <dxf>
      <font>
        <sz val="11"/>
        <color theme="1"/>
        <name val="Calibri"/>
        <scheme val="none"/>
      </font>
    </dxf>
  </rfmt>
  <rfmt sheetId="1" sqref="AQ262" start="0" length="0">
    <dxf>
      <font>
        <sz val="11"/>
        <color theme="1"/>
        <name val="Calibri"/>
        <scheme val="none"/>
      </font>
      <numFmt numFmtId="164" formatCode="_-* #,##0_-;\-* #,##0_-;_-* &quot;-&quot;??_-;_-@_-"/>
    </dxf>
  </rfmt>
  <rfmt sheetId="1" sqref="AR262" start="0" length="0">
    <dxf>
      <font>
        <sz val="11"/>
        <color theme="1"/>
        <name val="Calibri"/>
        <scheme val="none"/>
      </font>
      <numFmt numFmtId="164" formatCode="_-* #,##0_-;\-* #,##0_-;_-* &quot;-&quot;??_-;_-@_-"/>
    </dxf>
  </rfmt>
  <rfmt sheetId="1" sqref="AS262" start="0" length="0">
    <dxf>
      <font>
        <sz val="11"/>
        <color theme="1"/>
        <name val="Calibri"/>
        <scheme val="none"/>
      </font>
      <numFmt numFmtId="164" formatCode="_-* #,##0_-;\-* #,##0_-;_-* &quot;-&quot;??_-;_-@_-"/>
    </dxf>
  </rfmt>
  <rfmt sheetId="1" sqref="AT262" start="0" length="0">
    <dxf>
      <font>
        <sz val="11"/>
        <color theme="1"/>
        <name val="Calibri"/>
        <scheme val="none"/>
      </font>
      <numFmt numFmtId="164" formatCode="_-* #,##0_-;\-* #,##0_-;_-* &quot;-&quot;??_-;_-@_-"/>
    </dxf>
  </rfmt>
  <rfmt sheetId="1" sqref="AU262" start="0" length="0">
    <dxf>
      <font>
        <sz val="11"/>
        <color theme="1"/>
        <name val="Calibri"/>
        <scheme val="none"/>
      </font>
    </dxf>
  </rfmt>
  <rfmt sheetId="1" sqref="AV262" start="0" length="0">
    <dxf>
      <font>
        <sz val="11"/>
        <color theme="1"/>
        <name val="Calibri"/>
        <scheme val="none"/>
      </font>
    </dxf>
  </rfmt>
  <rfmt sheetId="1" sqref="AW262" start="0" length="0">
    <dxf>
      <font>
        <sz val="11"/>
        <color theme="1"/>
        <name val="Calibri"/>
        <scheme val="none"/>
      </font>
    </dxf>
  </rfmt>
  <rfmt sheetId="1" sqref="AX262" start="0" length="0">
    <dxf>
      <font>
        <sz val="11"/>
        <color theme="1"/>
        <name val="Calibri"/>
        <scheme val="none"/>
      </font>
    </dxf>
  </rfmt>
  <rfmt sheetId="1" sqref="AY262" start="0" length="0">
    <dxf>
      <font>
        <sz val="11"/>
        <color theme="1"/>
        <name val="Calibri"/>
        <scheme val="none"/>
      </font>
    </dxf>
  </rfmt>
  <rfmt sheetId="1" sqref="A262:XFD262" start="0" length="0">
    <dxf>
      <font>
        <sz val="11"/>
        <color theme="1"/>
        <name val="Calibri"/>
        <scheme val="none"/>
      </font>
    </dxf>
  </rfmt>
  <rfmt sheetId="1" sqref="A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6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6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63" start="0" length="0">
    <dxf>
      <font>
        <sz val="11"/>
        <color theme="1"/>
        <name val="Calibri"/>
        <scheme val="none"/>
      </font>
    </dxf>
  </rfmt>
  <rfmt sheetId="1" sqref="AM263" start="0" length="0">
    <dxf>
      <font>
        <sz val="11"/>
        <color theme="1"/>
        <name val="Calibri"/>
        <scheme val="none"/>
      </font>
      <numFmt numFmtId="1" formatCode="0"/>
    </dxf>
  </rfmt>
  <rfmt sheetId="1" sqref="AN263" start="0" length="0">
    <dxf>
      <font>
        <sz val="11"/>
        <color theme="1"/>
        <name val="Calibri"/>
        <scheme val="none"/>
      </font>
      <numFmt numFmtId="1" formatCode="0"/>
    </dxf>
  </rfmt>
  <rfmt sheetId="1" sqref="AO263" start="0" length="0">
    <dxf>
      <font>
        <sz val="11"/>
        <color theme="1"/>
        <name val="Calibri"/>
        <scheme val="none"/>
      </font>
    </dxf>
  </rfmt>
  <rfmt sheetId="1" sqref="AP263" start="0" length="0">
    <dxf>
      <font>
        <sz val="11"/>
        <color theme="1"/>
        <name val="Calibri"/>
        <scheme val="none"/>
      </font>
    </dxf>
  </rfmt>
  <rfmt sheetId="1" sqref="AQ263" start="0" length="0">
    <dxf>
      <font>
        <sz val="11"/>
        <color theme="1"/>
        <name val="Calibri"/>
        <scheme val="none"/>
      </font>
      <numFmt numFmtId="164" formatCode="_-* #,##0_-;\-* #,##0_-;_-* &quot;-&quot;??_-;_-@_-"/>
    </dxf>
  </rfmt>
  <rfmt sheetId="1" sqref="AR263" start="0" length="0">
    <dxf>
      <font>
        <sz val="11"/>
        <color theme="1"/>
        <name val="Calibri"/>
        <scheme val="none"/>
      </font>
      <numFmt numFmtId="164" formatCode="_-* #,##0_-;\-* #,##0_-;_-* &quot;-&quot;??_-;_-@_-"/>
    </dxf>
  </rfmt>
  <rfmt sheetId="1" sqref="AS263" start="0" length="0">
    <dxf>
      <font>
        <sz val="11"/>
        <color theme="1"/>
        <name val="Calibri"/>
        <scheme val="none"/>
      </font>
      <numFmt numFmtId="164" formatCode="_-* #,##0_-;\-* #,##0_-;_-* &quot;-&quot;??_-;_-@_-"/>
    </dxf>
  </rfmt>
  <rfmt sheetId="1" sqref="AT263" start="0" length="0">
    <dxf>
      <font>
        <sz val="11"/>
        <color theme="1"/>
        <name val="Calibri"/>
        <scheme val="none"/>
      </font>
      <numFmt numFmtId="164" formatCode="_-* #,##0_-;\-* #,##0_-;_-* &quot;-&quot;??_-;_-@_-"/>
    </dxf>
  </rfmt>
  <rfmt sheetId="1" sqref="AU263" start="0" length="0">
    <dxf>
      <font>
        <sz val="11"/>
        <color theme="1"/>
        <name val="Calibri"/>
        <scheme val="none"/>
      </font>
    </dxf>
  </rfmt>
  <rfmt sheetId="1" sqref="AV263" start="0" length="0">
    <dxf>
      <font>
        <sz val="11"/>
        <color theme="1"/>
        <name val="Calibri"/>
        <scheme val="none"/>
      </font>
    </dxf>
  </rfmt>
  <rfmt sheetId="1" sqref="AW263" start="0" length="0">
    <dxf>
      <font>
        <sz val="11"/>
        <color theme="1"/>
        <name val="Calibri"/>
        <scheme val="none"/>
      </font>
    </dxf>
  </rfmt>
  <rfmt sheetId="1" sqref="AX263" start="0" length="0">
    <dxf>
      <font>
        <sz val="11"/>
        <color theme="1"/>
        <name val="Calibri"/>
        <scheme val="none"/>
      </font>
    </dxf>
  </rfmt>
  <rfmt sheetId="1" sqref="AY263" start="0" length="0">
    <dxf>
      <font>
        <sz val="11"/>
        <color theme="1"/>
        <name val="Calibri"/>
        <scheme val="none"/>
      </font>
    </dxf>
  </rfmt>
  <rfmt sheetId="1" sqref="A263:XFD263" start="0" length="0">
    <dxf>
      <font>
        <sz val="11"/>
        <color theme="1"/>
        <name val="Calibri"/>
        <scheme val="none"/>
      </font>
    </dxf>
  </rfmt>
  <rfmt sheetId="1" sqref="A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6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6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64" start="0" length="0">
    <dxf>
      <font>
        <sz val="11"/>
        <color theme="1"/>
        <name val="Calibri"/>
        <scheme val="none"/>
      </font>
    </dxf>
  </rfmt>
  <rfmt sheetId="1" sqref="AM264" start="0" length="0">
    <dxf>
      <font>
        <sz val="11"/>
        <color theme="1"/>
        <name val="Calibri"/>
        <scheme val="none"/>
      </font>
      <numFmt numFmtId="1" formatCode="0"/>
    </dxf>
  </rfmt>
  <rfmt sheetId="1" sqref="AN264" start="0" length="0">
    <dxf>
      <font>
        <sz val="11"/>
        <color theme="1"/>
        <name val="Calibri"/>
        <scheme val="none"/>
      </font>
      <numFmt numFmtId="1" formatCode="0"/>
    </dxf>
  </rfmt>
  <rfmt sheetId="1" sqref="AO264" start="0" length="0">
    <dxf>
      <font>
        <sz val="11"/>
        <color theme="1"/>
        <name val="Calibri"/>
        <scheme val="none"/>
      </font>
    </dxf>
  </rfmt>
  <rfmt sheetId="1" sqref="AP264" start="0" length="0">
    <dxf>
      <font>
        <sz val="11"/>
        <color theme="1"/>
        <name val="Calibri"/>
        <scheme val="none"/>
      </font>
    </dxf>
  </rfmt>
  <rfmt sheetId="1" sqref="AQ264" start="0" length="0">
    <dxf>
      <font>
        <sz val="11"/>
        <color theme="1"/>
        <name val="Calibri"/>
        <scheme val="none"/>
      </font>
      <numFmt numFmtId="164" formatCode="_-* #,##0_-;\-* #,##0_-;_-* &quot;-&quot;??_-;_-@_-"/>
    </dxf>
  </rfmt>
  <rfmt sheetId="1" sqref="AR264" start="0" length="0">
    <dxf>
      <font>
        <sz val="11"/>
        <color theme="1"/>
        <name val="Calibri"/>
        <scheme val="none"/>
      </font>
      <numFmt numFmtId="164" formatCode="_-* #,##0_-;\-* #,##0_-;_-* &quot;-&quot;??_-;_-@_-"/>
    </dxf>
  </rfmt>
  <rfmt sheetId="1" sqref="AS264" start="0" length="0">
    <dxf>
      <font>
        <sz val="11"/>
        <color theme="1"/>
        <name val="Calibri"/>
        <scheme val="none"/>
      </font>
      <numFmt numFmtId="164" formatCode="_-* #,##0_-;\-* #,##0_-;_-* &quot;-&quot;??_-;_-@_-"/>
    </dxf>
  </rfmt>
  <rfmt sheetId="1" sqref="AT264" start="0" length="0">
    <dxf>
      <font>
        <sz val="11"/>
        <color theme="1"/>
        <name val="Calibri"/>
        <scheme val="none"/>
      </font>
      <numFmt numFmtId="164" formatCode="_-* #,##0_-;\-* #,##0_-;_-* &quot;-&quot;??_-;_-@_-"/>
    </dxf>
  </rfmt>
  <rfmt sheetId="1" sqref="AU264" start="0" length="0">
    <dxf>
      <font>
        <sz val="11"/>
        <color theme="1"/>
        <name val="Calibri"/>
        <scheme val="none"/>
      </font>
    </dxf>
  </rfmt>
  <rfmt sheetId="1" sqref="AV264" start="0" length="0">
    <dxf>
      <font>
        <sz val="11"/>
        <color theme="1"/>
        <name val="Calibri"/>
        <scheme val="none"/>
      </font>
    </dxf>
  </rfmt>
  <rfmt sheetId="1" sqref="AW264" start="0" length="0">
    <dxf>
      <font>
        <sz val="11"/>
        <color theme="1"/>
        <name val="Calibri"/>
        <scheme val="none"/>
      </font>
    </dxf>
  </rfmt>
  <rfmt sheetId="1" sqref="AX264" start="0" length="0">
    <dxf>
      <font>
        <sz val="11"/>
        <color theme="1"/>
        <name val="Calibri"/>
        <scheme val="none"/>
      </font>
    </dxf>
  </rfmt>
  <rfmt sheetId="1" sqref="AY264" start="0" length="0">
    <dxf>
      <font>
        <sz val="11"/>
        <color theme="1"/>
        <name val="Calibri"/>
        <scheme val="none"/>
      </font>
    </dxf>
  </rfmt>
  <rfmt sheetId="1" sqref="A264:XFD264" start="0" length="0">
    <dxf>
      <font>
        <sz val="11"/>
        <color theme="1"/>
        <name val="Calibri"/>
        <scheme val="none"/>
      </font>
    </dxf>
  </rfmt>
  <rfmt sheetId="1" sqref="A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6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6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65" start="0" length="0">
    <dxf>
      <font>
        <sz val="11"/>
        <color theme="1"/>
        <name val="Calibri"/>
        <scheme val="none"/>
      </font>
    </dxf>
  </rfmt>
  <rfmt sheetId="1" sqref="AM265" start="0" length="0">
    <dxf>
      <font>
        <sz val="11"/>
        <color theme="1"/>
        <name val="Calibri"/>
        <scheme val="none"/>
      </font>
      <numFmt numFmtId="1" formatCode="0"/>
    </dxf>
  </rfmt>
  <rfmt sheetId="1" sqref="AN265" start="0" length="0">
    <dxf>
      <font>
        <sz val="11"/>
        <color theme="1"/>
        <name val="Calibri"/>
        <scheme val="none"/>
      </font>
      <numFmt numFmtId="1" formatCode="0"/>
    </dxf>
  </rfmt>
  <rfmt sheetId="1" sqref="AO265" start="0" length="0">
    <dxf>
      <font>
        <sz val="11"/>
        <color theme="1"/>
        <name val="Calibri"/>
        <scheme val="none"/>
      </font>
    </dxf>
  </rfmt>
  <rfmt sheetId="1" sqref="AP265" start="0" length="0">
    <dxf>
      <font>
        <sz val="11"/>
        <color theme="1"/>
        <name val="Calibri"/>
        <scheme val="none"/>
      </font>
    </dxf>
  </rfmt>
  <rfmt sheetId="1" sqref="AQ265" start="0" length="0">
    <dxf>
      <font>
        <sz val="11"/>
        <color theme="1"/>
        <name val="Calibri"/>
        <scheme val="none"/>
      </font>
      <numFmt numFmtId="164" formatCode="_-* #,##0_-;\-* #,##0_-;_-* &quot;-&quot;??_-;_-@_-"/>
    </dxf>
  </rfmt>
  <rfmt sheetId="1" sqref="AR265" start="0" length="0">
    <dxf>
      <font>
        <sz val="11"/>
        <color theme="1"/>
        <name val="Calibri"/>
        <scheme val="none"/>
      </font>
      <numFmt numFmtId="164" formatCode="_-* #,##0_-;\-* #,##0_-;_-* &quot;-&quot;??_-;_-@_-"/>
    </dxf>
  </rfmt>
  <rfmt sheetId="1" sqref="AS265" start="0" length="0">
    <dxf>
      <font>
        <sz val="11"/>
        <color theme="1"/>
        <name val="Calibri"/>
        <scheme val="none"/>
      </font>
      <numFmt numFmtId="164" formatCode="_-* #,##0_-;\-* #,##0_-;_-* &quot;-&quot;??_-;_-@_-"/>
    </dxf>
  </rfmt>
  <rfmt sheetId="1" sqref="AT265" start="0" length="0">
    <dxf>
      <font>
        <sz val="11"/>
        <color theme="1"/>
        <name val="Calibri"/>
        <scheme val="none"/>
      </font>
      <numFmt numFmtId="164" formatCode="_-* #,##0_-;\-* #,##0_-;_-* &quot;-&quot;??_-;_-@_-"/>
    </dxf>
  </rfmt>
  <rfmt sheetId="1" sqref="AU265" start="0" length="0">
    <dxf>
      <font>
        <sz val="11"/>
        <color theme="1"/>
        <name val="Calibri"/>
        <scheme val="none"/>
      </font>
    </dxf>
  </rfmt>
  <rfmt sheetId="1" sqref="AV265" start="0" length="0">
    <dxf>
      <font>
        <sz val="11"/>
        <color theme="1"/>
        <name val="Calibri"/>
        <scheme val="none"/>
      </font>
    </dxf>
  </rfmt>
  <rfmt sheetId="1" sqref="AW265" start="0" length="0">
    <dxf>
      <font>
        <sz val="11"/>
        <color theme="1"/>
        <name val="Calibri"/>
        <scheme val="none"/>
      </font>
    </dxf>
  </rfmt>
  <rfmt sheetId="1" sqref="AX265" start="0" length="0">
    <dxf>
      <font>
        <sz val="11"/>
        <color theme="1"/>
        <name val="Calibri"/>
        <scheme val="none"/>
      </font>
    </dxf>
  </rfmt>
  <rfmt sheetId="1" sqref="AY265" start="0" length="0">
    <dxf>
      <font>
        <sz val="11"/>
        <color theme="1"/>
        <name val="Calibri"/>
        <scheme val="none"/>
      </font>
    </dxf>
  </rfmt>
  <rfmt sheetId="1" sqref="A265:XFD265" start="0" length="0">
    <dxf>
      <font>
        <sz val="11"/>
        <color theme="1"/>
        <name val="Calibri"/>
        <scheme val="none"/>
      </font>
    </dxf>
  </rfmt>
  <rfmt sheetId="1" sqref="A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6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6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66" start="0" length="0">
    <dxf>
      <font>
        <sz val="11"/>
        <color theme="1"/>
        <name val="Calibri"/>
        <scheme val="none"/>
      </font>
    </dxf>
  </rfmt>
  <rfmt sheetId="1" sqref="AM266" start="0" length="0">
    <dxf>
      <font>
        <sz val="11"/>
        <color theme="1"/>
        <name val="Calibri"/>
        <scheme val="none"/>
      </font>
      <numFmt numFmtId="1" formatCode="0"/>
    </dxf>
  </rfmt>
  <rfmt sheetId="1" sqref="AN266" start="0" length="0">
    <dxf>
      <font>
        <sz val="11"/>
        <color theme="1"/>
        <name val="Calibri"/>
        <scheme val="none"/>
      </font>
      <numFmt numFmtId="1" formatCode="0"/>
    </dxf>
  </rfmt>
  <rfmt sheetId="1" sqref="AO266" start="0" length="0">
    <dxf>
      <font>
        <sz val="11"/>
        <color theme="1"/>
        <name val="Calibri"/>
        <scheme val="none"/>
      </font>
    </dxf>
  </rfmt>
  <rfmt sheetId="1" sqref="AP266" start="0" length="0">
    <dxf>
      <font>
        <sz val="11"/>
        <color theme="1"/>
        <name val="Calibri"/>
        <scheme val="none"/>
      </font>
    </dxf>
  </rfmt>
  <rfmt sheetId="1" sqref="AQ266" start="0" length="0">
    <dxf>
      <font>
        <sz val="11"/>
        <color theme="1"/>
        <name val="Calibri"/>
        <scheme val="none"/>
      </font>
      <numFmt numFmtId="164" formatCode="_-* #,##0_-;\-* #,##0_-;_-* &quot;-&quot;??_-;_-@_-"/>
    </dxf>
  </rfmt>
  <rfmt sheetId="1" sqref="AR266" start="0" length="0">
    <dxf>
      <font>
        <sz val="11"/>
        <color theme="1"/>
        <name val="Calibri"/>
        <scheme val="none"/>
      </font>
      <numFmt numFmtId="164" formatCode="_-* #,##0_-;\-* #,##0_-;_-* &quot;-&quot;??_-;_-@_-"/>
    </dxf>
  </rfmt>
  <rfmt sheetId="1" sqref="AS266" start="0" length="0">
    <dxf>
      <font>
        <sz val="11"/>
        <color theme="1"/>
        <name val="Calibri"/>
        <scheme val="none"/>
      </font>
      <numFmt numFmtId="164" formatCode="_-* #,##0_-;\-* #,##0_-;_-* &quot;-&quot;??_-;_-@_-"/>
    </dxf>
  </rfmt>
  <rfmt sheetId="1" sqref="AT266" start="0" length="0">
    <dxf>
      <font>
        <sz val="11"/>
        <color theme="1"/>
        <name val="Calibri"/>
        <scheme val="none"/>
      </font>
      <numFmt numFmtId="164" formatCode="_-* #,##0_-;\-* #,##0_-;_-* &quot;-&quot;??_-;_-@_-"/>
    </dxf>
  </rfmt>
  <rfmt sheetId="1" sqref="AU266" start="0" length="0">
    <dxf>
      <font>
        <sz val="11"/>
        <color theme="1"/>
        <name val="Calibri"/>
        <scheme val="none"/>
      </font>
    </dxf>
  </rfmt>
  <rfmt sheetId="1" sqref="AV266" start="0" length="0">
    <dxf>
      <font>
        <sz val="11"/>
        <color theme="1"/>
        <name val="Calibri"/>
        <scheme val="none"/>
      </font>
    </dxf>
  </rfmt>
  <rfmt sheetId="1" sqref="AW266" start="0" length="0">
    <dxf>
      <font>
        <sz val="11"/>
        <color theme="1"/>
        <name val="Calibri"/>
        <scheme val="none"/>
      </font>
    </dxf>
  </rfmt>
  <rfmt sheetId="1" sqref="AX266" start="0" length="0">
    <dxf>
      <font>
        <sz val="11"/>
        <color theme="1"/>
        <name val="Calibri"/>
        <scheme val="none"/>
      </font>
    </dxf>
  </rfmt>
  <rfmt sheetId="1" sqref="AY266" start="0" length="0">
    <dxf>
      <font>
        <sz val="11"/>
        <color theme="1"/>
        <name val="Calibri"/>
        <scheme val="none"/>
      </font>
    </dxf>
  </rfmt>
  <rfmt sheetId="1" sqref="A266:XFD266" start="0" length="0">
    <dxf>
      <font>
        <sz val="11"/>
        <color theme="1"/>
        <name val="Calibri"/>
        <scheme val="none"/>
      </font>
    </dxf>
  </rfmt>
  <rfmt sheetId="1" sqref="A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6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6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67" start="0" length="0">
    <dxf>
      <font>
        <sz val="11"/>
        <color theme="1"/>
        <name val="Calibri"/>
        <scheme val="none"/>
      </font>
    </dxf>
  </rfmt>
  <rfmt sheetId="1" sqref="AM267" start="0" length="0">
    <dxf>
      <font>
        <sz val="11"/>
        <color theme="1"/>
        <name val="Calibri"/>
        <scheme val="none"/>
      </font>
      <numFmt numFmtId="1" formatCode="0"/>
    </dxf>
  </rfmt>
  <rfmt sheetId="1" sqref="AN267" start="0" length="0">
    <dxf>
      <font>
        <sz val="11"/>
        <color theme="1"/>
        <name val="Calibri"/>
        <scheme val="none"/>
      </font>
      <numFmt numFmtId="1" formatCode="0"/>
    </dxf>
  </rfmt>
  <rfmt sheetId="1" sqref="AO267" start="0" length="0">
    <dxf>
      <font>
        <sz val="11"/>
        <color theme="1"/>
        <name val="Calibri"/>
        <scheme val="none"/>
      </font>
    </dxf>
  </rfmt>
  <rfmt sheetId="1" sqref="AP267" start="0" length="0">
    <dxf>
      <font>
        <sz val="11"/>
        <color theme="1"/>
        <name val="Calibri"/>
        <scheme val="none"/>
      </font>
    </dxf>
  </rfmt>
  <rfmt sheetId="1" sqref="AQ267" start="0" length="0">
    <dxf>
      <font>
        <sz val="11"/>
        <color theme="1"/>
        <name val="Calibri"/>
        <scheme val="none"/>
      </font>
      <numFmt numFmtId="164" formatCode="_-* #,##0_-;\-* #,##0_-;_-* &quot;-&quot;??_-;_-@_-"/>
    </dxf>
  </rfmt>
  <rfmt sheetId="1" sqref="AR267" start="0" length="0">
    <dxf>
      <font>
        <sz val="11"/>
        <color theme="1"/>
        <name val="Calibri"/>
        <scheme val="none"/>
      </font>
      <numFmt numFmtId="164" formatCode="_-* #,##0_-;\-* #,##0_-;_-* &quot;-&quot;??_-;_-@_-"/>
    </dxf>
  </rfmt>
  <rfmt sheetId="1" sqref="AS267" start="0" length="0">
    <dxf>
      <font>
        <sz val="11"/>
        <color theme="1"/>
        <name val="Calibri"/>
        <scheme val="none"/>
      </font>
      <numFmt numFmtId="164" formatCode="_-* #,##0_-;\-* #,##0_-;_-* &quot;-&quot;??_-;_-@_-"/>
    </dxf>
  </rfmt>
  <rfmt sheetId="1" sqref="AT267" start="0" length="0">
    <dxf>
      <font>
        <sz val="11"/>
        <color theme="1"/>
        <name val="Calibri"/>
        <scheme val="none"/>
      </font>
      <numFmt numFmtId="164" formatCode="_-* #,##0_-;\-* #,##0_-;_-* &quot;-&quot;??_-;_-@_-"/>
    </dxf>
  </rfmt>
  <rfmt sheetId="1" sqref="AU267" start="0" length="0">
    <dxf>
      <font>
        <sz val="11"/>
        <color theme="1"/>
        <name val="Calibri"/>
        <scheme val="none"/>
      </font>
    </dxf>
  </rfmt>
  <rfmt sheetId="1" sqref="AV267" start="0" length="0">
    <dxf>
      <font>
        <sz val="11"/>
        <color theme="1"/>
        <name val="Calibri"/>
        <scheme val="none"/>
      </font>
    </dxf>
  </rfmt>
  <rfmt sheetId="1" sqref="AW267" start="0" length="0">
    <dxf>
      <font>
        <sz val="11"/>
        <color theme="1"/>
        <name val="Calibri"/>
        <scheme val="none"/>
      </font>
    </dxf>
  </rfmt>
  <rfmt sheetId="1" sqref="AX267" start="0" length="0">
    <dxf>
      <font>
        <sz val="11"/>
        <color theme="1"/>
        <name val="Calibri"/>
        <scheme val="none"/>
      </font>
    </dxf>
  </rfmt>
  <rfmt sheetId="1" sqref="AY267" start="0" length="0">
    <dxf>
      <font>
        <sz val="11"/>
        <color theme="1"/>
        <name val="Calibri"/>
        <scheme val="none"/>
      </font>
    </dxf>
  </rfmt>
  <rfmt sheetId="1" sqref="A267:XFD267" start="0" length="0">
    <dxf>
      <font>
        <sz val="11"/>
        <color theme="1"/>
        <name val="Calibri"/>
        <scheme val="none"/>
      </font>
    </dxf>
  </rfmt>
  <rfmt sheetId="1" sqref="A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6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6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68" start="0" length="0">
    <dxf>
      <font>
        <sz val="11"/>
        <color theme="1"/>
        <name val="Calibri"/>
        <scheme val="none"/>
      </font>
    </dxf>
  </rfmt>
  <rfmt sheetId="1" sqref="AM268" start="0" length="0">
    <dxf>
      <font>
        <sz val="11"/>
        <color theme="1"/>
        <name val="Calibri"/>
        <scheme val="none"/>
      </font>
      <numFmt numFmtId="1" formatCode="0"/>
    </dxf>
  </rfmt>
  <rfmt sheetId="1" sqref="AN268" start="0" length="0">
    <dxf>
      <font>
        <sz val="11"/>
        <color theme="1"/>
        <name val="Calibri"/>
        <scheme val="none"/>
      </font>
      <numFmt numFmtId="1" formatCode="0"/>
    </dxf>
  </rfmt>
  <rfmt sheetId="1" sqref="AO268" start="0" length="0">
    <dxf>
      <font>
        <sz val="11"/>
        <color theme="1"/>
        <name val="Calibri"/>
        <scheme val="none"/>
      </font>
    </dxf>
  </rfmt>
  <rfmt sheetId="1" sqref="AP268" start="0" length="0">
    <dxf>
      <font>
        <sz val="11"/>
        <color theme="1"/>
        <name val="Calibri"/>
        <scheme val="none"/>
      </font>
    </dxf>
  </rfmt>
  <rfmt sheetId="1" sqref="AQ268" start="0" length="0">
    <dxf>
      <font>
        <sz val="11"/>
        <color theme="1"/>
        <name val="Calibri"/>
        <scheme val="none"/>
      </font>
      <numFmt numFmtId="164" formatCode="_-* #,##0_-;\-* #,##0_-;_-* &quot;-&quot;??_-;_-@_-"/>
    </dxf>
  </rfmt>
  <rfmt sheetId="1" sqref="AR268" start="0" length="0">
    <dxf>
      <font>
        <sz val="11"/>
        <color theme="1"/>
        <name val="Calibri"/>
        <scheme val="none"/>
      </font>
      <numFmt numFmtId="164" formatCode="_-* #,##0_-;\-* #,##0_-;_-* &quot;-&quot;??_-;_-@_-"/>
    </dxf>
  </rfmt>
  <rfmt sheetId="1" sqref="AS268" start="0" length="0">
    <dxf>
      <font>
        <sz val="11"/>
        <color theme="1"/>
        <name val="Calibri"/>
        <scheme val="none"/>
      </font>
      <numFmt numFmtId="164" formatCode="_-* #,##0_-;\-* #,##0_-;_-* &quot;-&quot;??_-;_-@_-"/>
    </dxf>
  </rfmt>
  <rfmt sheetId="1" sqref="AT268" start="0" length="0">
    <dxf>
      <font>
        <sz val="11"/>
        <color theme="1"/>
        <name val="Calibri"/>
        <scheme val="none"/>
      </font>
      <numFmt numFmtId="164" formatCode="_-* #,##0_-;\-* #,##0_-;_-* &quot;-&quot;??_-;_-@_-"/>
    </dxf>
  </rfmt>
  <rfmt sheetId="1" sqref="AU268" start="0" length="0">
    <dxf>
      <font>
        <sz val="11"/>
        <color theme="1"/>
        <name val="Calibri"/>
        <scheme val="none"/>
      </font>
    </dxf>
  </rfmt>
  <rfmt sheetId="1" sqref="AV268" start="0" length="0">
    <dxf>
      <font>
        <sz val="11"/>
        <color theme="1"/>
        <name val="Calibri"/>
        <scheme val="none"/>
      </font>
    </dxf>
  </rfmt>
  <rfmt sheetId="1" sqref="AW268" start="0" length="0">
    <dxf>
      <font>
        <sz val="11"/>
        <color theme="1"/>
        <name val="Calibri"/>
        <scheme val="none"/>
      </font>
    </dxf>
  </rfmt>
  <rfmt sheetId="1" sqref="AX268" start="0" length="0">
    <dxf>
      <font>
        <sz val="11"/>
        <color theme="1"/>
        <name val="Calibri"/>
        <scheme val="none"/>
      </font>
    </dxf>
  </rfmt>
  <rfmt sheetId="1" sqref="AY268" start="0" length="0">
    <dxf>
      <font>
        <sz val="11"/>
        <color theme="1"/>
        <name val="Calibri"/>
        <scheme val="none"/>
      </font>
    </dxf>
  </rfmt>
  <rfmt sheetId="1" sqref="A268:XFD268" start="0" length="0">
    <dxf>
      <font>
        <sz val="11"/>
        <color theme="1"/>
        <name val="Calibri"/>
        <scheme val="none"/>
      </font>
    </dxf>
  </rfmt>
  <rfmt sheetId="1" sqref="A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6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6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69" start="0" length="0">
    <dxf>
      <font>
        <sz val="11"/>
        <color theme="1"/>
        <name val="Calibri"/>
        <scheme val="none"/>
      </font>
    </dxf>
  </rfmt>
  <rfmt sheetId="1" sqref="AM269" start="0" length="0">
    <dxf>
      <font>
        <sz val="11"/>
        <color theme="1"/>
        <name val="Calibri"/>
        <scheme val="none"/>
      </font>
      <numFmt numFmtId="1" formatCode="0"/>
    </dxf>
  </rfmt>
  <rfmt sheetId="1" sqref="AN269" start="0" length="0">
    <dxf>
      <font>
        <sz val="11"/>
        <color theme="1"/>
        <name val="Calibri"/>
        <scheme val="none"/>
      </font>
      <numFmt numFmtId="1" formatCode="0"/>
    </dxf>
  </rfmt>
  <rfmt sheetId="1" sqref="AO269" start="0" length="0">
    <dxf>
      <font>
        <sz val="11"/>
        <color theme="1"/>
        <name val="Calibri"/>
        <scheme val="none"/>
      </font>
    </dxf>
  </rfmt>
  <rfmt sheetId="1" sqref="AP269" start="0" length="0">
    <dxf>
      <font>
        <sz val="11"/>
        <color theme="1"/>
        <name val="Calibri"/>
        <scheme val="none"/>
      </font>
    </dxf>
  </rfmt>
  <rfmt sheetId="1" sqref="AQ269" start="0" length="0">
    <dxf>
      <font>
        <sz val="11"/>
        <color theme="1"/>
        <name val="Calibri"/>
        <scheme val="none"/>
      </font>
      <numFmt numFmtId="164" formatCode="_-* #,##0_-;\-* #,##0_-;_-* &quot;-&quot;??_-;_-@_-"/>
    </dxf>
  </rfmt>
  <rfmt sheetId="1" sqref="AR269" start="0" length="0">
    <dxf>
      <font>
        <sz val="11"/>
        <color theme="1"/>
        <name val="Calibri"/>
        <scheme val="none"/>
      </font>
      <numFmt numFmtId="164" formatCode="_-* #,##0_-;\-* #,##0_-;_-* &quot;-&quot;??_-;_-@_-"/>
    </dxf>
  </rfmt>
  <rfmt sheetId="1" sqref="AS269" start="0" length="0">
    <dxf>
      <font>
        <sz val="11"/>
        <color theme="1"/>
        <name val="Calibri"/>
        <scheme val="none"/>
      </font>
      <numFmt numFmtId="164" formatCode="_-* #,##0_-;\-* #,##0_-;_-* &quot;-&quot;??_-;_-@_-"/>
    </dxf>
  </rfmt>
  <rfmt sheetId="1" sqref="AT269" start="0" length="0">
    <dxf>
      <font>
        <sz val="11"/>
        <color theme="1"/>
        <name val="Calibri"/>
        <scheme val="none"/>
      </font>
      <numFmt numFmtId="164" formatCode="_-* #,##0_-;\-* #,##0_-;_-* &quot;-&quot;??_-;_-@_-"/>
    </dxf>
  </rfmt>
  <rfmt sheetId="1" sqref="AU269" start="0" length="0">
    <dxf>
      <font>
        <sz val="11"/>
        <color theme="1"/>
        <name val="Calibri"/>
        <scheme val="none"/>
      </font>
    </dxf>
  </rfmt>
  <rfmt sheetId="1" sqref="AV269" start="0" length="0">
    <dxf>
      <font>
        <sz val="11"/>
        <color theme="1"/>
        <name val="Calibri"/>
        <scheme val="none"/>
      </font>
    </dxf>
  </rfmt>
  <rfmt sheetId="1" sqref="AW269" start="0" length="0">
    <dxf>
      <font>
        <sz val="11"/>
        <color theme="1"/>
        <name val="Calibri"/>
        <scheme val="none"/>
      </font>
    </dxf>
  </rfmt>
  <rfmt sheetId="1" sqref="AX269" start="0" length="0">
    <dxf>
      <font>
        <sz val="11"/>
        <color theme="1"/>
        <name val="Calibri"/>
        <scheme val="none"/>
      </font>
    </dxf>
  </rfmt>
  <rfmt sheetId="1" sqref="AY269" start="0" length="0">
    <dxf>
      <font>
        <sz val="11"/>
        <color theme="1"/>
        <name val="Calibri"/>
        <scheme val="none"/>
      </font>
    </dxf>
  </rfmt>
  <rfmt sheetId="1" sqref="A269:XFD269" start="0" length="0">
    <dxf>
      <font>
        <sz val="11"/>
        <color theme="1"/>
        <name val="Calibri"/>
        <scheme val="none"/>
      </font>
    </dxf>
  </rfmt>
  <rfmt sheetId="1" sqref="A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7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7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70" start="0" length="0">
    <dxf>
      <font>
        <sz val="11"/>
        <color theme="1"/>
        <name val="Calibri"/>
        <scheme val="none"/>
      </font>
    </dxf>
  </rfmt>
  <rfmt sheetId="1" sqref="AM270" start="0" length="0">
    <dxf>
      <font>
        <sz val="11"/>
        <color theme="1"/>
        <name val="Calibri"/>
        <scheme val="none"/>
      </font>
      <numFmt numFmtId="1" formatCode="0"/>
    </dxf>
  </rfmt>
  <rfmt sheetId="1" sqref="AN270" start="0" length="0">
    <dxf>
      <font>
        <sz val="11"/>
        <color theme="1"/>
        <name val="Calibri"/>
        <scheme val="none"/>
      </font>
      <numFmt numFmtId="1" formatCode="0"/>
    </dxf>
  </rfmt>
  <rfmt sheetId="1" sqref="AO270" start="0" length="0">
    <dxf>
      <font>
        <sz val="11"/>
        <color theme="1"/>
        <name val="Calibri"/>
        <scheme val="none"/>
      </font>
    </dxf>
  </rfmt>
  <rfmt sheetId="1" sqref="AP270" start="0" length="0">
    <dxf>
      <font>
        <sz val="11"/>
        <color theme="1"/>
        <name val="Calibri"/>
        <scheme val="none"/>
      </font>
    </dxf>
  </rfmt>
  <rfmt sheetId="1" sqref="AQ270" start="0" length="0">
    <dxf>
      <font>
        <sz val="11"/>
        <color theme="1"/>
        <name val="Calibri"/>
        <scheme val="none"/>
      </font>
      <numFmt numFmtId="164" formatCode="_-* #,##0_-;\-* #,##0_-;_-* &quot;-&quot;??_-;_-@_-"/>
    </dxf>
  </rfmt>
  <rfmt sheetId="1" sqref="AR270" start="0" length="0">
    <dxf>
      <font>
        <sz val="11"/>
        <color theme="1"/>
        <name val="Calibri"/>
        <scheme val="none"/>
      </font>
      <numFmt numFmtId="164" formatCode="_-* #,##0_-;\-* #,##0_-;_-* &quot;-&quot;??_-;_-@_-"/>
    </dxf>
  </rfmt>
  <rfmt sheetId="1" sqref="AS270" start="0" length="0">
    <dxf>
      <font>
        <sz val="11"/>
        <color theme="1"/>
        <name val="Calibri"/>
        <scheme val="none"/>
      </font>
      <numFmt numFmtId="164" formatCode="_-* #,##0_-;\-* #,##0_-;_-* &quot;-&quot;??_-;_-@_-"/>
    </dxf>
  </rfmt>
  <rfmt sheetId="1" sqref="AT270" start="0" length="0">
    <dxf>
      <font>
        <sz val="11"/>
        <color theme="1"/>
        <name val="Calibri"/>
        <scheme val="none"/>
      </font>
      <numFmt numFmtId="164" formatCode="_-* #,##0_-;\-* #,##0_-;_-* &quot;-&quot;??_-;_-@_-"/>
    </dxf>
  </rfmt>
  <rfmt sheetId="1" sqref="AU270" start="0" length="0">
    <dxf>
      <font>
        <sz val="11"/>
        <color theme="1"/>
        <name val="Calibri"/>
        <scheme val="none"/>
      </font>
    </dxf>
  </rfmt>
  <rfmt sheetId="1" sqref="AV270" start="0" length="0">
    <dxf>
      <font>
        <sz val="11"/>
        <color theme="1"/>
        <name val="Calibri"/>
        <scheme val="none"/>
      </font>
    </dxf>
  </rfmt>
  <rfmt sheetId="1" sqref="AW270" start="0" length="0">
    <dxf>
      <font>
        <sz val="11"/>
        <color theme="1"/>
        <name val="Calibri"/>
        <scheme val="none"/>
      </font>
    </dxf>
  </rfmt>
  <rfmt sheetId="1" sqref="AX270" start="0" length="0">
    <dxf>
      <font>
        <sz val="11"/>
        <color theme="1"/>
        <name val="Calibri"/>
        <scheme val="none"/>
      </font>
    </dxf>
  </rfmt>
  <rfmt sheetId="1" sqref="AY270" start="0" length="0">
    <dxf>
      <font>
        <sz val="11"/>
        <color theme="1"/>
        <name val="Calibri"/>
        <scheme val="none"/>
      </font>
    </dxf>
  </rfmt>
  <rfmt sheetId="1" sqref="A270:XFD270" start="0" length="0">
    <dxf>
      <font>
        <sz val="11"/>
        <color theme="1"/>
        <name val="Calibri"/>
        <scheme val="none"/>
      </font>
    </dxf>
  </rfmt>
  <rfmt sheetId="1" sqref="A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7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7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71" start="0" length="0">
    <dxf>
      <font>
        <sz val="11"/>
        <color theme="1"/>
        <name val="Calibri"/>
        <scheme val="none"/>
      </font>
    </dxf>
  </rfmt>
  <rfmt sheetId="1" sqref="AM271" start="0" length="0">
    <dxf>
      <font>
        <sz val="11"/>
        <color theme="1"/>
        <name val="Calibri"/>
        <scheme val="none"/>
      </font>
      <numFmt numFmtId="1" formatCode="0"/>
    </dxf>
  </rfmt>
  <rfmt sheetId="1" sqref="AN271" start="0" length="0">
    <dxf>
      <font>
        <sz val="11"/>
        <color theme="1"/>
        <name val="Calibri"/>
        <scheme val="none"/>
      </font>
      <numFmt numFmtId="1" formatCode="0"/>
    </dxf>
  </rfmt>
  <rfmt sheetId="1" sqref="AO271" start="0" length="0">
    <dxf>
      <font>
        <sz val="11"/>
        <color theme="1"/>
        <name val="Calibri"/>
        <scheme val="none"/>
      </font>
    </dxf>
  </rfmt>
  <rfmt sheetId="1" sqref="AP271" start="0" length="0">
    <dxf>
      <font>
        <sz val="11"/>
        <color theme="1"/>
        <name val="Calibri"/>
        <scheme val="none"/>
      </font>
    </dxf>
  </rfmt>
  <rfmt sheetId="1" sqref="AQ271" start="0" length="0">
    <dxf>
      <font>
        <sz val="11"/>
        <color theme="1"/>
        <name val="Calibri"/>
        <scheme val="none"/>
      </font>
      <numFmt numFmtId="164" formatCode="_-* #,##0_-;\-* #,##0_-;_-* &quot;-&quot;??_-;_-@_-"/>
    </dxf>
  </rfmt>
  <rfmt sheetId="1" sqref="AR271" start="0" length="0">
    <dxf>
      <font>
        <sz val="11"/>
        <color theme="1"/>
        <name val="Calibri"/>
        <scheme val="none"/>
      </font>
      <numFmt numFmtId="164" formatCode="_-* #,##0_-;\-* #,##0_-;_-* &quot;-&quot;??_-;_-@_-"/>
    </dxf>
  </rfmt>
  <rfmt sheetId="1" sqref="AS271" start="0" length="0">
    <dxf>
      <font>
        <sz val="11"/>
        <color theme="1"/>
        <name val="Calibri"/>
        <scheme val="none"/>
      </font>
      <numFmt numFmtId="164" formatCode="_-* #,##0_-;\-* #,##0_-;_-* &quot;-&quot;??_-;_-@_-"/>
    </dxf>
  </rfmt>
  <rfmt sheetId="1" sqref="AT271" start="0" length="0">
    <dxf>
      <font>
        <sz val="11"/>
        <color theme="1"/>
        <name val="Calibri"/>
        <scheme val="none"/>
      </font>
      <numFmt numFmtId="164" formatCode="_-* #,##0_-;\-* #,##0_-;_-* &quot;-&quot;??_-;_-@_-"/>
    </dxf>
  </rfmt>
  <rfmt sheetId="1" sqref="AU271" start="0" length="0">
    <dxf>
      <font>
        <sz val="11"/>
        <color theme="1"/>
        <name val="Calibri"/>
        <scheme val="none"/>
      </font>
    </dxf>
  </rfmt>
  <rfmt sheetId="1" sqref="AV271" start="0" length="0">
    <dxf>
      <font>
        <sz val="11"/>
        <color theme="1"/>
        <name val="Calibri"/>
        <scheme val="none"/>
      </font>
    </dxf>
  </rfmt>
  <rfmt sheetId="1" sqref="AW271" start="0" length="0">
    <dxf>
      <font>
        <sz val="11"/>
        <color theme="1"/>
        <name val="Calibri"/>
        <scheme val="none"/>
      </font>
    </dxf>
  </rfmt>
  <rfmt sheetId="1" sqref="AX271" start="0" length="0">
    <dxf>
      <font>
        <sz val="11"/>
        <color theme="1"/>
        <name val="Calibri"/>
        <scheme val="none"/>
      </font>
    </dxf>
  </rfmt>
  <rfmt sheetId="1" sqref="AY271" start="0" length="0">
    <dxf>
      <font>
        <sz val="11"/>
        <color theme="1"/>
        <name val="Calibri"/>
        <scheme val="none"/>
      </font>
    </dxf>
  </rfmt>
  <rfmt sheetId="1" sqref="A271:XFD271" start="0" length="0">
    <dxf>
      <font>
        <sz val="11"/>
        <color theme="1"/>
        <name val="Calibri"/>
        <scheme val="none"/>
      </font>
    </dxf>
  </rfmt>
  <rfmt sheetId="1" sqref="A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7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7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72" start="0" length="0">
    <dxf>
      <font>
        <sz val="11"/>
        <color theme="1"/>
        <name val="Calibri"/>
        <scheme val="none"/>
      </font>
    </dxf>
  </rfmt>
  <rfmt sheetId="1" sqref="AM272" start="0" length="0">
    <dxf>
      <font>
        <sz val="11"/>
        <color theme="1"/>
        <name val="Calibri"/>
        <scheme val="none"/>
      </font>
      <numFmt numFmtId="1" formatCode="0"/>
    </dxf>
  </rfmt>
  <rfmt sheetId="1" sqref="AN272" start="0" length="0">
    <dxf>
      <font>
        <sz val="11"/>
        <color theme="1"/>
        <name val="Calibri"/>
        <scheme val="none"/>
      </font>
      <numFmt numFmtId="1" formatCode="0"/>
    </dxf>
  </rfmt>
  <rfmt sheetId="1" sqref="AO272" start="0" length="0">
    <dxf>
      <font>
        <sz val="11"/>
        <color theme="1"/>
        <name val="Calibri"/>
        <scheme val="none"/>
      </font>
    </dxf>
  </rfmt>
  <rfmt sheetId="1" sqref="AP272" start="0" length="0">
    <dxf>
      <font>
        <sz val="11"/>
        <color theme="1"/>
        <name val="Calibri"/>
        <scheme val="none"/>
      </font>
    </dxf>
  </rfmt>
  <rfmt sheetId="1" sqref="AQ272" start="0" length="0">
    <dxf>
      <font>
        <sz val="11"/>
        <color theme="1"/>
        <name val="Calibri"/>
        <scheme val="none"/>
      </font>
      <numFmt numFmtId="164" formatCode="_-* #,##0_-;\-* #,##0_-;_-* &quot;-&quot;??_-;_-@_-"/>
    </dxf>
  </rfmt>
  <rfmt sheetId="1" sqref="AR272" start="0" length="0">
    <dxf>
      <font>
        <sz val="11"/>
        <color theme="1"/>
        <name val="Calibri"/>
        <scheme val="none"/>
      </font>
      <numFmt numFmtId="164" formatCode="_-* #,##0_-;\-* #,##0_-;_-* &quot;-&quot;??_-;_-@_-"/>
    </dxf>
  </rfmt>
  <rfmt sheetId="1" sqref="AS272" start="0" length="0">
    <dxf>
      <font>
        <sz val="11"/>
        <color theme="1"/>
        <name val="Calibri"/>
        <scheme val="none"/>
      </font>
      <numFmt numFmtId="164" formatCode="_-* #,##0_-;\-* #,##0_-;_-* &quot;-&quot;??_-;_-@_-"/>
    </dxf>
  </rfmt>
  <rfmt sheetId="1" sqref="AT272" start="0" length="0">
    <dxf>
      <font>
        <sz val="11"/>
        <color theme="1"/>
        <name val="Calibri"/>
        <scheme val="none"/>
      </font>
      <numFmt numFmtId="164" formatCode="_-* #,##0_-;\-* #,##0_-;_-* &quot;-&quot;??_-;_-@_-"/>
    </dxf>
  </rfmt>
  <rfmt sheetId="1" sqref="AU272" start="0" length="0">
    <dxf>
      <font>
        <sz val="11"/>
        <color theme="1"/>
        <name val="Calibri"/>
        <scheme val="none"/>
      </font>
    </dxf>
  </rfmt>
  <rfmt sheetId="1" sqref="AV272" start="0" length="0">
    <dxf>
      <font>
        <sz val="11"/>
        <color theme="1"/>
        <name val="Calibri"/>
        <scheme val="none"/>
      </font>
    </dxf>
  </rfmt>
  <rfmt sheetId="1" sqref="AW272" start="0" length="0">
    <dxf>
      <font>
        <sz val="11"/>
        <color theme="1"/>
        <name val="Calibri"/>
        <scheme val="none"/>
      </font>
    </dxf>
  </rfmt>
  <rfmt sheetId="1" sqref="AX272" start="0" length="0">
    <dxf>
      <font>
        <sz val="11"/>
        <color theme="1"/>
        <name val="Calibri"/>
        <scheme val="none"/>
      </font>
    </dxf>
  </rfmt>
  <rfmt sheetId="1" sqref="AY272" start="0" length="0">
    <dxf>
      <font>
        <sz val="11"/>
        <color theme="1"/>
        <name val="Calibri"/>
        <scheme val="none"/>
      </font>
    </dxf>
  </rfmt>
  <rfmt sheetId="1" sqref="A272:XFD272" start="0" length="0">
    <dxf>
      <font>
        <sz val="11"/>
        <color theme="1"/>
        <name val="Calibri"/>
        <scheme val="none"/>
      </font>
    </dxf>
  </rfmt>
  <rfmt sheetId="1" sqref="A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7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7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73" start="0" length="0">
    <dxf>
      <font>
        <sz val="11"/>
        <color theme="1"/>
        <name val="Calibri"/>
        <scheme val="none"/>
      </font>
    </dxf>
  </rfmt>
  <rfmt sheetId="1" sqref="AM273" start="0" length="0">
    <dxf>
      <font>
        <sz val="11"/>
        <color theme="1"/>
        <name val="Calibri"/>
        <scheme val="none"/>
      </font>
      <numFmt numFmtId="1" formatCode="0"/>
    </dxf>
  </rfmt>
  <rfmt sheetId="1" sqref="AN273" start="0" length="0">
    <dxf>
      <font>
        <sz val="11"/>
        <color theme="1"/>
        <name val="Calibri"/>
        <scheme val="none"/>
      </font>
      <numFmt numFmtId="1" formatCode="0"/>
    </dxf>
  </rfmt>
  <rfmt sheetId="1" sqref="AO273" start="0" length="0">
    <dxf>
      <font>
        <sz val="11"/>
        <color theme="1"/>
        <name val="Calibri"/>
        <scheme val="none"/>
      </font>
    </dxf>
  </rfmt>
  <rfmt sheetId="1" sqref="AP273" start="0" length="0">
    <dxf>
      <font>
        <sz val="11"/>
        <color theme="1"/>
        <name val="Calibri"/>
        <scheme val="none"/>
      </font>
    </dxf>
  </rfmt>
  <rfmt sheetId="1" sqref="AQ273" start="0" length="0">
    <dxf>
      <font>
        <sz val="11"/>
        <color theme="1"/>
        <name val="Calibri"/>
        <scheme val="none"/>
      </font>
      <numFmt numFmtId="164" formatCode="_-* #,##0_-;\-* #,##0_-;_-* &quot;-&quot;??_-;_-@_-"/>
    </dxf>
  </rfmt>
  <rfmt sheetId="1" sqref="AR273" start="0" length="0">
    <dxf>
      <font>
        <sz val="11"/>
        <color theme="1"/>
        <name val="Calibri"/>
        <scheme val="none"/>
      </font>
      <numFmt numFmtId="164" formatCode="_-* #,##0_-;\-* #,##0_-;_-* &quot;-&quot;??_-;_-@_-"/>
    </dxf>
  </rfmt>
  <rfmt sheetId="1" sqref="AS273" start="0" length="0">
    <dxf>
      <font>
        <sz val="11"/>
        <color theme="1"/>
        <name val="Calibri"/>
        <scheme val="none"/>
      </font>
      <numFmt numFmtId="164" formatCode="_-* #,##0_-;\-* #,##0_-;_-* &quot;-&quot;??_-;_-@_-"/>
    </dxf>
  </rfmt>
  <rfmt sheetId="1" sqref="AT273" start="0" length="0">
    <dxf>
      <font>
        <sz val="11"/>
        <color theme="1"/>
        <name val="Calibri"/>
        <scheme val="none"/>
      </font>
      <numFmt numFmtId="164" formatCode="_-* #,##0_-;\-* #,##0_-;_-* &quot;-&quot;??_-;_-@_-"/>
    </dxf>
  </rfmt>
  <rfmt sheetId="1" sqref="AU273" start="0" length="0">
    <dxf>
      <font>
        <sz val="11"/>
        <color theme="1"/>
        <name val="Calibri"/>
        <scheme val="none"/>
      </font>
    </dxf>
  </rfmt>
  <rfmt sheetId="1" sqref="AV273" start="0" length="0">
    <dxf>
      <font>
        <sz val="11"/>
        <color theme="1"/>
        <name val="Calibri"/>
        <scheme val="none"/>
      </font>
    </dxf>
  </rfmt>
  <rfmt sheetId="1" sqref="AW273" start="0" length="0">
    <dxf>
      <font>
        <sz val="11"/>
        <color theme="1"/>
        <name val="Calibri"/>
        <scheme val="none"/>
      </font>
    </dxf>
  </rfmt>
  <rfmt sheetId="1" sqref="AX273" start="0" length="0">
    <dxf>
      <font>
        <sz val="11"/>
        <color theme="1"/>
        <name val="Calibri"/>
        <scheme val="none"/>
      </font>
    </dxf>
  </rfmt>
  <rfmt sheetId="1" sqref="AY273" start="0" length="0">
    <dxf>
      <font>
        <sz val="11"/>
        <color theme="1"/>
        <name val="Calibri"/>
        <scheme val="none"/>
      </font>
    </dxf>
  </rfmt>
  <rfmt sheetId="1" sqref="A273:XFD273" start="0" length="0">
    <dxf>
      <font>
        <sz val="11"/>
        <color theme="1"/>
        <name val="Calibri"/>
        <scheme val="none"/>
      </font>
    </dxf>
  </rfmt>
  <rfmt sheetId="1" sqref="A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7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7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74" start="0" length="0">
    <dxf>
      <font>
        <sz val="11"/>
        <color theme="1"/>
        <name val="Calibri"/>
        <scheme val="none"/>
      </font>
    </dxf>
  </rfmt>
  <rfmt sheetId="1" sqref="AM274" start="0" length="0">
    <dxf>
      <font>
        <sz val="11"/>
        <color theme="1"/>
        <name val="Calibri"/>
        <scheme val="none"/>
      </font>
      <numFmt numFmtId="1" formatCode="0"/>
    </dxf>
  </rfmt>
  <rfmt sheetId="1" sqref="AN274" start="0" length="0">
    <dxf>
      <font>
        <sz val="11"/>
        <color theme="1"/>
        <name val="Calibri"/>
        <scheme val="none"/>
      </font>
      <numFmt numFmtId="1" formatCode="0"/>
    </dxf>
  </rfmt>
  <rfmt sheetId="1" sqref="AO274" start="0" length="0">
    <dxf>
      <font>
        <sz val="11"/>
        <color theme="1"/>
        <name val="Calibri"/>
        <scheme val="none"/>
      </font>
    </dxf>
  </rfmt>
  <rfmt sheetId="1" sqref="AP274" start="0" length="0">
    <dxf>
      <font>
        <sz val="11"/>
        <color theme="1"/>
        <name val="Calibri"/>
        <scheme val="none"/>
      </font>
    </dxf>
  </rfmt>
  <rfmt sheetId="1" sqref="AQ274" start="0" length="0">
    <dxf>
      <font>
        <sz val="11"/>
        <color theme="1"/>
        <name val="Calibri"/>
        <scheme val="none"/>
      </font>
      <numFmt numFmtId="164" formatCode="_-* #,##0_-;\-* #,##0_-;_-* &quot;-&quot;??_-;_-@_-"/>
    </dxf>
  </rfmt>
  <rfmt sheetId="1" sqref="AR274" start="0" length="0">
    <dxf>
      <font>
        <sz val="11"/>
        <color theme="1"/>
        <name val="Calibri"/>
        <scheme val="none"/>
      </font>
      <numFmt numFmtId="164" formatCode="_-* #,##0_-;\-* #,##0_-;_-* &quot;-&quot;??_-;_-@_-"/>
    </dxf>
  </rfmt>
  <rfmt sheetId="1" sqref="AS274" start="0" length="0">
    <dxf>
      <font>
        <sz val="11"/>
        <color theme="1"/>
        <name val="Calibri"/>
        <scheme val="none"/>
      </font>
      <numFmt numFmtId="164" formatCode="_-* #,##0_-;\-* #,##0_-;_-* &quot;-&quot;??_-;_-@_-"/>
    </dxf>
  </rfmt>
  <rfmt sheetId="1" sqref="AT274" start="0" length="0">
    <dxf>
      <font>
        <sz val="11"/>
        <color theme="1"/>
        <name val="Calibri"/>
        <scheme val="none"/>
      </font>
      <numFmt numFmtId="164" formatCode="_-* #,##0_-;\-* #,##0_-;_-* &quot;-&quot;??_-;_-@_-"/>
    </dxf>
  </rfmt>
  <rfmt sheetId="1" sqref="AU274" start="0" length="0">
    <dxf>
      <font>
        <sz val="11"/>
        <color theme="1"/>
        <name val="Calibri"/>
        <scheme val="none"/>
      </font>
    </dxf>
  </rfmt>
  <rfmt sheetId="1" sqref="AV274" start="0" length="0">
    <dxf>
      <font>
        <sz val="11"/>
        <color theme="1"/>
        <name val="Calibri"/>
        <scheme val="none"/>
      </font>
    </dxf>
  </rfmt>
  <rfmt sheetId="1" sqref="AW274" start="0" length="0">
    <dxf>
      <font>
        <sz val="11"/>
        <color theme="1"/>
        <name val="Calibri"/>
        <scheme val="none"/>
      </font>
    </dxf>
  </rfmt>
  <rfmt sheetId="1" sqref="AX274" start="0" length="0">
    <dxf>
      <font>
        <sz val="11"/>
        <color theme="1"/>
        <name val="Calibri"/>
        <scheme val="none"/>
      </font>
    </dxf>
  </rfmt>
  <rfmt sheetId="1" sqref="AY274" start="0" length="0">
    <dxf>
      <font>
        <sz val="11"/>
        <color theme="1"/>
        <name val="Calibri"/>
        <scheme val="none"/>
      </font>
    </dxf>
  </rfmt>
  <rfmt sheetId="1" sqref="A274:XFD274" start="0" length="0">
    <dxf>
      <font>
        <sz val="11"/>
        <color theme="1"/>
        <name val="Calibri"/>
        <scheme val="none"/>
      </font>
    </dxf>
  </rfmt>
  <rfmt sheetId="1" sqref="A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7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7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75" start="0" length="0">
    <dxf>
      <font>
        <sz val="11"/>
        <color theme="1"/>
        <name val="Calibri"/>
        <scheme val="none"/>
      </font>
    </dxf>
  </rfmt>
  <rfmt sheetId="1" sqref="AM275" start="0" length="0">
    <dxf>
      <font>
        <sz val="11"/>
        <color theme="1"/>
        <name val="Calibri"/>
        <scheme val="none"/>
      </font>
      <numFmt numFmtId="1" formatCode="0"/>
    </dxf>
  </rfmt>
  <rfmt sheetId="1" sqref="AN275" start="0" length="0">
    <dxf>
      <font>
        <sz val="11"/>
        <color theme="1"/>
        <name val="Calibri"/>
        <scheme val="none"/>
      </font>
      <numFmt numFmtId="1" formatCode="0"/>
    </dxf>
  </rfmt>
  <rfmt sheetId="1" sqref="AO275" start="0" length="0">
    <dxf>
      <font>
        <sz val="11"/>
        <color theme="1"/>
        <name val="Calibri"/>
        <scheme val="none"/>
      </font>
    </dxf>
  </rfmt>
  <rfmt sheetId="1" sqref="AP275" start="0" length="0">
    <dxf>
      <font>
        <sz val="11"/>
        <color theme="1"/>
        <name val="Calibri"/>
        <scheme val="none"/>
      </font>
    </dxf>
  </rfmt>
  <rfmt sheetId="1" sqref="AQ275" start="0" length="0">
    <dxf>
      <font>
        <sz val="11"/>
        <color theme="1"/>
        <name val="Calibri"/>
        <scheme val="none"/>
      </font>
      <numFmt numFmtId="164" formatCode="_-* #,##0_-;\-* #,##0_-;_-* &quot;-&quot;??_-;_-@_-"/>
    </dxf>
  </rfmt>
  <rfmt sheetId="1" sqref="AR275" start="0" length="0">
    <dxf>
      <font>
        <sz val="11"/>
        <color theme="1"/>
        <name val="Calibri"/>
        <scheme val="none"/>
      </font>
      <numFmt numFmtId="164" formatCode="_-* #,##0_-;\-* #,##0_-;_-* &quot;-&quot;??_-;_-@_-"/>
    </dxf>
  </rfmt>
  <rfmt sheetId="1" sqref="AS275" start="0" length="0">
    <dxf>
      <font>
        <sz val="11"/>
        <color theme="1"/>
        <name val="Calibri"/>
        <scheme val="none"/>
      </font>
      <numFmt numFmtId="164" formatCode="_-* #,##0_-;\-* #,##0_-;_-* &quot;-&quot;??_-;_-@_-"/>
    </dxf>
  </rfmt>
  <rfmt sheetId="1" sqref="AT275" start="0" length="0">
    <dxf>
      <font>
        <sz val="11"/>
        <color theme="1"/>
        <name val="Calibri"/>
        <scheme val="none"/>
      </font>
      <numFmt numFmtId="164" formatCode="_-* #,##0_-;\-* #,##0_-;_-* &quot;-&quot;??_-;_-@_-"/>
    </dxf>
  </rfmt>
  <rfmt sheetId="1" sqref="AU275" start="0" length="0">
    <dxf>
      <font>
        <sz val="11"/>
        <color theme="1"/>
        <name val="Calibri"/>
        <scheme val="none"/>
      </font>
    </dxf>
  </rfmt>
  <rfmt sheetId="1" sqref="AV275" start="0" length="0">
    <dxf>
      <font>
        <sz val="11"/>
        <color theme="1"/>
        <name val="Calibri"/>
        <scheme val="none"/>
      </font>
    </dxf>
  </rfmt>
  <rfmt sheetId="1" sqref="AW275" start="0" length="0">
    <dxf>
      <font>
        <sz val="11"/>
        <color theme="1"/>
        <name val="Calibri"/>
        <scheme val="none"/>
      </font>
    </dxf>
  </rfmt>
  <rfmt sheetId="1" sqref="AX275" start="0" length="0">
    <dxf>
      <font>
        <sz val="11"/>
        <color theme="1"/>
        <name val="Calibri"/>
        <scheme val="none"/>
      </font>
    </dxf>
  </rfmt>
  <rfmt sheetId="1" sqref="AY275" start="0" length="0">
    <dxf>
      <font>
        <sz val="11"/>
        <color theme="1"/>
        <name val="Calibri"/>
        <scheme val="none"/>
      </font>
    </dxf>
  </rfmt>
  <rfmt sheetId="1" sqref="A275:XFD275" start="0" length="0">
    <dxf>
      <font>
        <sz val="11"/>
        <color theme="1"/>
        <name val="Calibri"/>
        <scheme val="none"/>
      </font>
    </dxf>
  </rfmt>
  <rfmt sheetId="1" sqref="A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7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7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76" start="0" length="0">
    <dxf>
      <font>
        <sz val="11"/>
        <color theme="1"/>
        <name val="Calibri"/>
        <scheme val="none"/>
      </font>
    </dxf>
  </rfmt>
  <rfmt sheetId="1" sqref="AM276" start="0" length="0">
    <dxf>
      <font>
        <sz val="11"/>
        <color theme="1"/>
        <name val="Calibri"/>
        <scheme val="none"/>
      </font>
      <numFmt numFmtId="1" formatCode="0"/>
    </dxf>
  </rfmt>
  <rfmt sheetId="1" sqref="AN276" start="0" length="0">
    <dxf>
      <font>
        <sz val="11"/>
        <color theme="1"/>
        <name val="Calibri"/>
        <scheme val="none"/>
      </font>
      <numFmt numFmtId="1" formatCode="0"/>
    </dxf>
  </rfmt>
  <rfmt sheetId="1" sqref="AO276" start="0" length="0">
    <dxf>
      <font>
        <sz val="11"/>
        <color theme="1"/>
        <name val="Calibri"/>
        <scheme val="none"/>
      </font>
    </dxf>
  </rfmt>
  <rfmt sheetId="1" sqref="AP276" start="0" length="0">
    <dxf>
      <font>
        <sz val="11"/>
        <color theme="1"/>
        <name val="Calibri"/>
        <scheme val="none"/>
      </font>
    </dxf>
  </rfmt>
  <rfmt sheetId="1" sqref="AQ276" start="0" length="0">
    <dxf>
      <font>
        <sz val="11"/>
        <color theme="1"/>
        <name val="Calibri"/>
        <scheme val="none"/>
      </font>
      <numFmt numFmtId="164" formatCode="_-* #,##0_-;\-* #,##0_-;_-* &quot;-&quot;??_-;_-@_-"/>
    </dxf>
  </rfmt>
  <rfmt sheetId="1" sqref="AR276" start="0" length="0">
    <dxf>
      <font>
        <sz val="11"/>
        <color theme="1"/>
        <name val="Calibri"/>
        <scheme val="none"/>
      </font>
      <numFmt numFmtId="164" formatCode="_-* #,##0_-;\-* #,##0_-;_-* &quot;-&quot;??_-;_-@_-"/>
    </dxf>
  </rfmt>
  <rfmt sheetId="1" sqref="AS276" start="0" length="0">
    <dxf>
      <font>
        <sz val="11"/>
        <color theme="1"/>
        <name val="Calibri"/>
        <scheme val="none"/>
      </font>
      <numFmt numFmtId="164" formatCode="_-* #,##0_-;\-* #,##0_-;_-* &quot;-&quot;??_-;_-@_-"/>
    </dxf>
  </rfmt>
  <rfmt sheetId="1" sqref="AT276" start="0" length="0">
    <dxf>
      <font>
        <sz val="11"/>
        <color theme="1"/>
        <name val="Calibri"/>
        <scheme val="none"/>
      </font>
      <numFmt numFmtId="164" formatCode="_-* #,##0_-;\-* #,##0_-;_-* &quot;-&quot;??_-;_-@_-"/>
    </dxf>
  </rfmt>
  <rfmt sheetId="1" sqref="AU276" start="0" length="0">
    <dxf>
      <font>
        <sz val="11"/>
        <color theme="1"/>
        <name val="Calibri"/>
        <scheme val="none"/>
      </font>
    </dxf>
  </rfmt>
  <rfmt sheetId="1" sqref="AV276" start="0" length="0">
    <dxf>
      <font>
        <sz val="11"/>
        <color theme="1"/>
        <name val="Calibri"/>
        <scheme val="none"/>
      </font>
    </dxf>
  </rfmt>
  <rfmt sheetId="1" sqref="AW276" start="0" length="0">
    <dxf>
      <font>
        <sz val="11"/>
        <color theme="1"/>
        <name val="Calibri"/>
        <scheme val="none"/>
      </font>
    </dxf>
  </rfmt>
  <rfmt sheetId="1" sqref="AX276" start="0" length="0">
    <dxf>
      <font>
        <sz val="11"/>
        <color theme="1"/>
        <name val="Calibri"/>
        <scheme val="none"/>
      </font>
    </dxf>
  </rfmt>
  <rfmt sheetId="1" sqref="AY276" start="0" length="0">
    <dxf>
      <font>
        <sz val="11"/>
        <color theme="1"/>
        <name val="Calibri"/>
        <scheme val="none"/>
      </font>
    </dxf>
  </rfmt>
  <rfmt sheetId="1" sqref="A276:XFD276" start="0" length="0">
    <dxf>
      <font>
        <sz val="11"/>
        <color theme="1"/>
        <name val="Calibri"/>
        <scheme val="none"/>
      </font>
    </dxf>
  </rfmt>
  <rfmt sheetId="1" sqref="A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7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7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77" start="0" length="0">
    <dxf>
      <font>
        <sz val="11"/>
        <color theme="1"/>
        <name val="Calibri"/>
        <scheme val="none"/>
      </font>
    </dxf>
  </rfmt>
  <rfmt sheetId="1" sqref="AM277" start="0" length="0">
    <dxf>
      <font>
        <sz val="11"/>
        <color theme="1"/>
        <name val="Calibri"/>
        <scheme val="none"/>
      </font>
      <numFmt numFmtId="1" formatCode="0"/>
    </dxf>
  </rfmt>
  <rfmt sheetId="1" sqref="AN277" start="0" length="0">
    <dxf>
      <font>
        <sz val="11"/>
        <color theme="1"/>
        <name val="Calibri"/>
        <scheme val="none"/>
      </font>
      <numFmt numFmtId="1" formatCode="0"/>
    </dxf>
  </rfmt>
  <rfmt sheetId="1" sqref="AO277" start="0" length="0">
    <dxf>
      <font>
        <sz val="11"/>
        <color theme="1"/>
        <name val="Calibri"/>
        <scheme val="none"/>
      </font>
    </dxf>
  </rfmt>
  <rfmt sheetId="1" sqref="AP277" start="0" length="0">
    <dxf>
      <font>
        <sz val="11"/>
        <color theme="1"/>
        <name val="Calibri"/>
        <scheme val="none"/>
      </font>
    </dxf>
  </rfmt>
  <rfmt sheetId="1" sqref="AQ277" start="0" length="0">
    <dxf>
      <font>
        <sz val="11"/>
        <color theme="1"/>
        <name val="Calibri"/>
        <scheme val="none"/>
      </font>
      <numFmt numFmtId="164" formatCode="_-* #,##0_-;\-* #,##0_-;_-* &quot;-&quot;??_-;_-@_-"/>
    </dxf>
  </rfmt>
  <rfmt sheetId="1" sqref="AR277" start="0" length="0">
    <dxf>
      <font>
        <sz val="11"/>
        <color theme="1"/>
        <name val="Calibri"/>
        <scheme val="none"/>
      </font>
      <numFmt numFmtId="164" formatCode="_-* #,##0_-;\-* #,##0_-;_-* &quot;-&quot;??_-;_-@_-"/>
    </dxf>
  </rfmt>
  <rfmt sheetId="1" sqref="AS277" start="0" length="0">
    <dxf>
      <font>
        <sz val="11"/>
        <color theme="1"/>
        <name val="Calibri"/>
        <scheme val="none"/>
      </font>
      <numFmt numFmtId="164" formatCode="_-* #,##0_-;\-* #,##0_-;_-* &quot;-&quot;??_-;_-@_-"/>
    </dxf>
  </rfmt>
  <rfmt sheetId="1" sqref="AT277" start="0" length="0">
    <dxf>
      <font>
        <sz val="11"/>
        <color theme="1"/>
        <name val="Calibri"/>
        <scheme val="none"/>
      </font>
      <numFmt numFmtId="164" formatCode="_-* #,##0_-;\-* #,##0_-;_-* &quot;-&quot;??_-;_-@_-"/>
    </dxf>
  </rfmt>
  <rfmt sheetId="1" sqref="AU277" start="0" length="0">
    <dxf>
      <font>
        <sz val="11"/>
        <color theme="1"/>
        <name val="Calibri"/>
        <scheme val="none"/>
      </font>
    </dxf>
  </rfmt>
  <rfmt sheetId="1" sqref="AV277" start="0" length="0">
    <dxf>
      <font>
        <sz val="11"/>
        <color theme="1"/>
        <name val="Calibri"/>
        <scheme val="none"/>
      </font>
    </dxf>
  </rfmt>
  <rfmt sheetId="1" sqref="AW277" start="0" length="0">
    <dxf>
      <font>
        <sz val="11"/>
        <color theme="1"/>
        <name val="Calibri"/>
        <scheme val="none"/>
      </font>
    </dxf>
  </rfmt>
  <rfmt sheetId="1" sqref="AX277" start="0" length="0">
    <dxf>
      <font>
        <sz val="11"/>
        <color theme="1"/>
        <name val="Calibri"/>
        <scheme val="none"/>
      </font>
    </dxf>
  </rfmt>
  <rfmt sheetId="1" sqref="AY277" start="0" length="0">
    <dxf>
      <font>
        <sz val="11"/>
        <color theme="1"/>
        <name val="Calibri"/>
        <scheme val="none"/>
      </font>
    </dxf>
  </rfmt>
  <rfmt sheetId="1" sqref="A277:XFD277" start="0" length="0">
    <dxf>
      <font>
        <sz val="11"/>
        <color theme="1"/>
        <name val="Calibri"/>
        <scheme val="none"/>
      </font>
    </dxf>
  </rfmt>
  <rfmt sheetId="1" sqref="A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7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7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78" start="0" length="0">
    <dxf>
      <font>
        <sz val="11"/>
        <color theme="1"/>
        <name val="Calibri"/>
        <scheme val="none"/>
      </font>
    </dxf>
  </rfmt>
  <rfmt sheetId="1" sqref="AM278" start="0" length="0">
    <dxf>
      <font>
        <sz val="11"/>
        <color theme="1"/>
        <name val="Calibri"/>
        <scheme val="none"/>
      </font>
      <numFmt numFmtId="1" formatCode="0"/>
    </dxf>
  </rfmt>
  <rfmt sheetId="1" sqref="AN278" start="0" length="0">
    <dxf>
      <font>
        <sz val="11"/>
        <color theme="1"/>
        <name val="Calibri"/>
        <scheme val="none"/>
      </font>
      <numFmt numFmtId="1" formatCode="0"/>
    </dxf>
  </rfmt>
  <rfmt sheetId="1" sqref="AO278" start="0" length="0">
    <dxf>
      <font>
        <sz val="11"/>
        <color theme="1"/>
        <name val="Calibri"/>
        <scheme val="none"/>
      </font>
    </dxf>
  </rfmt>
  <rfmt sheetId="1" sqref="AP278" start="0" length="0">
    <dxf>
      <font>
        <sz val="11"/>
        <color theme="1"/>
        <name val="Calibri"/>
        <scheme val="none"/>
      </font>
    </dxf>
  </rfmt>
  <rfmt sheetId="1" sqref="AQ278" start="0" length="0">
    <dxf>
      <font>
        <sz val="11"/>
        <color theme="1"/>
        <name val="Calibri"/>
        <scheme val="none"/>
      </font>
      <numFmt numFmtId="164" formatCode="_-* #,##0_-;\-* #,##0_-;_-* &quot;-&quot;??_-;_-@_-"/>
    </dxf>
  </rfmt>
  <rfmt sheetId="1" sqref="AR278" start="0" length="0">
    <dxf>
      <font>
        <sz val="11"/>
        <color theme="1"/>
        <name val="Calibri"/>
        <scheme val="none"/>
      </font>
      <numFmt numFmtId="164" formatCode="_-* #,##0_-;\-* #,##0_-;_-* &quot;-&quot;??_-;_-@_-"/>
    </dxf>
  </rfmt>
  <rfmt sheetId="1" sqref="AS278" start="0" length="0">
    <dxf>
      <font>
        <sz val="11"/>
        <color theme="1"/>
        <name val="Calibri"/>
        <scheme val="none"/>
      </font>
      <numFmt numFmtId="164" formatCode="_-* #,##0_-;\-* #,##0_-;_-* &quot;-&quot;??_-;_-@_-"/>
    </dxf>
  </rfmt>
  <rfmt sheetId="1" sqref="AT278" start="0" length="0">
    <dxf>
      <font>
        <sz val="11"/>
        <color theme="1"/>
        <name val="Calibri"/>
        <scheme val="none"/>
      </font>
      <numFmt numFmtId="164" formatCode="_-* #,##0_-;\-* #,##0_-;_-* &quot;-&quot;??_-;_-@_-"/>
    </dxf>
  </rfmt>
  <rfmt sheetId="1" sqref="AU278" start="0" length="0">
    <dxf>
      <font>
        <sz val="11"/>
        <color theme="1"/>
        <name val="Calibri"/>
        <scheme val="none"/>
      </font>
    </dxf>
  </rfmt>
  <rfmt sheetId="1" sqref="AV278" start="0" length="0">
    <dxf>
      <font>
        <sz val="11"/>
        <color theme="1"/>
        <name val="Calibri"/>
        <scheme val="none"/>
      </font>
    </dxf>
  </rfmt>
  <rfmt sheetId="1" sqref="AW278" start="0" length="0">
    <dxf>
      <font>
        <sz val="11"/>
        <color theme="1"/>
        <name val="Calibri"/>
        <scheme val="none"/>
      </font>
    </dxf>
  </rfmt>
  <rfmt sheetId="1" sqref="AX278" start="0" length="0">
    <dxf>
      <font>
        <sz val="11"/>
        <color theme="1"/>
        <name val="Calibri"/>
        <scheme val="none"/>
      </font>
    </dxf>
  </rfmt>
  <rfmt sheetId="1" sqref="AY278" start="0" length="0">
    <dxf>
      <font>
        <sz val="11"/>
        <color theme="1"/>
        <name val="Calibri"/>
        <scheme val="none"/>
      </font>
    </dxf>
  </rfmt>
  <rfmt sheetId="1" sqref="A278:XFD278" start="0" length="0">
    <dxf>
      <font>
        <sz val="11"/>
        <color theme="1"/>
        <name val="Calibri"/>
        <scheme val="none"/>
      </font>
    </dxf>
  </rfmt>
  <rfmt sheetId="1" sqref="A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7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7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79" start="0" length="0">
    <dxf>
      <font>
        <sz val="11"/>
        <color theme="1"/>
        <name val="Calibri"/>
        <scheme val="none"/>
      </font>
    </dxf>
  </rfmt>
  <rfmt sheetId="1" sqref="AM279" start="0" length="0">
    <dxf>
      <font>
        <sz val="11"/>
        <color theme="1"/>
        <name val="Calibri"/>
        <scheme val="none"/>
      </font>
      <numFmt numFmtId="1" formatCode="0"/>
    </dxf>
  </rfmt>
  <rfmt sheetId="1" sqref="AN279" start="0" length="0">
    <dxf>
      <font>
        <sz val="11"/>
        <color theme="1"/>
        <name val="Calibri"/>
        <scheme val="none"/>
      </font>
      <numFmt numFmtId="1" formatCode="0"/>
    </dxf>
  </rfmt>
  <rfmt sheetId="1" sqref="AO279" start="0" length="0">
    <dxf>
      <font>
        <sz val="11"/>
        <color theme="1"/>
        <name val="Calibri"/>
        <scheme val="none"/>
      </font>
    </dxf>
  </rfmt>
  <rfmt sheetId="1" sqref="AP279" start="0" length="0">
    <dxf>
      <font>
        <sz val="11"/>
        <color theme="1"/>
        <name val="Calibri"/>
        <scheme val="none"/>
      </font>
    </dxf>
  </rfmt>
  <rfmt sheetId="1" sqref="AQ279" start="0" length="0">
    <dxf>
      <font>
        <sz val="11"/>
        <color theme="1"/>
        <name val="Calibri"/>
        <scheme val="none"/>
      </font>
      <numFmt numFmtId="164" formatCode="_-* #,##0_-;\-* #,##0_-;_-* &quot;-&quot;??_-;_-@_-"/>
    </dxf>
  </rfmt>
  <rfmt sheetId="1" sqref="AR279" start="0" length="0">
    <dxf>
      <font>
        <sz val="11"/>
        <color theme="1"/>
        <name val="Calibri"/>
        <scheme val="none"/>
      </font>
      <numFmt numFmtId="164" formatCode="_-* #,##0_-;\-* #,##0_-;_-* &quot;-&quot;??_-;_-@_-"/>
    </dxf>
  </rfmt>
  <rfmt sheetId="1" sqref="AS279" start="0" length="0">
    <dxf>
      <font>
        <sz val="11"/>
        <color theme="1"/>
        <name val="Calibri"/>
        <scheme val="none"/>
      </font>
      <numFmt numFmtId="164" formatCode="_-* #,##0_-;\-* #,##0_-;_-* &quot;-&quot;??_-;_-@_-"/>
    </dxf>
  </rfmt>
  <rfmt sheetId="1" sqref="AT279" start="0" length="0">
    <dxf>
      <font>
        <sz val="11"/>
        <color theme="1"/>
        <name val="Calibri"/>
        <scheme val="none"/>
      </font>
      <numFmt numFmtId="164" formatCode="_-* #,##0_-;\-* #,##0_-;_-* &quot;-&quot;??_-;_-@_-"/>
    </dxf>
  </rfmt>
  <rfmt sheetId="1" sqref="AU279" start="0" length="0">
    <dxf>
      <font>
        <sz val="11"/>
        <color theme="1"/>
        <name val="Calibri"/>
        <scheme val="none"/>
      </font>
    </dxf>
  </rfmt>
  <rfmt sheetId="1" sqref="AV279" start="0" length="0">
    <dxf>
      <font>
        <sz val="11"/>
        <color theme="1"/>
        <name val="Calibri"/>
        <scheme val="none"/>
      </font>
    </dxf>
  </rfmt>
  <rfmt sheetId="1" sqref="AW279" start="0" length="0">
    <dxf>
      <font>
        <sz val="11"/>
        <color theme="1"/>
        <name val="Calibri"/>
        <scheme val="none"/>
      </font>
    </dxf>
  </rfmt>
  <rfmt sheetId="1" sqref="AX279" start="0" length="0">
    <dxf>
      <font>
        <sz val="11"/>
        <color theme="1"/>
        <name val="Calibri"/>
        <scheme val="none"/>
      </font>
    </dxf>
  </rfmt>
  <rfmt sheetId="1" sqref="AY279" start="0" length="0">
    <dxf>
      <font>
        <sz val="11"/>
        <color theme="1"/>
        <name val="Calibri"/>
        <scheme val="none"/>
      </font>
    </dxf>
  </rfmt>
  <rfmt sheetId="1" sqref="A279:XFD279" start="0" length="0">
    <dxf>
      <font>
        <sz val="11"/>
        <color theme="1"/>
        <name val="Calibri"/>
        <scheme val="none"/>
      </font>
    </dxf>
  </rfmt>
  <rfmt sheetId="1" sqref="A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8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8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80" start="0" length="0">
    <dxf>
      <font>
        <sz val="11"/>
        <color theme="1"/>
        <name val="Calibri"/>
        <scheme val="none"/>
      </font>
    </dxf>
  </rfmt>
  <rfmt sheetId="1" sqref="AM280" start="0" length="0">
    <dxf>
      <font>
        <sz val="11"/>
        <color theme="1"/>
        <name val="Calibri"/>
        <scheme val="none"/>
      </font>
      <numFmt numFmtId="1" formatCode="0"/>
    </dxf>
  </rfmt>
  <rfmt sheetId="1" sqref="AN280" start="0" length="0">
    <dxf>
      <font>
        <sz val="11"/>
        <color theme="1"/>
        <name val="Calibri"/>
        <scheme val="none"/>
      </font>
      <numFmt numFmtId="1" formatCode="0"/>
    </dxf>
  </rfmt>
  <rfmt sheetId="1" sqref="AO280" start="0" length="0">
    <dxf>
      <font>
        <sz val="11"/>
        <color theme="1"/>
        <name val="Calibri"/>
        <scheme val="none"/>
      </font>
    </dxf>
  </rfmt>
  <rfmt sheetId="1" sqref="AP280" start="0" length="0">
    <dxf>
      <font>
        <sz val="11"/>
        <color theme="1"/>
        <name val="Calibri"/>
        <scheme val="none"/>
      </font>
    </dxf>
  </rfmt>
  <rfmt sheetId="1" sqref="AQ280" start="0" length="0">
    <dxf>
      <font>
        <sz val="11"/>
        <color theme="1"/>
        <name val="Calibri"/>
        <scheme val="none"/>
      </font>
      <numFmt numFmtId="164" formatCode="_-* #,##0_-;\-* #,##0_-;_-* &quot;-&quot;??_-;_-@_-"/>
    </dxf>
  </rfmt>
  <rfmt sheetId="1" sqref="AR280" start="0" length="0">
    <dxf>
      <font>
        <sz val="11"/>
        <color theme="1"/>
        <name val="Calibri"/>
        <scheme val="none"/>
      </font>
      <numFmt numFmtId="164" formatCode="_-* #,##0_-;\-* #,##0_-;_-* &quot;-&quot;??_-;_-@_-"/>
    </dxf>
  </rfmt>
  <rfmt sheetId="1" sqref="AS280" start="0" length="0">
    <dxf>
      <font>
        <sz val="11"/>
        <color theme="1"/>
        <name val="Calibri"/>
        <scheme val="none"/>
      </font>
      <numFmt numFmtId="164" formatCode="_-* #,##0_-;\-* #,##0_-;_-* &quot;-&quot;??_-;_-@_-"/>
    </dxf>
  </rfmt>
  <rfmt sheetId="1" sqref="AT280" start="0" length="0">
    <dxf>
      <font>
        <sz val="11"/>
        <color theme="1"/>
        <name val="Calibri"/>
        <scheme val="none"/>
      </font>
      <numFmt numFmtId="164" formatCode="_-* #,##0_-;\-* #,##0_-;_-* &quot;-&quot;??_-;_-@_-"/>
    </dxf>
  </rfmt>
  <rfmt sheetId="1" sqref="AU280" start="0" length="0">
    <dxf>
      <font>
        <sz val="11"/>
        <color theme="1"/>
        <name val="Calibri"/>
        <scheme val="none"/>
      </font>
    </dxf>
  </rfmt>
  <rfmt sheetId="1" sqref="AV280" start="0" length="0">
    <dxf>
      <font>
        <sz val="11"/>
        <color theme="1"/>
        <name val="Calibri"/>
        <scheme val="none"/>
      </font>
    </dxf>
  </rfmt>
  <rfmt sheetId="1" sqref="AW280" start="0" length="0">
    <dxf>
      <font>
        <sz val="11"/>
        <color theme="1"/>
        <name val="Calibri"/>
        <scheme val="none"/>
      </font>
    </dxf>
  </rfmt>
  <rfmt sheetId="1" sqref="AX280" start="0" length="0">
    <dxf>
      <font>
        <sz val="11"/>
        <color theme="1"/>
        <name val="Calibri"/>
        <scheme val="none"/>
      </font>
    </dxf>
  </rfmt>
  <rfmt sheetId="1" sqref="AY280" start="0" length="0">
    <dxf>
      <font>
        <sz val="11"/>
        <color theme="1"/>
        <name val="Calibri"/>
        <scheme val="none"/>
      </font>
    </dxf>
  </rfmt>
  <rfmt sheetId="1" sqref="A280:XFD280" start="0" length="0">
    <dxf>
      <font>
        <sz val="11"/>
        <color theme="1"/>
        <name val="Calibri"/>
        <scheme val="none"/>
      </font>
    </dxf>
  </rfmt>
  <rfmt sheetId="1" sqref="A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8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8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81" start="0" length="0">
    <dxf>
      <font>
        <sz val="11"/>
        <color theme="1"/>
        <name val="Calibri"/>
        <scheme val="none"/>
      </font>
    </dxf>
  </rfmt>
  <rfmt sheetId="1" sqref="AM281" start="0" length="0">
    <dxf>
      <font>
        <sz val="11"/>
        <color theme="1"/>
        <name val="Calibri"/>
        <scheme val="none"/>
      </font>
      <numFmt numFmtId="1" formatCode="0"/>
    </dxf>
  </rfmt>
  <rfmt sheetId="1" sqref="AN281" start="0" length="0">
    <dxf>
      <font>
        <sz val="11"/>
        <color theme="1"/>
        <name val="Calibri"/>
        <scheme val="none"/>
      </font>
      <numFmt numFmtId="1" formatCode="0"/>
    </dxf>
  </rfmt>
  <rfmt sheetId="1" sqref="AO281" start="0" length="0">
    <dxf>
      <font>
        <sz val="11"/>
        <color theme="1"/>
        <name val="Calibri"/>
        <scheme val="none"/>
      </font>
    </dxf>
  </rfmt>
  <rfmt sheetId="1" sqref="AP281" start="0" length="0">
    <dxf>
      <font>
        <sz val="11"/>
        <color theme="1"/>
        <name val="Calibri"/>
        <scheme val="none"/>
      </font>
    </dxf>
  </rfmt>
  <rfmt sheetId="1" sqref="AQ281" start="0" length="0">
    <dxf>
      <font>
        <sz val="11"/>
        <color theme="1"/>
        <name val="Calibri"/>
        <scheme val="none"/>
      </font>
      <numFmt numFmtId="164" formatCode="_-* #,##0_-;\-* #,##0_-;_-* &quot;-&quot;??_-;_-@_-"/>
    </dxf>
  </rfmt>
  <rfmt sheetId="1" sqref="AR281" start="0" length="0">
    <dxf>
      <font>
        <sz val="11"/>
        <color theme="1"/>
        <name val="Calibri"/>
        <scheme val="none"/>
      </font>
      <numFmt numFmtId="164" formatCode="_-* #,##0_-;\-* #,##0_-;_-* &quot;-&quot;??_-;_-@_-"/>
    </dxf>
  </rfmt>
  <rfmt sheetId="1" sqref="AS281" start="0" length="0">
    <dxf>
      <font>
        <sz val="11"/>
        <color theme="1"/>
        <name val="Calibri"/>
        <scheme val="none"/>
      </font>
      <numFmt numFmtId="164" formatCode="_-* #,##0_-;\-* #,##0_-;_-* &quot;-&quot;??_-;_-@_-"/>
    </dxf>
  </rfmt>
  <rfmt sheetId="1" sqref="AT281" start="0" length="0">
    <dxf>
      <font>
        <sz val="11"/>
        <color theme="1"/>
        <name val="Calibri"/>
        <scheme val="none"/>
      </font>
      <numFmt numFmtId="164" formatCode="_-* #,##0_-;\-* #,##0_-;_-* &quot;-&quot;??_-;_-@_-"/>
    </dxf>
  </rfmt>
  <rfmt sheetId="1" sqref="AU281" start="0" length="0">
    <dxf>
      <font>
        <sz val="11"/>
        <color theme="1"/>
        <name val="Calibri"/>
        <scheme val="none"/>
      </font>
    </dxf>
  </rfmt>
  <rfmt sheetId="1" sqref="AV281" start="0" length="0">
    <dxf>
      <font>
        <sz val="11"/>
        <color theme="1"/>
        <name val="Calibri"/>
        <scheme val="none"/>
      </font>
    </dxf>
  </rfmt>
  <rfmt sheetId="1" sqref="AW281" start="0" length="0">
    <dxf>
      <font>
        <sz val="11"/>
        <color theme="1"/>
        <name val="Calibri"/>
        <scheme val="none"/>
      </font>
    </dxf>
  </rfmt>
  <rfmt sheetId="1" sqref="AX281" start="0" length="0">
    <dxf>
      <font>
        <sz val="11"/>
        <color theme="1"/>
        <name val="Calibri"/>
        <scheme val="none"/>
      </font>
    </dxf>
  </rfmt>
  <rfmt sheetId="1" sqref="AY281" start="0" length="0">
    <dxf>
      <font>
        <sz val="11"/>
        <color theme="1"/>
        <name val="Calibri"/>
        <scheme val="none"/>
      </font>
    </dxf>
  </rfmt>
  <rfmt sheetId="1" sqref="A281:XFD281" start="0" length="0">
    <dxf>
      <font>
        <sz val="11"/>
        <color theme="1"/>
        <name val="Calibri"/>
        <scheme val="none"/>
      </font>
    </dxf>
  </rfmt>
  <rfmt sheetId="1" sqref="A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8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8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82" start="0" length="0">
    <dxf>
      <font>
        <sz val="11"/>
        <color theme="1"/>
        <name val="Calibri"/>
        <scheme val="none"/>
      </font>
    </dxf>
  </rfmt>
  <rfmt sheetId="1" sqref="AM282" start="0" length="0">
    <dxf>
      <font>
        <sz val="11"/>
        <color theme="1"/>
        <name val="Calibri"/>
        <scheme val="none"/>
      </font>
      <numFmt numFmtId="1" formatCode="0"/>
    </dxf>
  </rfmt>
  <rfmt sheetId="1" sqref="AN282" start="0" length="0">
    <dxf>
      <font>
        <sz val="11"/>
        <color theme="1"/>
        <name val="Calibri"/>
        <scheme val="none"/>
      </font>
      <numFmt numFmtId="1" formatCode="0"/>
    </dxf>
  </rfmt>
  <rfmt sheetId="1" sqref="AO282" start="0" length="0">
    <dxf>
      <font>
        <sz val="11"/>
        <color theme="1"/>
        <name val="Calibri"/>
        <scheme val="none"/>
      </font>
    </dxf>
  </rfmt>
  <rfmt sheetId="1" sqref="AP282" start="0" length="0">
    <dxf>
      <font>
        <sz val="11"/>
        <color theme="1"/>
        <name val="Calibri"/>
        <scheme val="none"/>
      </font>
    </dxf>
  </rfmt>
  <rfmt sheetId="1" sqref="AQ282" start="0" length="0">
    <dxf>
      <font>
        <sz val="11"/>
        <color theme="1"/>
        <name val="Calibri"/>
        <scheme val="none"/>
      </font>
      <numFmt numFmtId="164" formatCode="_-* #,##0_-;\-* #,##0_-;_-* &quot;-&quot;??_-;_-@_-"/>
    </dxf>
  </rfmt>
  <rfmt sheetId="1" sqref="AR282" start="0" length="0">
    <dxf>
      <font>
        <sz val="11"/>
        <color theme="1"/>
        <name val="Calibri"/>
        <scheme val="none"/>
      </font>
      <numFmt numFmtId="164" formatCode="_-* #,##0_-;\-* #,##0_-;_-* &quot;-&quot;??_-;_-@_-"/>
    </dxf>
  </rfmt>
  <rfmt sheetId="1" sqref="AS282" start="0" length="0">
    <dxf>
      <font>
        <sz val="11"/>
        <color theme="1"/>
        <name val="Calibri"/>
        <scheme val="none"/>
      </font>
      <numFmt numFmtId="164" formatCode="_-* #,##0_-;\-* #,##0_-;_-* &quot;-&quot;??_-;_-@_-"/>
    </dxf>
  </rfmt>
  <rfmt sheetId="1" sqref="AT282" start="0" length="0">
    <dxf>
      <font>
        <sz val="11"/>
        <color theme="1"/>
        <name val="Calibri"/>
        <scheme val="none"/>
      </font>
      <numFmt numFmtId="164" formatCode="_-* #,##0_-;\-* #,##0_-;_-* &quot;-&quot;??_-;_-@_-"/>
    </dxf>
  </rfmt>
  <rfmt sheetId="1" sqref="AU282" start="0" length="0">
    <dxf>
      <font>
        <sz val="11"/>
        <color theme="1"/>
        <name val="Calibri"/>
        <scheme val="none"/>
      </font>
    </dxf>
  </rfmt>
  <rfmt sheetId="1" sqref="AV282" start="0" length="0">
    <dxf>
      <font>
        <sz val="11"/>
        <color theme="1"/>
        <name val="Calibri"/>
        <scheme val="none"/>
      </font>
    </dxf>
  </rfmt>
  <rfmt sheetId="1" sqref="AW282" start="0" length="0">
    <dxf>
      <font>
        <sz val="11"/>
        <color theme="1"/>
        <name val="Calibri"/>
        <scheme val="none"/>
      </font>
    </dxf>
  </rfmt>
  <rfmt sheetId="1" sqref="AX282" start="0" length="0">
    <dxf>
      <font>
        <sz val="11"/>
        <color theme="1"/>
        <name val="Calibri"/>
        <scheme val="none"/>
      </font>
    </dxf>
  </rfmt>
  <rfmt sheetId="1" sqref="AY282" start="0" length="0">
    <dxf>
      <font>
        <sz val="11"/>
        <color theme="1"/>
        <name val="Calibri"/>
        <scheme val="none"/>
      </font>
    </dxf>
  </rfmt>
  <rfmt sheetId="1" sqref="A282:XFD282" start="0" length="0">
    <dxf>
      <font>
        <sz val="11"/>
        <color theme="1"/>
        <name val="Calibri"/>
        <scheme val="none"/>
      </font>
    </dxf>
  </rfmt>
  <rfmt sheetId="1" sqref="A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8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8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83" start="0" length="0">
    <dxf>
      <font>
        <sz val="11"/>
        <color theme="1"/>
        <name val="Calibri"/>
        <scheme val="none"/>
      </font>
    </dxf>
  </rfmt>
  <rfmt sheetId="1" sqref="AM283" start="0" length="0">
    <dxf>
      <font>
        <sz val="11"/>
        <color theme="1"/>
        <name val="Calibri"/>
        <scheme val="none"/>
      </font>
      <numFmt numFmtId="1" formatCode="0"/>
    </dxf>
  </rfmt>
  <rfmt sheetId="1" sqref="AN283" start="0" length="0">
    <dxf>
      <font>
        <sz val="11"/>
        <color theme="1"/>
        <name val="Calibri"/>
        <scheme val="none"/>
      </font>
      <numFmt numFmtId="1" formatCode="0"/>
    </dxf>
  </rfmt>
  <rfmt sheetId="1" sqref="AO283" start="0" length="0">
    <dxf>
      <font>
        <sz val="11"/>
        <color theme="1"/>
        <name val="Calibri"/>
        <scheme val="none"/>
      </font>
    </dxf>
  </rfmt>
  <rfmt sheetId="1" sqref="AP283" start="0" length="0">
    <dxf>
      <font>
        <sz val="11"/>
        <color theme="1"/>
        <name val="Calibri"/>
        <scheme val="none"/>
      </font>
    </dxf>
  </rfmt>
  <rfmt sheetId="1" sqref="AQ283" start="0" length="0">
    <dxf>
      <font>
        <sz val="11"/>
        <color theme="1"/>
        <name val="Calibri"/>
        <scheme val="none"/>
      </font>
      <numFmt numFmtId="164" formatCode="_-* #,##0_-;\-* #,##0_-;_-* &quot;-&quot;??_-;_-@_-"/>
    </dxf>
  </rfmt>
  <rfmt sheetId="1" sqref="AR283" start="0" length="0">
    <dxf>
      <font>
        <sz val="11"/>
        <color theme="1"/>
        <name val="Calibri"/>
        <scheme val="none"/>
      </font>
      <numFmt numFmtId="164" formatCode="_-* #,##0_-;\-* #,##0_-;_-* &quot;-&quot;??_-;_-@_-"/>
    </dxf>
  </rfmt>
  <rfmt sheetId="1" sqref="AS283" start="0" length="0">
    <dxf>
      <font>
        <sz val="11"/>
        <color theme="1"/>
        <name val="Calibri"/>
        <scheme val="none"/>
      </font>
      <numFmt numFmtId="164" formatCode="_-* #,##0_-;\-* #,##0_-;_-* &quot;-&quot;??_-;_-@_-"/>
    </dxf>
  </rfmt>
  <rfmt sheetId="1" sqref="AT283" start="0" length="0">
    <dxf>
      <font>
        <sz val="11"/>
        <color theme="1"/>
        <name val="Calibri"/>
        <scheme val="none"/>
      </font>
      <numFmt numFmtId="164" formatCode="_-* #,##0_-;\-* #,##0_-;_-* &quot;-&quot;??_-;_-@_-"/>
    </dxf>
  </rfmt>
  <rfmt sheetId="1" sqref="AU283" start="0" length="0">
    <dxf>
      <font>
        <sz val="11"/>
        <color theme="1"/>
        <name val="Calibri"/>
        <scheme val="none"/>
      </font>
    </dxf>
  </rfmt>
  <rfmt sheetId="1" sqref="AV283" start="0" length="0">
    <dxf>
      <font>
        <sz val="11"/>
        <color theme="1"/>
        <name val="Calibri"/>
        <scheme val="none"/>
      </font>
    </dxf>
  </rfmt>
  <rfmt sheetId="1" sqref="AW283" start="0" length="0">
    <dxf>
      <font>
        <sz val="11"/>
        <color theme="1"/>
        <name val="Calibri"/>
        <scheme val="none"/>
      </font>
    </dxf>
  </rfmt>
  <rfmt sheetId="1" sqref="AX283" start="0" length="0">
    <dxf>
      <font>
        <sz val="11"/>
        <color theme="1"/>
        <name val="Calibri"/>
        <scheme val="none"/>
      </font>
    </dxf>
  </rfmt>
  <rfmt sheetId="1" sqref="AY283" start="0" length="0">
    <dxf>
      <font>
        <sz val="11"/>
        <color theme="1"/>
        <name val="Calibri"/>
        <scheme val="none"/>
      </font>
    </dxf>
  </rfmt>
  <rfmt sheetId="1" sqref="A283:XFD283" start="0" length="0">
    <dxf>
      <font>
        <sz val="11"/>
        <color theme="1"/>
        <name val="Calibri"/>
        <scheme val="none"/>
      </font>
    </dxf>
  </rfmt>
  <rfmt sheetId="1" sqref="A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8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8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84" start="0" length="0">
    <dxf>
      <font>
        <sz val="11"/>
        <color theme="1"/>
        <name val="Calibri"/>
        <scheme val="none"/>
      </font>
    </dxf>
  </rfmt>
  <rfmt sheetId="1" sqref="AM284" start="0" length="0">
    <dxf>
      <font>
        <sz val="11"/>
        <color theme="1"/>
        <name val="Calibri"/>
        <scheme val="none"/>
      </font>
      <numFmt numFmtId="1" formatCode="0"/>
    </dxf>
  </rfmt>
  <rfmt sheetId="1" sqref="AN284" start="0" length="0">
    <dxf>
      <font>
        <sz val="11"/>
        <color theme="1"/>
        <name val="Calibri"/>
        <scheme val="none"/>
      </font>
      <numFmt numFmtId="1" formatCode="0"/>
    </dxf>
  </rfmt>
  <rfmt sheetId="1" sqref="AO284" start="0" length="0">
    <dxf>
      <font>
        <sz val="11"/>
        <color theme="1"/>
        <name val="Calibri"/>
        <scheme val="none"/>
      </font>
    </dxf>
  </rfmt>
  <rfmt sheetId="1" sqref="AP284" start="0" length="0">
    <dxf>
      <font>
        <sz val="11"/>
        <color theme="1"/>
        <name val="Calibri"/>
        <scheme val="none"/>
      </font>
    </dxf>
  </rfmt>
  <rfmt sheetId="1" sqref="AQ284" start="0" length="0">
    <dxf>
      <font>
        <sz val="11"/>
        <color theme="1"/>
        <name val="Calibri"/>
        <scheme val="none"/>
      </font>
      <numFmt numFmtId="164" formatCode="_-* #,##0_-;\-* #,##0_-;_-* &quot;-&quot;??_-;_-@_-"/>
    </dxf>
  </rfmt>
  <rfmt sheetId="1" sqref="AR284" start="0" length="0">
    <dxf>
      <font>
        <sz val="11"/>
        <color theme="1"/>
        <name val="Calibri"/>
        <scheme val="none"/>
      </font>
      <numFmt numFmtId="164" formatCode="_-* #,##0_-;\-* #,##0_-;_-* &quot;-&quot;??_-;_-@_-"/>
    </dxf>
  </rfmt>
  <rfmt sheetId="1" sqref="AS284" start="0" length="0">
    <dxf>
      <font>
        <sz val="11"/>
        <color theme="1"/>
        <name val="Calibri"/>
        <scheme val="none"/>
      </font>
      <numFmt numFmtId="164" formatCode="_-* #,##0_-;\-* #,##0_-;_-* &quot;-&quot;??_-;_-@_-"/>
    </dxf>
  </rfmt>
  <rfmt sheetId="1" sqref="AT284" start="0" length="0">
    <dxf>
      <font>
        <sz val="11"/>
        <color theme="1"/>
        <name val="Calibri"/>
        <scheme val="none"/>
      </font>
      <numFmt numFmtId="164" formatCode="_-* #,##0_-;\-* #,##0_-;_-* &quot;-&quot;??_-;_-@_-"/>
    </dxf>
  </rfmt>
  <rfmt sheetId="1" sqref="AU284" start="0" length="0">
    <dxf>
      <font>
        <sz val="11"/>
        <color theme="1"/>
        <name val="Calibri"/>
        <scheme val="none"/>
      </font>
    </dxf>
  </rfmt>
  <rfmt sheetId="1" sqref="AV284" start="0" length="0">
    <dxf>
      <font>
        <sz val="11"/>
        <color theme="1"/>
        <name val="Calibri"/>
        <scheme val="none"/>
      </font>
    </dxf>
  </rfmt>
  <rfmt sheetId="1" sqref="AW284" start="0" length="0">
    <dxf>
      <font>
        <sz val="11"/>
        <color theme="1"/>
        <name val="Calibri"/>
        <scheme val="none"/>
      </font>
    </dxf>
  </rfmt>
  <rfmt sheetId="1" sqref="AX284" start="0" length="0">
    <dxf>
      <font>
        <sz val="11"/>
        <color theme="1"/>
        <name val="Calibri"/>
        <scheme val="none"/>
      </font>
    </dxf>
  </rfmt>
  <rfmt sheetId="1" sqref="AY284" start="0" length="0">
    <dxf>
      <font>
        <sz val="11"/>
        <color theme="1"/>
        <name val="Calibri"/>
        <scheme val="none"/>
      </font>
    </dxf>
  </rfmt>
  <rfmt sheetId="1" sqref="A284:XFD284" start="0" length="0">
    <dxf>
      <font>
        <sz val="11"/>
        <color theme="1"/>
        <name val="Calibri"/>
        <scheme val="none"/>
      </font>
    </dxf>
  </rfmt>
  <rfmt sheetId="1" sqref="A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8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8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85" start="0" length="0">
    <dxf>
      <font>
        <sz val="11"/>
        <color theme="1"/>
        <name val="Calibri"/>
        <scheme val="none"/>
      </font>
    </dxf>
  </rfmt>
  <rfmt sheetId="1" sqref="AM285" start="0" length="0">
    <dxf>
      <font>
        <sz val="11"/>
        <color theme="1"/>
        <name val="Calibri"/>
        <scheme val="none"/>
      </font>
      <numFmt numFmtId="1" formatCode="0"/>
    </dxf>
  </rfmt>
  <rfmt sheetId="1" sqref="AN285" start="0" length="0">
    <dxf>
      <font>
        <sz val="11"/>
        <color theme="1"/>
        <name val="Calibri"/>
        <scheme val="none"/>
      </font>
      <numFmt numFmtId="1" formatCode="0"/>
    </dxf>
  </rfmt>
  <rfmt sheetId="1" sqref="AO285" start="0" length="0">
    <dxf>
      <font>
        <sz val="11"/>
        <color theme="1"/>
        <name val="Calibri"/>
        <scheme val="none"/>
      </font>
    </dxf>
  </rfmt>
  <rfmt sheetId="1" sqref="AP285" start="0" length="0">
    <dxf>
      <font>
        <sz val="11"/>
        <color theme="1"/>
        <name val="Calibri"/>
        <scheme val="none"/>
      </font>
    </dxf>
  </rfmt>
  <rfmt sheetId="1" sqref="AQ285" start="0" length="0">
    <dxf>
      <font>
        <sz val="11"/>
        <color theme="1"/>
        <name val="Calibri"/>
        <scheme val="none"/>
      </font>
      <numFmt numFmtId="164" formatCode="_-* #,##0_-;\-* #,##0_-;_-* &quot;-&quot;??_-;_-@_-"/>
    </dxf>
  </rfmt>
  <rfmt sheetId="1" sqref="AR285" start="0" length="0">
    <dxf>
      <font>
        <sz val="11"/>
        <color theme="1"/>
        <name val="Calibri"/>
        <scheme val="none"/>
      </font>
      <numFmt numFmtId="164" formatCode="_-* #,##0_-;\-* #,##0_-;_-* &quot;-&quot;??_-;_-@_-"/>
    </dxf>
  </rfmt>
  <rfmt sheetId="1" sqref="AS285" start="0" length="0">
    <dxf>
      <font>
        <sz val="11"/>
        <color theme="1"/>
        <name val="Calibri"/>
        <scheme val="none"/>
      </font>
      <numFmt numFmtId="164" formatCode="_-* #,##0_-;\-* #,##0_-;_-* &quot;-&quot;??_-;_-@_-"/>
    </dxf>
  </rfmt>
  <rfmt sheetId="1" sqref="AT285" start="0" length="0">
    <dxf>
      <font>
        <sz val="11"/>
        <color theme="1"/>
        <name val="Calibri"/>
        <scheme val="none"/>
      </font>
      <numFmt numFmtId="164" formatCode="_-* #,##0_-;\-* #,##0_-;_-* &quot;-&quot;??_-;_-@_-"/>
    </dxf>
  </rfmt>
  <rfmt sheetId="1" sqref="AU285" start="0" length="0">
    <dxf>
      <font>
        <sz val="11"/>
        <color theme="1"/>
        <name val="Calibri"/>
        <scheme val="none"/>
      </font>
    </dxf>
  </rfmt>
  <rfmt sheetId="1" sqref="AV285" start="0" length="0">
    <dxf>
      <font>
        <sz val="11"/>
        <color theme="1"/>
        <name val="Calibri"/>
        <scheme val="none"/>
      </font>
    </dxf>
  </rfmt>
  <rfmt sheetId="1" sqref="AW285" start="0" length="0">
    <dxf>
      <font>
        <sz val="11"/>
        <color theme="1"/>
        <name val="Calibri"/>
        <scheme val="none"/>
      </font>
    </dxf>
  </rfmt>
  <rfmt sheetId="1" sqref="AX285" start="0" length="0">
    <dxf>
      <font>
        <sz val="11"/>
        <color theme="1"/>
        <name val="Calibri"/>
        <scheme val="none"/>
      </font>
    </dxf>
  </rfmt>
  <rfmt sheetId="1" sqref="AY285" start="0" length="0">
    <dxf>
      <font>
        <sz val="11"/>
        <color theme="1"/>
        <name val="Calibri"/>
        <scheme val="none"/>
      </font>
    </dxf>
  </rfmt>
  <rfmt sheetId="1" sqref="A285:XFD285" start="0" length="0">
    <dxf>
      <font>
        <sz val="11"/>
        <color theme="1"/>
        <name val="Calibri"/>
        <scheme val="none"/>
      </font>
    </dxf>
  </rfmt>
  <rfmt sheetId="1" sqref="A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8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8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86" start="0" length="0">
    <dxf>
      <font>
        <sz val="11"/>
        <color theme="1"/>
        <name val="Calibri"/>
        <scheme val="none"/>
      </font>
    </dxf>
  </rfmt>
  <rfmt sheetId="1" sqref="AM286" start="0" length="0">
    <dxf>
      <font>
        <sz val="11"/>
        <color theme="1"/>
        <name val="Calibri"/>
        <scheme val="none"/>
      </font>
      <numFmt numFmtId="1" formatCode="0"/>
    </dxf>
  </rfmt>
  <rfmt sheetId="1" sqref="AN286" start="0" length="0">
    <dxf>
      <font>
        <sz val="11"/>
        <color theme="1"/>
        <name val="Calibri"/>
        <scheme val="none"/>
      </font>
      <numFmt numFmtId="1" formatCode="0"/>
    </dxf>
  </rfmt>
  <rfmt sheetId="1" sqref="AO286" start="0" length="0">
    <dxf>
      <font>
        <sz val="11"/>
        <color theme="1"/>
        <name val="Calibri"/>
        <scheme val="none"/>
      </font>
    </dxf>
  </rfmt>
  <rfmt sheetId="1" sqref="AP286" start="0" length="0">
    <dxf>
      <font>
        <sz val="11"/>
        <color theme="1"/>
        <name val="Calibri"/>
        <scheme val="none"/>
      </font>
    </dxf>
  </rfmt>
  <rfmt sheetId="1" sqref="AQ286" start="0" length="0">
    <dxf>
      <font>
        <sz val="11"/>
        <color theme="1"/>
        <name val="Calibri"/>
        <scheme val="none"/>
      </font>
      <numFmt numFmtId="164" formatCode="_-* #,##0_-;\-* #,##0_-;_-* &quot;-&quot;??_-;_-@_-"/>
    </dxf>
  </rfmt>
  <rfmt sheetId="1" sqref="AR286" start="0" length="0">
    <dxf>
      <font>
        <sz val="11"/>
        <color theme="1"/>
        <name val="Calibri"/>
        <scheme val="none"/>
      </font>
      <numFmt numFmtId="164" formatCode="_-* #,##0_-;\-* #,##0_-;_-* &quot;-&quot;??_-;_-@_-"/>
    </dxf>
  </rfmt>
  <rfmt sheetId="1" sqref="AS286" start="0" length="0">
    <dxf>
      <font>
        <sz val="11"/>
        <color theme="1"/>
        <name val="Calibri"/>
        <scheme val="none"/>
      </font>
      <numFmt numFmtId="164" formatCode="_-* #,##0_-;\-* #,##0_-;_-* &quot;-&quot;??_-;_-@_-"/>
    </dxf>
  </rfmt>
  <rfmt sheetId="1" sqref="AT286" start="0" length="0">
    <dxf>
      <font>
        <sz val="11"/>
        <color theme="1"/>
        <name val="Calibri"/>
        <scheme val="none"/>
      </font>
      <numFmt numFmtId="164" formatCode="_-* #,##0_-;\-* #,##0_-;_-* &quot;-&quot;??_-;_-@_-"/>
    </dxf>
  </rfmt>
  <rfmt sheetId="1" sqref="AU286" start="0" length="0">
    <dxf>
      <font>
        <sz val="11"/>
        <color theme="1"/>
        <name val="Calibri"/>
        <scheme val="none"/>
      </font>
    </dxf>
  </rfmt>
  <rfmt sheetId="1" sqref="AV286" start="0" length="0">
    <dxf>
      <font>
        <sz val="11"/>
        <color theme="1"/>
        <name val="Calibri"/>
        <scheme val="none"/>
      </font>
    </dxf>
  </rfmt>
  <rfmt sheetId="1" sqref="AW286" start="0" length="0">
    <dxf>
      <font>
        <sz val="11"/>
        <color theme="1"/>
        <name val="Calibri"/>
        <scheme val="none"/>
      </font>
    </dxf>
  </rfmt>
  <rfmt sheetId="1" sqref="AX286" start="0" length="0">
    <dxf>
      <font>
        <sz val="11"/>
        <color theme="1"/>
        <name val="Calibri"/>
        <scheme val="none"/>
      </font>
    </dxf>
  </rfmt>
  <rfmt sheetId="1" sqref="AY286" start="0" length="0">
    <dxf>
      <font>
        <sz val="11"/>
        <color theme="1"/>
        <name val="Calibri"/>
        <scheme val="none"/>
      </font>
    </dxf>
  </rfmt>
  <rfmt sheetId="1" sqref="A286:XFD286" start="0" length="0">
    <dxf>
      <font>
        <sz val="11"/>
        <color theme="1"/>
        <name val="Calibri"/>
        <scheme val="none"/>
      </font>
    </dxf>
  </rfmt>
  <rfmt sheetId="1" sqref="A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8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8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87" start="0" length="0">
    <dxf>
      <font>
        <sz val="11"/>
        <color theme="1"/>
        <name val="Calibri"/>
        <scheme val="none"/>
      </font>
    </dxf>
  </rfmt>
  <rfmt sheetId="1" sqref="AM287" start="0" length="0">
    <dxf>
      <font>
        <sz val="11"/>
        <color theme="1"/>
        <name val="Calibri"/>
        <scheme val="none"/>
      </font>
      <numFmt numFmtId="1" formatCode="0"/>
    </dxf>
  </rfmt>
  <rfmt sheetId="1" sqref="AN287" start="0" length="0">
    <dxf>
      <font>
        <sz val="11"/>
        <color theme="1"/>
        <name val="Calibri"/>
        <scheme val="none"/>
      </font>
      <numFmt numFmtId="1" formatCode="0"/>
    </dxf>
  </rfmt>
  <rfmt sheetId="1" sqref="AO287" start="0" length="0">
    <dxf>
      <font>
        <sz val="11"/>
        <color theme="1"/>
        <name val="Calibri"/>
        <scheme val="none"/>
      </font>
    </dxf>
  </rfmt>
  <rfmt sheetId="1" sqref="AP287" start="0" length="0">
    <dxf>
      <font>
        <sz val="11"/>
        <color theme="1"/>
        <name val="Calibri"/>
        <scheme val="none"/>
      </font>
    </dxf>
  </rfmt>
  <rfmt sheetId="1" sqref="AQ287" start="0" length="0">
    <dxf>
      <font>
        <sz val="11"/>
        <color theme="1"/>
        <name val="Calibri"/>
        <scheme val="none"/>
      </font>
      <numFmt numFmtId="164" formatCode="_-* #,##0_-;\-* #,##0_-;_-* &quot;-&quot;??_-;_-@_-"/>
    </dxf>
  </rfmt>
  <rfmt sheetId="1" sqref="AR287" start="0" length="0">
    <dxf>
      <font>
        <sz val="11"/>
        <color theme="1"/>
        <name val="Calibri"/>
        <scheme val="none"/>
      </font>
      <numFmt numFmtId="164" formatCode="_-* #,##0_-;\-* #,##0_-;_-* &quot;-&quot;??_-;_-@_-"/>
    </dxf>
  </rfmt>
  <rfmt sheetId="1" sqref="AS287" start="0" length="0">
    <dxf>
      <font>
        <sz val="11"/>
        <color theme="1"/>
        <name val="Calibri"/>
        <scheme val="none"/>
      </font>
      <numFmt numFmtId="164" formatCode="_-* #,##0_-;\-* #,##0_-;_-* &quot;-&quot;??_-;_-@_-"/>
    </dxf>
  </rfmt>
  <rfmt sheetId="1" sqref="AT287" start="0" length="0">
    <dxf>
      <font>
        <sz val="11"/>
        <color theme="1"/>
        <name val="Calibri"/>
        <scheme val="none"/>
      </font>
      <numFmt numFmtId="164" formatCode="_-* #,##0_-;\-* #,##0_-;_-* &quot;-&quot;??_-;_-@_-"/>
    </dxf>
  </rfmt>
  <rfmt sheetId="1" sqref="AU287" start="0" length="0">
    <dxf>
      <font>
        <sz val="11"/>
        <color theme="1"/>
        <name val="Calibri"/>
        <scheme val="none"/>
      </font>
    </dxf>
  </rfmt>
  <rfmt sheetId="1" sqref="AV287" start="0" length="0">
    <dxf>
      <font>
        <sz val="11"/>
        <color theme="1"/>
        <name val="Calibri"/>
        <scheme val="none"/>
      </font>
    </dxf>
  </rfmt>
  <rfmt sheetId="1" sqref="AW287" start="0" length="0">
    <dxf>
      <font>
        <sz val="11"/>
        <color theme="1"/>
        <name val="Calibri"/>
        <scheme val="none"/>
      </font>
    </dxf>
  </rfmt>
  <rfmt sheetId="1" sqref="AX287" start="0" length="0">
    <dxf>
      <font>
        <sz val="11"/>
        <color theme="1"/>
        <name val="Calibri"/>
        <scheme val="none"/>
      </font>
    </dxf>
  </rfmt>
  <rfmt sheetId="1" sqref="AY287" start="0" length="0">
    <dxf>
      <font>
        <sz val="11"/>
        <color theme="1"/>
        <name val="Calibri"/>
        <scheme val="none"/>
      </font>
    </dxf>
  </rfmt>
  <rfmt sheetId="1" sqref="A287:XFD287" start="0" length="0">
    <dxf>
      <font>
        <sz val="11"/>
        <color theme="1"/>
        <name val="Calibri"/>
        <scheme val="none"/>
      </font>
    </dxf>
  </rfmt>
  <rfmt sheetId="1" sqref="A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8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8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88" start="0" length="0">
    <dxf>
      <font>
        <sz val="11"/>
        <color theme="1"/>
        <name val="Calibri"/>
        <scheme val="none"/>
      </font>
    </dxf>
  </rfmt>
  <rfmt sheetId="1" sqref="AM288" start="0" length="0">
    <dxf>
      <font>
        <sz val="11"/>
        <color theme="1"/>
        <name val="Calibri"/>
        <scheme val="none"/>
      </font>
      <numFmt numFmtId="1" formatCode="0"/>
    </dxf>
  </rfmt>
  <rfmt sheetId="1" sqref="AN288" start="0" length="0">
    <dxf>
      <font>
        <sz val="11"/>
        <color theme="1"/>
        <name val="Calibri"/>
        <scheme val="none"/>
      </font>
      <numFmt numFmtId="1" formatCode="0"/>
    </dxf>
  </rfmt>
  <rfmt sheetId="1" sqref="AO288" start="0" length="0">
    <dxf>
      <font>
        <sz val="11"/>
        <color theme="1"/>
        <name val="Calibri"/>
        <scheme val="none"/>
      </font>
    </dxf>
  </rfmt>
  <rfmt sheetId="1" sqref="AP288" start="0" length="0">
    <dxf>
      <font>
        <sz val="11"/>
        <color theme="1"/>
        <name val="Calibri"/>
        <scheme val="none"/>
      </font>
    </dxf>
  </rfmt>
  <rfmt sheetId="1" sqref="AQ288" start="0" length="0">
    <dxf>
      <font>
        <sz val="11"/>
        <color theme="1"/>
        <name val="Calibri"/>
        <scheme val="none"/>
      </font>
      <numFmt numFmtId="164" formatCode="_-* #,##0_-;\-* #,##0_-;_-* &quot;-&quot;??_-;_-@_-"/>
    </dxf>
  </rfmt>
  <rfmt sheetId="1" sqref="AR288" start="0" length="0">
    <dxf>
      <font>
        <sz val="11"/>
        <color theme="1"/>
        <name val="Calibri"/>
        <scheme val="none"/>
      </font>
      <numFmt numFmtId="164" formatCode="_-* #,##0_-;\-* #,##0_-;_-* &quot;-&quot;??_-;_-@_-"/>
    </dxf>
  </rfmt>
  <rfmt sheetId="1" sqref="AS288" start="0" length="0">
    <dxf>
      <font>
        <sz val="11"/>
        <color theme="1"/>
        <name val="Calibri"/>
        <scheme val="none"/>
      </font>
      <numFmt numFmtId="164" formatCode="_-* #,##0_-;\-* #,##0_-;_-* &quot;-&quot;??_-;_-@_-"/>
    </dxf>
  </rfmt>
  <rfmt sheetId="1" sqref="AT288" start="0" length="0">
    <dxf>
      <font>
        <sz val="11"/>
        <color theme="1"/>
        <name val="Calibri"/>
        <scheme val="none"/>
      </font>
      <numFmt numFmtId="164" formatCode="_-* #,##0_-;\-* #,##0_-;_-* &quot;-&quot;??_-;_-@_-"/>
    </dxf>
  </rfmt>
  <rfmt sheetId="1" sqref="AU288" start="0" length="0">
    <dxf>
      <font>
        <sz val="11"/>
        <color theme="1"/>
        <name val="Calibri"/>
        <scheme val="none"/>
      </font>
    </dxf>
  </rfmt>
  <rfmt sheetId="1" sqref="AV288" start="0" length="0">
    <dxf>
      <font>
        <sz val="11"/>
        <color theme="1"/>
        <name val="Calibri"/>
        <scheme val="none"/>
      </font>
    </dxf>
  </rfmt>
  <rfmt sheetId="1" sqref="AW288" start="0" length="0">
    <dxf>
      <font>
        <sz val="11"/>
        <color theme="1"/>
        <name val="Calibri"/>
        <scheme val="none"/>
      </font>
    </dxf>
  </rfmt>
  <rfmt sheetId="1" sqref="AX288" start="0" length="0">
    <dxf>
      <font>
        <sz val="11"/>
        <color theme="1"/>
        <name val="Calibri"/>
        <scheme val="none"/>
      </font>
    </dxf>
  </rfmt>
  <rfmt sheetId="1" sqref="AY288" start="0" length="0">
    <dxf>
      <font>
        <sz val="11"/>
        <color theme="1"/>
        <name val="Calibri"/>
        <scheme val="none"/>
      </font>
    </dxf>
  </rfmt>
  <rfmt sheetId="1" sqref="A288:XFD288" start="0" length="0">
    <dxf>
      <font>
        <sz val="11"/>
        <color theme="1"/>
        <name val="Calibri"/>
        <scheme val="none"/>
      </font>
    </dxf>
  </rfmt>
  <rfmt sheetId="1" sqref="A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8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8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89" start="0" length="0">
    <dxf>
      <font>
        <sz val="11"/>
        <color theme="1"/>
        <name val="Calibri"/>
        <scheme val="none"/>
      </font>
    </dxf>
  </rfmt>
  <rfmt sheetId="1" sqref="AM289" start="0" length="0">
    <dxf>
      <font>
        <sz val="11"/>
        <color theme="1"/>
        <name val="Calibri"/>
        <scheme val="none"/>
      </font>
      <numFmt numFmtId="1" formatCode="0"/>
    </dxf>
  </rfmt>
  <rfmt sheetId="1" sqref="AN289" start="0" length="0">
    <dxf>
      <font>
        <sz val="11"/>
        <color theme="1"/>
        <name val="Calibri"/>
        <scheme val="none"/>
      </font>
      <numFmt numFmtId="1" formatCode="0"/>
    </dxf>
  </rfmt>
  <rfmt sheetId="1" sqref="AO289" start="0" length="0">
    <dxf>
      <font>
        <sz val="11"/>
        <color theme="1"/>
        <name val="Calibri"/>
        <scheme val="none"/>
      </font>
    </dxf>
  </rfmt>
  <rfmt sheetId="1" sqref="AP289" start="0" length="0">
    <dxf>
      <font>
        <sz val="11"/>
        <color theme="1"/>
        <name val="Calibri"/>
        <scheme val="none"/>
      </font>
    </dxf>
  </rfmt>
  <rfmt sheetId="1" sqref="AQ289" start="0" length="0">
    <dxf>
      <font>
        <sz val="11"/>
        <color theme="1"/>
        <name val="Calibri"/>
        <scheme val="none"/>
      </font>
      <numFmt numFmtId="164" formatCode="_-* #,##0_-;\-* #,##0_-;_-* &quot;-&quot;??_-;_-@_-"/>
    </dxf>
  </rfmt>
  <rfmt sheetId="1" sqref="AR289" start="0" length="0">
    <dxf>
      <font>
        <sz val="11"/>
        <color theme="1"/>
        <name val="Calibri"/>
        <scheme val="none"/>
      </font>
      <numFmt numFmtId="164" formatCode="_-* #,##0_-;\-* #,##0_-;_-* &quot;-&quot;??_-;_-@_-"/>
    </dxf>
  </rfmt>
  <rfmt sheetId="1" sqref="AS289" start="0" length="0">
    <dxf>
      <font>
        <sz val="11"/>
        <color theme="1"/>
        <name val="Calibri"/>
        <scheme val="none"/>
      </font>
      <numFmt numFmtId="164" formatCode="_-* #,##0_-;\-* #,##0_-;_-* &quot;-&quot;??_-;_-@_-"/>
    </dxf>
  </rfmt>
  <rfmt sheetId="1" sqref="AT289" start="0" length="0">
    <dxf>
      <font>
        <sz val="11"/>
        <color theme="1"/>
        <name val="Calibri"/>
        <scheme val="none"/>
      </font>
      <numFmt numFmtId="164" formatCode="_-* #,##0_-;\-* #,##0_-;_-* &quot;-&quot;??_-;_-@_-"/>
    </dxf>
  </rfmt>
  <rfmt sheetId="1" sqref="AU289" start="0" length="0">
    <dxf>
      <font>
        <sz val="11"/>
        <color theme="1"/>
        <name val="Calibri"/>
        <scheme val="none"/>
      </font>
    </dxf>
  </rfmt>
  <rfmt sheetId="1" sqref="AV289" start="0" length="0">
    <dxf>
      <font>
        <sz val="11"/>
        <color theme="1"/>
        <name val="Calibri"/>
        <scheme val="none"/>
      </font>
    </dxf>
  </rfmt>
  <rfmt sheetId="1" sqref="AW289" start="0" length="0">
    <dxf>
      <font>
        <sz val="11"/>
        <color theme="1"/>
        <name val="Calibri"/>
        <scheme val="none"/>
      </font>
    </dxf>
  </rfmt>
  <rfmt sheetId="1" sqref="AX289" start="0" length="0">
    <dxf>
      <font>
        <sz val="11"/>
        <color theme="1"/>
        <name val="Calibri"/>
        <scheme val="none"/>
      </font>
    </dxf>
  </rfmt>
  <rfmt sheetId="1" sqref="AY289" start="0" length="0">
    <dxf>
      <font>
        <sz val="11"/>
        <color theme="1"/>
        <name val="Calibri"/>
        <scheme val="none"/>
      </font>
    </dxf>
  </rfmt>
  <rfmt sheetId="1" sqref="A289:XFD289" start="0" length="0">
    <dxf>
      <font>
        <sz val="11"/>
        <color theme="1"/>
        <name val="Calibri"/>
        <scheme val="none"/>
      </font>
    </dxf>
  </rfmt>
  <rfmt sheetId="1" sqref="A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9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9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90" start="0" length="0">
    <dxf>
      <font>
        <sz val="11"/>
        <color theme="1"/>
        <name val="Calibri"/>
        <scheme val="none"/>
      </font>
    </dxf>
  </rfmt>
  <rfmt sheetId="1" sqref="AM290" start="0" length="0">
    <dxf>
      <font>
        <sz val="11"/>
        <color theme="1"/>
        <name val="Calibri"/>
        <scheme val="none"/>
      </font>
      <numFmt numFmtId="1" formatCode="0"/>
    </dxf>
  </rfmt>
  <rfmt sheetId="1" sqref="AN290" start="0" length="0">
    <dxf>
      <font>
        <sz val="11"/>
        <color theme="1"/>
        <name val="Calibri"/>
        <scheme val="none"/>
      </font>
      <numFmt numFmtId="1" formatCode="0"/>
    </dxf>
  </rfmt>
  <rfmt sheetId="1" sqref="AO290" start="0" length="0">
    <dxf>
      <font>
        <sz val="11"/>
        <color theme="1"/>
        <name val="Calibri"/>
        <scheme val="none"/>
      </font>
    </dxf>
  </rfmt>
  <rfmt sheetId="1" sqref="AP290" start="0" length="0">
    <dxf>
      <font>
        <sz val="11"/>
        <color theme="1"/>
        <name val="Calibri"/>
        <scheme val="none"/>
      </font>
    </dxf>
  </rfmt>
  <rfmt sheetId="1" sqref="AQ290" start="0" length="0">
    <dxf>
      <font>
        <sz val="11"/>
        <color theme="1"/>
        <name val="Calibri"/>
        <scheme val="none"/>
      </font>
      <numFmt numFmtId="164" formatCode="_-* #,##0_-;\-* #,##0_-;_-* &quot;-&quot;??_-;_-@_-"/>
    </dxf>
  </rfmt>
  <rfmt sheetId="1" sqref="AR290" start="0" length="0">
    <dxf>
      <font>
        <sz val="11"/>
        <color theme="1"/>
        <name val="Calibri"/>
        <scheme val="none"/>
      </font>
      <numFmt numFmtId="164" formatCode="_-* #,##0_-;\-* #,##0_-;_-* &quot;-&quot;??_-;_-@_-"/>
    </dxf>
  </rfmt>
  <rfmt sheetId="1" sqref="AS290" start="0" length="0">
    <dxf>
      <font>
        <sz val="11"/>
        <color theme="1"/>
        <name val="Calibri"/>
        <scheme val="none"/>
      </font>
      <numFmt numFmtId="164" formatCode="_-* #,##0_-;\-* #,##0_-;_-* &quot;-&quot;??_-;_-@_-"/>
    </dxf>
  </rfmt>
  <rfmt sheetId="1" sqref="AT290" start="0" length="0">
    <dxf>
      <font>
        <sz val="11"/>
        <color theme="1"/>
        <name val="Calibri"/>
        <scheme val="none"/>
      </font>
      <numFmt numFmtId="164" formatCode="_-* #,##0_-;\-* #,##0_-;_-* &quot;-&quot;??_-;_-@_-"/>
    </dxf>
  </rfmt>
  <rfmt sheetId="1" sqref="AU290" start="0" length="0">
    <dxf>
      <font>
        <sz val="11"/>
        <color theme="1"/>
        <name val="Calibri"/>
        <scheme val="none"/>
      </font>
    </dxf>
  </rfmt>
  <rfmt sheetId="1" sqref="AV290" start="0" length="0">
    <dxf>
      <font>
        <sz val="11"/>
        <color theme="1"/>
        <name val="Calibri"/>
        <scheme val="none"/>
      </font>
    </dxf>
  </rfmt>
  <rfmt sheetId="1" sqref="AW290" start="0" length="0">
    <dxf>
      <font>
        <sz val="11"/>
        <color theme="1"/>
        <name val="Calibri"/>
        <scheme val="none"/>
      </font>
    </dxf>
  </rfmt>
  <rfmt sheetId="1" sqref="AX290" start="0" length="0">
    <dxf>
      <font>
        <sz val="11"/>
        <color theme="1"/>
        <name val="Calibri"/>
        <scheme val="none"/>
      </font>
    </dxf>
  </rfmt>
  <rfmt sheetId="1" sqref="AY290" start="0" length="0">
    <dxf>
      <font>
        <sz val="11"/>
        <color theme="1"/>
        <name val="Calibri"/>
        <scheme val="none"/>
      </font>
    </dxf>
  </rfmt>
  <rfmt sheetId="1" sqref="A290:XFD290" start="0" length="0">
    <dxf>
      <font>
        <sz val="11"/>
        <color theme="1"/>
        <name val="Calibri"/>
        <scheme val="none"/>
      </font>
    </dxf>
  </rfmt>
  <rfmt sheetId="1" sqref="A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9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9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91" start="0" length="0">
    <dxf>
      <font>
        <sz val="11"/>
        <color theme="1"/>
        <name val="Calibri"/>
        <scheme val="none"/>
      </font>
    </dxf>
  </rfmt>
  <rfmt sheetId="1" sqref="AM291" start="0" length="0">
    <dxf>
      <font>
        <sz val="11"/>
        <color theme="1"/>
        <name val="Calibri"/>
        <scheme val="none"/>
      </font>
      <numFmt numFmtId="1" formatCode="0"/>
    </dxf>
  </rfmt>
  <rfmt sheetId="1" sqref="AN291" start="0" length="0">
    <dxf>
      <font>
        <sz val="11"/>
        <color theme="1"/>
        <name val="Calibri"/>
        <scheme val="none"/>
      </font>
      <numFmt numFmtId="1" formatCode="0"/>
    </dxf>
  </rfmt>
  <rfmt sheetId="1" sqref="AO291" start="0" length="0">
    <dxf>
      <font>
        <sz val="11"/>
        <color theme="1"/>
        <name val="Calibri"/>
        <scheme val="none"/>
      </font>
    </dxf>
  </rfmt>
  <rfmt sheetId="1" sqref="AP291" start="0" length="0">
    <dxf>
      <font>
        <sz val="11"/>
        <color theme="1"/>
        <name val="Calibri"/>
        <scheme val="none"/>
      </font>
    </dxf>
  </rfmt>
  <rfmt sheetId="1" sqref="AQ291" start="0" length="0">
    <dxf>
      <font>
        <sz val="11"/>
        <color theme="1"/>
        <name val="Calibri"/>
        <scheme val="none"/>
      </font>
      <numFmt numFmtId="164" formatCode="_-* #,##0_-;\-* #,##0_-;_-* &quot;-&quot;??_-;_-@_-"/>
    </dxf>
  </rfmt>
  <rfmt sheetId="1" sqref="AR291" start="0" length="0">
    <dxf>
      <font>
        <sz val="11"/>
        <color theme="1"/>
        <name val="Calibri"/>
        <scheme val="none"/>
      </font>
      <numFmt numFmtId="164" formatCode="_-* #,##0_-;\-* #,##0_-;_-* &quot;-&quot;??_-;_-@_-"/>
    </dxf>
  </rfmt>
  <rfmt sheetId="1" sqref="AS291" start="0" length="0">
    <dxf>
      <font>
        <sz val="11"/>
        <color theme="1"/>
        <name val="Calibri"/>
        <scheme val="none"/>
      </font>
      <numFmt numFmtId="164" formatCode="_-* #,##0_-;\-* #,##0_-;_-* &quot;-&quot;??_-;_-@_-"/>
    </dxf>
  </rfmt>
  <rfmt sheetId="1" sqref="AT291" start="0" length="0">
    <dxf>
      <font>
        <sz val="11"/>
        <color theme="1"/>
        <name val="Calibri"/>
        <scheme val="none"/>
      </font>
      <numFmt numFmtId="164" formatCode="_-* #,##0_-;\-* #,##0_-;_-* &quot;-&quot;??_-;_-@_-"/>
    </dxf>
  </rfmt>
  <rfmt sheetId="1" sqref="AU291" start="0" length="0">
    <dxf>
      <font>
        <sz val="11"/>
        <color theme="1"/>
        <name val="Calibri"/>
        <scheme val="none"/>
      </font>
    </dxf>
  </rfmt>
  <rfmt sheetId="1" sqref="AV291" start="0" length="0">
    <dxf>
      <font>
        <sz val="11"/>
        <color theme="1"/>
        <name val="Calibri"/>
        <scheme val="none"/>
      </font>
    </dxf>
  </rfmt>
  <rfmt sheetId="1" sqref="AW291" start="0" length="0">
    <dxf>
      <font>
        <sz val="11"/>
        <color theme="1"/>
        <name val="Calibri"/>
        <scheme val="none"/>
      </font>
    </dxf>
  </rfmt>
  <rfmt sheetId="1" sqref="AX291" start="0" length="0">
    <dxf>
      <font>
        <sz val="11"/>
        <color theme="1"/>
        <name val="Calibri"/>
        <scheme val="none"/>
      </font>
    </dxf>
  </rfmt>
  <rfmt sheetId="1" sqref="AY291" start="0" length="0">
    <dxf>
      <font>
        <sz val="11"/>
        <color theme="1"/>
        <name val="Calibri"/>
        <scheme val="none"/>
      </font>
    </dxf>
  </rfmt>
  <rfmt sheetId="1" sqref="A291:XFD291" start="0" length="0">
    <dxf>
      <font>
        <sz val="11"/>
        <color theme="1"/>
        <name val="Calibri"/>
        <scheme val="none"/>
      </font>
    </dxf>
  </rfmt>
  <rfmt sheetId="1" sqref="A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9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9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92" start="0" length="0">
    <dxf>
      <font>
        <sz val="11"/>
        <color theme="1"/>
        <name val="Calibri"/>
        <scheme val="none"/>
      </font>
    </dxf>
  </rfmt>
  <rfmt sheetId="1" sqref="AM292" start="0" length="0">
    <dxf>
      <font>
        <sz val="11"/>
        <color theme="1"/>
        <name val="Calibri"/>
        <scheme val="none"/>
      </font>
      <numFmt numFmtId="1" formatCode="0"/>
    </dxf>
  </rfmt>
  <rfmt sheetId="1" sqref="AN292" start="0" length="0">
    <dxf>
      <font>
        <sz val="11"/>
        <color theme="1"/>
        <name val="Calibri"/>
        <scheme val="none"/>
      </font>
      <numFmt numFmtId="1" formatCode="0"/>
    </dxf>
  </rfmt>
  <rfmt sheetId="1" sqref="AO292" start="0" length="0">
    <dxf>
      <font>
        <sz val="11"/>
        <color theme="1"/>
        <name val="Calibri"/>
        <scheme val="none"/>
      </font>
    </dxf>
  </rfmt>
  <rfmt sheetId="1" sqref="AP292" start="0" length="0">
    <dxf>
      <font>
        <sz val="11"/>
        <color theme="1"/>
        <name val="Calibri"/>
        <scheme val="none"/>
      </font>
    </dxf>
  </rfmt>
  <rfmt sheetId="1" sqref="AQ292" start="0" length="0">
    <dxf>
      <font>
        <sz val="11"/>
        <color theme="1"/>
        <name val="Calibri"/>
        <scheme val="none"/>
      </font>
      <numFmt numFmtId="164" formatCode="_-* #,##0_-;\-* #,##0_-;_-* &quot;-&quot;??_-;_-@_-"/>
    </dxf>
  </rfmt>
  <rfmt sheetId="1" sqref="AR292" start="0" length="0">
    <dxf>
      <font>
        <sz val="11"/>
        <color theme="1"/>
        <name val="Calibri"/>
        <scheme val="none"/>
      </font>
      <numFmt numFmtId="164" formatCode="_-* #,##0_-;\-* #,##0_-;_-* &quot;-&quot;??_-;_-@_-"/>
    </dxf>
  </rfmt>
  <rfmt sheetId="1" sqref="AS292" start="0" length="0">
    <dxf>
      <font>
        <sz val="11"/>
        <color theme="1"/>
        <name val="Calibri"/>
        <scheme val="none"/>
      </font>
      <numFmt numFmtId="164" formatCode="_-* #,##0_-;\-* #,##0_-;_-* &quot;-&quot;??_-;_-@_-"/>
    </dxf>
  </rfmt>
  <rfmt sheetId="1" sqref="AT292" start="0" length="0">
    <dxf>
      <font>
        <sz val="11"/>
        <color theme="1"/>
        <name val="Calibri"/>
        <scheme val="none"/>
      </font>
      <numFmt numFmtId="164" formatCode="_-* #,##0_-;\-* #,##0_-;_-* &quot;-&quot;??_-;_-@_-"/>
    </dxf>
  </rfmt>
  <rfmt sheetId="1" sqref="AU292" start="0" length="0">
    <dxf>
      <font>
        <sz val="11"/>
        <color theme="1"/>
        <name val="Calibri"/>
        <scheme val="none"/>
      </font>
    </dxf>
  </rfmt>
  <rfmt sheetId="1" sqref="AV292" start="0" length="0">
    <dxf>
      <font>
        <sz val="11"/>
        <color theme="1"/>
        <name val="Calibri"/>
        <scheme val="none"/>
      </font>
    </dxf>
  </rfmt>
  <rfmt sheetId="1" sqref="AW292" start="0" length="0">
    <dxf>
      <font>
        <sz val="11"/>
        <color theme="1"/>
        <name val="Calibri"/>
        <scheme val="none"/>
      </font>
    </dxf>
  </rfmt>
  <rfmt sheetId="1" sqref="AX292" start="0" length="0">
    <dxf>
      <font>
        <sz val="11"/>
        <color theme="1"/>
        <name val="Calibri"/>
        <scheme val="none"/>
      </font>
    </dxf>
  </rfmt>
  <rfmt sheetId="1" sqref="AY292" start="0" length="0">
    <dxf>
      <font>
        <sz val="11"/>
        <color theme="1"/>
        <name val="Calibri"/>
        <scheme val="none"/>
      </font>
    </dxf>
  </rfmt>
  <rfmt sheetId="1" sqref="A292:XFD292" start="0" length="0">
    <dxf>
      <font>
        <sz val="11"/>
        <color theme="1"/>
        <name val="Calibri"/>
        <scheme val="none"/>
      </font>
    </dxf>
  </rfmt>
  <rfmt sheetId="1" sqref="A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9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9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93" start="0" length="0">
    <dxf>
      <font>
        <sz val="11"/>
        <color theme="1"/>
        <name val="Calibri"/>
        <scheme val="none"/>
      </font>
    </dxf>
  </rfmt>
  <rfmt sheetId="1" sqref="AM293" start="0" length="0">
    <dxf>
      <font>
        <sz val="11"/>
        <color theme="1"/>
        <name val="Calibri"/>
        <scheme val="none"/>
      </font>
      <numFmt numFmtId="1" formatCode="0"/>
    </dxf>
  </rfmt>
  <rfmt sheetId="1" sqref="AN293" start="0" length="0">
    <dxf>
      <font>
        <sz val="11"/>
        <color theme="1"/>
        <name val="Calibri"/>
        <scheme val="none"/>
      </font>
      <numFmt numFmtId="1" formatCode="0"/>
    </dxf>
  </rfmt>
  <rfmt sheetId="1" sqref="AO293" start="0" length="0">
    <dxf>
      <font>
        <sz val="11"/>
        <color theme="1"/>
        <name val="Calibri"/>
        <scheme val="none"/>
      </font>
    </dxf>
  </rfmt>
  <rfmt sheetId="1" sqref="AP293" start="0" length="0">
    <dxf>
      <font>
        <sz val="11"/>
        <color theme="1"/>
        <name val="Calibri"/>
        <scheme val="none"/>
      </font>
    </dxf>
  </rfmt>
  <rfmt sheetId="1" sqref="AQ293" start="0" length="0">
    <dxf>
      <font>
        <sz val="11"/>
        <color theme="1"/>
        <name val="Calibri"/>
        <scheme val="none"/>
      </font>
      <numFmt numFmtId="164" formatCode="_-* #,##0_-;\-* #,##0_-;_-* &quot;-&quot;??_-;_-@_-"/>
    </dxf>
  </rfmt>
  <rfmt sheetId="1" sqref="AR293" start="0" length="0">
    <dxf>
      <font>
        <sz val="11"/>
        <color theme="1"/>
        <name val="Calibri"/>
        <scheme val="none"/>
      </font>
      <numFmt numFmtId="164" formatCode="_-* #,##0_-;\-* #,##0_-;_-* &quot;-&quot;??_-;_-@_-"/>
    </dxf>
  </rfmt>
  <rfmt sheetId="1" sqref="AS293" start="0" length="0">
    <dxf>
      <font>
        <sz val="11"/>
        <color theme="1"/>
        <name val="Calibri"/>
        <scheme val="none"/>
      </font>
      <numFmt numFmtId="164" formatCode="_-* #,##0_-;\-* #,##0_-;_-* &quot;-&quot;??_-;_-@_-"/>
    </dxf>
  </rfmt>
  <rfmt sheetId="1" sqref="AT293" start="0" length="0">
    <dxf>
      <font>
        <sz val="11"/>
        <color theme="1"/>
        <name val="Calibri"/>
        <scheme val="none"/>
      </font>
      <numFmt numFmtId="164" formatCode="_-* #,##0_-;\-* #,##0_-;_-* &quot;-&quot;??_-;_-@_-"/>
    </dxf>
  </rfmt>
  <rfmt sheetId="1" sqref="AU293" start="0" length="0">
    <dxf>
      <font>
        <sz val="11"/>
        <color theme="1"/>
        <name val="Calibri"/>
        <scheme val="none"/>
      </font>
    </dxf>
  </rfmt>
  <rfmt sheetId="1" sqref="AV293" start="0" length="0">
    <dxf>
      <font>
        <sz val="11"/>
        <color theme="1"/>
        <name val="Calibri"/>
        <scheme val="none"/>
      </font>
    </dxf>
  </rfmt>
  <rfmt sheetId="1" sqref="AW293" start="0" length="0">
    <dxf>
      <font>
        <sz val="11"/>
        <color theme="1"/>
        <name val="Calibri"/>
        <scheme val="none"/>
      </font>
    </dxf>
  </rfmt>
  <rfmt sheetId="1" sqref="AX293" start="0" length="0">
    <dxf>
      <font>
        <sz val="11"/>
        <color theme="1"/>
        <name val="Calibri"/>
        <scheme val="none"/>
      </font>
    </dxf>
  </rfmt>
  <rfmt sheetId="1" sqref="AY293" start="0" length="0">
    <dxf>
      <font>
        <sz val="11"/>
        <color theme="1"/>
        <name val="Calibri"/>
        <scheme val="none"/>
      </font>
    </dxf>
  </rfmt>
  <rfmt sheetId="1" sqref="A293:XFD293" start="0" length="0">
    <dxf>
      <font>
        <sz val="11"/>
        <color theme="1"/>
        <name val="Calibri"/>
        <scheme val="none"/>
      </font>
    </dxf>
  </rfmt>
  <rfmt sheetId="1" sqref="A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9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9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94" start="0" length="0">
    <dxf>
      <font>
        <sz val="11"/>
        <color theme="1"/>
        <name val="Calibri"/>
        <scheme val="none"/>
      </font>
    </dxf>
  </rfmt>
  <rfmt sheetId="1" sqref="AM294" start="0" length="0">
    <dxf>
      <font>
        <sz val="11"/>
        <color theme="1"/>
        <name val="Calibri"/>
        <scheme val="none"/>
      </font>
      <numFmt numFmtId="1" formatCode="0"/>
    </dxf>
  </rfmt>
  <rfmt sheetId="1" sqref="AN294" start="0" length="0">
    <dxf>
      <font>
        <sz val="11"/>
        <color theme="1"/>
        <name val="Calibri"/>
        <scheme val="none"/>
      </font>
      <numFmt numFmtId="1" formatCode="0"/>
    </dxf>
  </rfmt>
  <rfmt sheetId="1" sqref="AO294" start="0" length="0">
    <dxf>
      <font>
        <sz val="11"/>
        <color theme="1"/>
        <name val="Calibri"/>
        <scheme val="none"/>
      </font>
    </dxf>
  </rfmt>
  <rfmt sheetId="1" sqref="AP294" start="0" length="0">
    <dxf>
      <font>
        <sz val="11"/>
        <color theme="1"/>
        <name val="Calibri"/>
        <scheme val="none"/>
      </font>
    </dxf>
  </rfmt>
  <rfmt sheetId="1" sqref="AQ294" start="0" length="0">
    <dxf>
      <font>
        <sz val="11"/>
        <color theme="1"/>
        <name val="Calibri"/>
        <scheme val="none"/>
      </font>
      <numFmt numFmtId="164" formatCode="_-* #,##0_-;\-* #,##0_-;_-* &quot;-&quot;??_-;_-@_-"/>
    </dxf>
  </rfmt>
  <rfmt sheetId="1" sqref="AR294" start="0" length="0">
    <dxf>
      <font>
        <sz val="11"/>
        <color theme="1"/>
        <name val="Calibri"/>
        <scheme val="none"/>
      </font>
      <numFmt numFmtId="164" formatCode="_-* #,##0_-;\-* #,##0_-;_-* &quot;-&quot;??_-;_-@_-"/>
    </dxf>
  </rfmt>
  <rfmt sheetId="1" sqref="AS294" start="0" length="0">
    <dxf>
      <font>
        <sz val="11"/>
        <color theme="1"/>
        <name val="Calibri"/>
        <scheme val="none"/>
      </font>
      <numFmt numFmtId="164" formatCode="_-* #,##0_-;\-* #,##0_-;_-* &quot;-&quot;??_-;_-@_-"/>
    </dxf>
  </rfmt>
  <rfmt sheetId="1" sqref="AT294" start="0" length="0">
    <dxf>
      <font>
        <sz val="11"/>
        <color theme="1"/>
        <name val="Calibri"/>
        <scheme val="none"/>
      </font>
      <numFmt numFmtId="164" formatCode="_-* #,##0_-;\-* #,##0_-;_-* &quot;-&quot;??_-;_-@_-"/>
    </dxf>
  </rfmt>
  <rfmt sheetId="1" sqref="AU294" start="0" length="0">
    <dxf>
      <font>
        <sz val="11"/>
        <color theme="1"/>
        <name val="Calibri"/>
        <scheme val="none"/>
      </font>
    </dxf>
  </rfmt>
  <rfmt sheetId="1" sqref="AV294" start="0" length="0">
    <dxf>
      <font>
        <sz val="11"/>
        <color theme="1"/>
        <name val="Calibri"/>
        <scheme val="none"/>
      </font>
    </dxf>
  </rfmt>
  <rfmt sheetId="1" sqref="AW294" start="0" length="0">
    <dxf>
      <font>
        <sz val="11"/>
        <color theme="1"/>
        <name val="Calibri"/>
        <scheme val="none"/>
      </font>
    </dxf>
  </rfmt>
  <rfmt sheetId="1" sqref="AX294" start="0" length="0">
    <dxf>
      <font>
        <sz val="11"/>
        <color theme="1"/>
        <name val="Calibri"/>
        <scheme val="none"/>
      </font>
    </dxf>
  </rfmt>
  <rfmt sheetId="1" sqref="AY294" start="0" length="0">
    <dxf>
      <font>
        <sz val="11"/>
        <color theme="1"/>
        <name val="Calibri"/>
        <scheme val="none"/>
      </font>
    </dxf>
  </rfmt>
  <rfmt sheetId="1" sqref="A294:XFD294" start="0" length="0">
    <dxf>
      <font>
        <sz val="11"/>
        <color theme="1"/>
        <name val="Calibri"/>
        <scheme val="none"/>
      </font>
    </dxf>
  </rfmt>
  <rfmt sheetId="1" sqref="A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9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9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95" start="0" length="0">
    <dxf>
      <font>
        <sz val="11"/>
        <color theme="1"/>
        <name val="Calibri"/>
        <scheme val="none"/>
      </font>
    </dxf>
  </rfmt>
  <rfmt sheetId="1" sqref="AM295" start="0" length="0">
    <dxf>
      <font>
        <sz val="11"/>
        <color theme="1"/>
        <name val="Calibri"/>
        <scheme val="none"/>
      </font>
      <numFmt numFmtId="1" formatCode="0"/>
    </dxf>
  </rfmt>
  <rfmt sheetId="1" sqref="AN295" start="0" length="0">
    <dxf>
      <font>
        <sz val="11"/>
        <color theme="1"/>
        <name val="Calibri"/>
        <scheme val="none"/>
      </font>
      <numFmt numFmtId="1" formatCode="0"/>
    </dxf>
  </rfmt>
  <rfmt sheetId="1" sqref="AO295" start="0" length="0">
    <dxf>
      <font>
        <sz val="11"/>
        <color theme="1"/>
        <name val="Calibri"/>
        <scheme val="none"/>
      </font>
    </dxf>
  </rfmt>
  <rfmt sheetId="1" sqref="AP295" start="0" length="0">
    <dxf>
      <font>
        <sz val="11"/>
        <color theme="1"/>
        <name val="Calibri"/>
        <scheme val="none"/>
      </font>
    </dxf>
  </rfmt>
  <rfmt sheetId="1" sqref="AQ295" start="0" length="0">
    <dxf>
      <font>
        <sz val="11"/>
        <color theme="1"/>
        <name val="Calibri"/>
        <scheme val="none"/>
      </font>
      <numFmt numFmtId="164" formatCode="_-* #,##0_-;\-* #,##0_-;_-* &quot;-&quot;??_-;_-@_-"/>
    </dxf>
  </rfmt>
  <rfmt sheetId="1" sqref="AR295" start="0" length="0">
    <dxf>
      <font>
        <sz val="11"/>
        <color theme="1"/>
        <name val="Calibri"/>
        <scheme val="none"/>
      </font>
      <numFmt numFmtId="164" formatCode="_-* #,##0_-;\-* #,##0_-;_-* &quot;-&quot;??_-;_-@_-"/>
    </dxf>
  </rfmt>
  <rfmt sheetId="1" sqref="AS295" start="0" length="0">
    <dxf>
      <font>
        <sz val="11"/>
        <color theme="1"/>
        <name val="Calibri"/>
        <scheme val="none"/>
      </font>
      <numFmt numFmtId="164" formatCode="_-* #,##0_-;\-* #,##0_-;_-* &quot;-&quot;??_-;_-@_-"/>
    </dxf>
  </rfmt>
  <rfmt sheetId="1" sqref="AT295" start="0" length="0">
    <dxf>
      <font>
        <sz val="11"/>
        <color theme="1"/>
        <name val="Calibri"/>
        <scheme val="none"/>
      </font>
      <numFmt numFmtId="164" formatCode="_-* #,##0_-;\-* #,##0_-;_-* &quot;-&quot;??_-;_-@_-"/>
    </dxf>
  </rfmt>
  <rfmt sheetId="1" sqref="AU295" start="0" length="0">
    <dxf>
      <font>
        <sz val="11"/>
        <color theme="1"/>
        <name val="Calibri"/>
        <scheme val="none"/>
      </font>
    </dxf>
  </rfmt>
  <rfmt sheetId="1" sqref="AV295" start="0" length="0">
    <dxf>
      <font>
        <sz val="11"/>
        <color theme="1"/>
        <name val="Calibri"/>
        <scheme val="none"/>
      </font>
    </dxf>
  </rfmt>
  <rfmt sheetId="1" sqref="AW295" start="0" length="0">
    <dxf>
      <font>
        <sz val="11"/>
        <color theme="1"/>
        <name val="Calibri"/>
        <scheme val="none"/>
      </font>
    </dxf>
  </rfmt>
  <rfmt sheetId="1" sqref="AX295" start="0" length="0">
    <dxf>
      <font>
        <sz val="11"/>
        <color theme="1"/>
        <name val="Calibri"/>
        <scheme val="none"/>
      </font>
    </dxf>
  </rfmt>
  <rfmt sheetId="1" sqref="AY295" start="0" length="0">
    <dxf>
      <font>
        <sz val="11"/>
        <color theme="1"/>
        <name val="Calibri"/>
        <scheme val="none"/>
      </font>
    </dxf>
  </rfmt>
  <rfmt sheetId="1" sqref="A295:XFD295" start="0" length="0">
    <dxf>
      <font>
        <sz val="11"/>
        <color theme="1"/>
        <name val="Calibri"/>
        <scheme val="none"/>
      </font>
    </dxf>
  </rfmt>
  <rfmt sheetId="1" sqref="A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9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9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96" start="0" length="0">
    <dxf>
      <font>
        <sz val="11"/>
        <color theme="1"/>
        <name val="Calibri"/>
        <scheme val="none"/>
      </font>
    </dxf>
  </rfmt>
  <rfmt sheetId="1" sqref="AM296" start="0" length="0">
    <dxf>
      <font>
        <sz val="11"/>
        <color theme="1"/>
        <name val="Calibri"/>
        <scheme val="none"/>
      </font>
      <numFmt numFmtId="1" formatCode="0"/>
    </dxf>
  </rfmt>
  <rfmt sheetId="1" sqref="AN296" start="0" length="0">
    <dxf>
      <font>
        <sz val="11"/>
        <color theme="1"/>
        <name val="Calibri"/>
        <scheme val="none"/>
      </font>
      <numFmt numFmtId="1" formatCode="0"/>
    </dxf>
  </rfmt>
  <rfmt sheetId="1" sqref="AO296" start="0" length="0">
    <dxf>
      <font>
        <sz val="11"/>
        <color theme="1"/>
        <name val="Calibri"/>
        <scheme val="none"/>
      </font>
    </dxf>
  </rfmt>
  <rfmt sheetId="1" sqref="AP296" start="0" length="0">
    <dxf>
      <font>
        <sz val="11"/>
        <color theme="1"/>
        <name val="Calibri"/>
        <scheme val="none"/>
      </font>
    </dxf>
  </rfmt>
  <rfmt sheetId="1" sqref="AQ296" start="0" length="0">
    <dxf>
      <font>
        <sz val="11"/>
        <color theme="1"/>
        <name val="Calibri"/>
        <scheme val="none"/>
      </font>
      <numFmt numFmtId="164" formatCode="_-* #,##0_-;\-* #,##0_-;_-* &quot;-&quot;??_-;_-@_-"/>
    </dxf>
  </rfmt>
  <rfmt sheetId="1" sqref="AR296" start="0" length="0">
    <dxf>
      <font>
        <sz val="11"/>
        <color theme="1"/>
        <name val="Calibri"/>
        <scheme val="none"/>
      </font>
      <numFmt numFmtId="164" formatCode="_-* #,##0_-;\-* #,##0_-;_-* &quot;-&quot;??_-;_-@_-"/>
    </dxf>
  </rfmt>
  <rfmt sheetId="1" sqref="AS296" start="0" length="0">
    <dxf>
      <font>
        <sz val="11"/>
        <color theme="1"/>
        <name val="Calibri"/>
        <scheme val="none"/>
      </font>
      <numFmt numFmtId="164" formatCode="_-* #,##0_-;\-* #,##0_-;_-* &quot;-&quot;??_-;_-@_-"/>
    </dxf>
  </rfmt>
  <rfmt sheetId="1" sqref="AT296" start="0" length="0">
    <dxf>
      <font>
        <sz val="11"/>
        <color theme="1"/>
        <name val="Calibri"/>
        <scheme val="none"/>
      </font>
      <numFmt numFmtId="164" formatCode="_-* #,##0_-;\-* #,##0_-;_-* &quot;-&quot;??_-;_-@_-"/>
    </dxf>
  </rfmt>
  <rfmt sheetId="1" sqref="AU296" start="0" length="0">
    <dxf>
      <font>
        <sz val="11"/>
        <color theme="1"/>
        <name val="Calibri"/>
        <scheme val="none"/>
      </font>
    </dxf>
  </rfmt>
  <rfmt sheetId="1" sqref="AV296" start="0" length="0">
    <dxf>
      <font>
        <sz val="11"/>
        <color theme="1"/>
        <name val="Calibri"/>
        <scheme val="none"/>
      </font>
    </dxf>
  </rfmt>
  <rfmt sheetId="1" sqref="AW296" start="0" length="0">
    <dxf>
      <font>
        <sz val="11"/>
        <color theme="1"/>
        <name val="Calibri"/>
        <scheme val="none"/>
      </font>
    </dxf>
  </rfmt>
  <rfmt sheetId="1" sqref="AX296" start="0" length="0">
    <dxf>
      <font>
        <sz val="11"/>
        <color theme="1"/>
        <name val="Calibri"/>
        <scheme val="none"/>
      </font>
    </dxf>
  </rfmt>
  <rfmt sheetId="1" sqref="AY296" start="0" length="0">
    <dxf>
      <font>
        <sz val="11"/>
        <color theme="1"/>
        <name val="Calibri"/>
        <scheme val="none"/>
      </font>
    </dxf>
  </rfmt>
  <rfmt sheetId="1" sqref="A296:XFD296" start="0" length="0">
    <dxf>
      <font>
        <sz val="11"/>
        <color theme="1"/>
        <name val="Calibri"/>
        <scheme val="none"/>
      </font>
    </dxf>
  </rfmt>
  <rfmt sheetId="1" sqref="A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9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9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97" start="0" length="0">
    <dxf>
      <font>
        <sz val="11"/>
        <color theme="1"/>
        <name val="Calibri"/>
        <scheme val="none"/>
      </font>
    </dxf>
  </rfmt>
  <rfmt sheetId="1" sqref="AM297" start="0" length="0">
    <dxf>
      <font>
        <sz val="11"/>
        <color theme="1"/>
        <name val="Calibri"/>
        <scheme val="none"/>
      </font>
      <numFmt numFmtId="1" formatCode="0"/>
    </dxf>
  </rfmt>
  <rfmt sheetId="1" sqref="AN297" start="0" length="0">
    <dxf>
      <font>
        <sz val="11"/>
        <color theme="1"/>
        <name val="Calibri"/>
        <scheme val="none"/>
      </font>
      <numFmt numFmtId="1" formatCode="0"/>
    </dxf>
  </rfmt>
  <rfmt sheetId="1" sqref="AO297" start="0" length="0">
    <dxf>
      <font>
        <sz val="11"/>
        <color theme="1"/>
        <name val="Calibri"/>
        <scheme val="none"/>
      </font>
    </dxf>
  </rfmt>
  <rfmt sheetId="1" sqref="AP297" start="0" length="0">
    <dxf>
      <font>
        <sz val="11"/>
        <color theme="1"/>
        <name val="Calibri"/>
        <scheme val="none"/>
      </font>
    </dxf>
  </rfmt>
  <rfmt sheetId="1" sqref="AQ297" start="0" length="0">
    <dxf>
      <font>
        <sz val="11"/>
        <color theme="1"/>
        <name val="Calibri"/>
        <scheme val="none"/>
      </font>
      <numFmt numFmtId="164" formatCode="_-* #,##0_-;\-* #,##0_-;_-* &quot;-&quot;??_-;_-@_-"/>
    </dxf>
  </rfmt>
  <rfmt sheetId="1" sqref="AR297" start="0" length="0">
    <dxf>
      <font>
        <sz val="11"/>
        <color theme="1"/>
        <name val="Calibri"/>
        <scheme val="none"/>
      </font>
      <numFmt numFmtId="164" formatCode="_-* #,##0_-;\-* #,##0_-;_-* &quot;-&quot;??_-;_-@_-"/>
    </dxf>
  </rfmt>
  <rfmt sheetId="1" sqref="AS297" start="0" length="0">
    <dxf>
      <font>
        <sz val="11"/>
        <color theme="1"/>
        <name val="Calibri"/>
        <scheme val="none"/>
      </font>
      <numFmt numFmtId="164" formatCode="_-* #,##0_-;\-* #,##0_-;_-* &quot;-&quot;??_-;_-@_-"/>
    </dxf>
  </rfmt>
  <rfmt sheetId="1" sqref="AT297" start="0" length="0">
    <dxf>
      <font>
        <sz val="11"/>
        <color theme="1"/>
        <name val="Calibri"/>
        <scheme val="none"/>
      </font>
      <numFmt numFmtId="164" formatCode="_-* #,##0_-;\-* #,##0_-;_-* &quot;-&quot;??_-;_-@_-"/>
    </dxf>
  </rfmt>
  <rfmt sheetId="1" sqref="AU297" start="0" length="0">
    <dxf>
      <font>
        <sz val="11"/>
        <color theme="1"/>
        <name val="Calibri"/>
        <scheme val="none"/>
      </font>
    </dxf>
  </rfmt>
  <rfmt sheetId="1" sqref="AV297" start="0" length="0">
    <dxf>
      <font>
        <sz val="11"/>
        <color theme="1"/>
        <name val="Calibri"/>
        <scheme val="none"/>
      </font>
    </dxf>
  </rfmt>
  <rfmt sheetId="1" sqref="AW297" start="0" length="0">
    <dxf>
      <font>
        <sz val="11"/>
        <color theme="1"/>
        <name val="Calibri"/>
        <scheme val="none"/>
      </font>
    </dxf>
  </rfmt>
  <rfmt sheetId="1" sqref="AX297" start="0" length="0">
    <dxf>
      <font>
        <sz val="11"/>
        <color theme="1"/>
        <name val="Calibri"/>
        <scheme val="none"/>
      </font>
    </dxf>
  </rfmt>
  <rfmt sheetId="1" sqref="AY297" start="0" length="0">
    <dxf>
      <font>
        <sz val="11"/>
        <color theme="1"/>
        <name val="Calibri"/>
        <scheme val="none"/>
      </font>
    </dxf>
  </rfmt>
  <rfmt sheetId="1" sqref="A297:XFD297" start="0" length="0">
    <dxf>
      <font>
        <sz val="11"/>
        <color theme="1"/>
        <name val="Calibri"/>
        <scheme val="none"/>
      </font>
    </dxf>
  </rfmt>
  <rfmt sheetId="1" sqref="A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9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9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98" start="0" length="0">
    <dxf>
      <font>
        <sz val="11"/>
        <color theme="1"/>
        <name val="Calibri"/>
        <scheme val="none"/>
      </font>
    </dxf>
  </rfmt>
  <rfmt sheetId="1" sqref="AM298" start="0" length="0">
    <dxf>
      <font>
        <sz val="11"/>
        <color theme="1"/>
        <name val="Calibri"/>
        <scheme val="none"/>
      </font>
      <numFmt numFmtId="1" formatCode="0"/>
    </dxf>
  </rfmt>
  <rfmt sheetId="1" sqref="AN298" start="0" length="0">
    <dxf>
      <font>
        <sz val="11"/>
        <color theme="1"/>
        <name val="Calibri"/>
        <scheme val="none"/>
      </font>
      <numFmt numFmtId="1" formatCode="0"/>
    </dxf>
  </rfmt>
  <rfmt sheetId="1" sqref="AO298" start="0" length="0">
    <dxf>
      <font>
        <sz val="11"/>
        <color theme="1"/>
        <name val="Calibri"/>
        <scheme val="none"/>
      </font>
    </dxf>
  </rfmt>
  <rfmt sheetId="1" sqref="AP298" start="0" length="0">
    <dxf>
      <font>
        <sz val="11"/>
        <color theme="1"/>
        <name val="Calibri"/>
        <scheme val="none"/>
      </font>
    </dxf>
  </rfmt>
  <rfmt sheetId="1" sqref="AQ298" start="0" length="0">
    <dxf>
      <font>
        <sz val="11"/>
        <color theme="1"/>
        <name val="Calibri"/>
        <scheme val="none"/>
      </font>
      <numFmt numFmtId="164" formatCode="_-* #,##0_-;\-* #,##0_-;_-* &quot;-&quot;??_-;_-@_-"/>
    </dxf>
  </rfmt>
  <rfmt sheetId="1" sqref="AR298" start="0" length="0">
    <dxf>
      <font>
        <sz val="11"/>
        <color theme="1"/>
        <name val="Calibri"/>
        <scheme val="none"/>
      </font>
      <numFmt numFmtId="164" formatCode="_-* #,##0_-;\-* #,##0_-;_-* &quot;-&quot;??_-;_-@_-"/>
    </dxf>
  </rfmt>
  <rfmt sheetId="1" sqref="AS298" start="0" length="0">
    <dxf>
      <font>
        <sz val="11"/>
        <color theme="1"/>
        <name val="Calibri"/>
        <scheme val="none"/>
      </font>
      <numFmt numFmtId="164" formatCode="_-* #,##0_-;\-* #,##0_-;_-* &quot;-&quot;??_-;_-@_-"/>
    </dxf>
  </rfmt>
  <rfmt sheetId="1" sqref="AT298" start="0" length="0">
    <dxf>
      <font>
        <sz val="11"/>
        <color theme="1"/>
        <name val="Calibri"/>
        <scheme val="none"/>
      </font>
      <numFmt numFmtId="164" formatCode="_-* #,##0_-;\-* #,##0_-;_-* &quot;-&quot;??_-;_-@_-"/>
    </dxf>
  </rfmt>
  <rfmt sheetId="1" sqref="AU298" start="0" length="0">
    <dxf>
      <font>
        <sz val="11"/>
        <color theme="1"/>
        <name val="Calibri"/>
        <scheme val="none"/>
      </font>
    </dxf>
  </rfmt>
  <rfmt sheetId="1" sqref="AV298" start="0" length="0">
    <dxf>
      <font>
        <sz val="11"/>
        <color theme="1"/>
        <name val="Calibri"/>
        <scheme val="none"/>
      </font>
    </dxf>
  </rfmt>
  <rfmt sheetId="1" sqref="AW298" start="0" length="0">
    <dxf>
      <font>
        <sz val="11"/>
        <color theme="1"/>
        <name val="Calibri"/>
        <scheme val="none"/>
      </font>
    </dxf>
  </rfmt>
  <rfmt sheetId="1" sqref="AX298" start="0" length="0">
    <dxf>
      <font>
        <sz val="11"/>
        <color theme="1"/>
        <name val="Calibri"/>
        <scheme val="none"/>
      </font>
    </dxf>
  </rfmt>
  <rfmt sheetId="1" sqref="AY298" start="0" length="0">
    <dxf>
      <font>
        <sz val="11"/>
        <color theme="1"/>
        <name val="Calibri"/>
        <scheme val="none"/>
      </font>
    </dxf>
  </rfmt>
  <rfmt sheetId="1" sqref="A298:XFD298" start="0" length="0">
    <dxf>
      <font>
        <sz val="11"/>
        <color theme="1"/>
        <name val="Calibri"/>
        <scheme val="none"/>
      </font>
    </dxf>
  </rfmt>
  <rfmt sheetId="1" sqref="A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2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2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2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2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2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2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2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2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29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2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29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2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299" start="0" length="0">
    <dxf>
      <font>
        <sz val="11"/>
        <color theme="1"/>
        <name val="Calibri"/>
        <scheme val="none"/>
      </font>
    </dxf>
  </rfmt>
  <rfmt sheetId="1" sqref="AM299" start="0" length="0">
    <dxf>
      <font>
        <sz val="11"/>
        <color theme="1"/>
        <name val="Calibri"/>
        <scheme val="none"/>
      </font>
      <numFmt numFmtId="1" formatCode="0"/>
    </dxf>
  </rfmt>
  <rfmt sheetId="1" sqref="AN299" start="0" length="0">
    <dxf>
      <font>
        <sz val="11"/>
        <color theme="1"/>
        <name val="Calibri"/>
        <scheme val="none"/>
      </font>
      <numFmt numFmtId="1" formatCode="0"/>
    </dxf>
  </rfmt>
  <rfmt sheetId="1" sqref="AO299" start="0" length="0">
    <dxf>
      <font>
        <sz val="11"/>
        <color theme="1"/>
        <name val="Calibri"/>
        <scheme val="none"/>
      </font>
    </dxf>
  </rfmt>
  <rfmt sheetId="1" sqref="AP299" start="0" length="0">
    <dxf>
      <font>
        <sz val="11"/>
        <color theme="1"/>
        <name val="Calibri"/>
        <scheme val="none"/>
      </font>
    </dxf>
  </rfmt>
  <rfmt sheetId="1" sqref="AQ299" start="0" length="0">
    <dxf>
      <font>
        <sz val="11"/>
        <color theme="1"/>
        <name val="Calibri"/>
        <scheme val="none"/>
      </font>
      <numFmt numFmtId="164" formatCode="_-* #,##0_-;\-* #,##0_-;_-* &quot;-&quot;??_-;_-@_-"/>
    </dxf>
  </rfmt>
  <rfmt sheetId="1" sqref="AR299" start="0" length="0">
    <dxf>
      <font>
        <sz val="11"/>
        <color theme="1"/>
        <name val="Calibri"/>
        <scheme val="none"/>
      </font>
      <numFmt numFmtId="164" formatCode="_-* #,##0_-;\-* #,##0_-;_-* &quot;-&quot;??_-;_-@_-"/>
    </dxf>
  </rfmt>
  <rfmt sheetId="1" sqref="AS299" start="0" length="0">
    <dxf>
      <font>
        <sz val="11"/>
        <color theme="1"/>
        <name val="Calibri"/>
        <scheme val="none"/>
      </font>
      <numFmt numFmtId="164" formatCode="_-* #,##0_-;\-* #,##0_-;_-* &quot;-&quot;??_-;_-@_-"/>
    </dxf>
  </rfmt>
  <rfmt sheetId="1" sqref="AT299" start="0" length="0">
    <dxf>
      <font>
        <sz val="11"/>
        <color theme="1"/>
        <name val="Calibri"/>
        <scheme val="none"/>
      </font>
      <numFmt numFmtId="164" formatCode="_-* #,##0_-;\-* #,##0_-;_-* &quot;-&quot;??_-;_-@_-"/>
    </dxf>
  </rfmt>
  <rfmt sheetId="1" sqref="AU299" start="0" length="0">
    <dxf>
      <font>
        <sz val="11"/>
        <color theme="1"/>
        <name val="Calibri"/>
        <scheme val="none"/>
      </font>
    </dxf>
  </rfmt>
  <rfmt sheetId="1" sqref="AV299" start="0" length="0">
    <dxf>
      <font>
        <sz val="11"/>
        <color theme="1"/>
        <name val="Calibri"/>
        <scheme val="none"/>
      </font>
    </dxf>
  </rfmt>
  <rfmt sheetId="1" sqref="AW299" start="0" length="0">
    <dxf>
      <font>
        <sz val="11"/>
        <color theme="1"/>
        <name val="Calibri"/>
        <scheme val="none"/>
      </font>
    </dxf>
  </rfmt>
  <rfmt sheetId="1" sqref="AX299" start="0" length="0">
    <dxf>
      <font>
        <sz val="11"/>
        <color theme="1"/>
        <name val="Calibri"/>
        <scheme val="none"/>
      </font>
    </dxf>
  </rfmt>
  <rfmt sheetId="1" sqref="AY299" start="0" length="0">
    <dxf>
      <font>
        <sz val="11"/>
        <color theme="1"/>
        <name val="Calibri"/>
        <scheme val="none"/>
      </font>
    </dxf>
  </rfmt>
  <rfmt sheetId="1" sqref="A299:XFD299" start="0" length="0">
    <dxf>
      <font>
        <sz val="11"/>
        <color theme="1"/>
        <name val="Calibri"/>
        <scheme val="none"/>
      </font>
    </dxf>
  </rfmt>
  <rfmt sheetId="1" sqref="A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0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0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00" start="0" length="0">
    <dxf>
      <font>
        <sz val="11"/>
        <color theme="1"/>
        <name val="Calibri"/>
        <scheme val="none"/>
      </font>
    </dxf>
  </rfmt>
  <rfmt sheetId="1" sqref="AM300" start="0" length="0">
    <dxf>
      <font>
        <sz val="11"/>
        <color theme="1"/>
        <name val="Calibri"/>
        <scheme val="none"/>
      </font>
      <numFmt numFmtId="1" formatCode="0"/>
    </dxf>
  </rfmt>
  <rfmt sheetId="1" sqref="AN300" start="0" length="0">
    <dxf>
      <font>
        <sz val="11"/>
        <color theme="1"/>
        <name val="Calibri"/>
        <scheme val="none"/>
      </font>
      <numFmt numFmtId="1" formatCode="0"/>
    </dxf>
  </rfmt>
  <rfmt sheetId="1" sqref="AO300" start="0" length="0">
    <dxf>
      <font>
        <sz val="11"/>
        <color theme="1"/>
        <name val="Calibri"/>
        <scheme val="none"/>
      </font>
    </dxf>
  </rfmt>
  <rfmt sheetId="1" sqref="AP300" start="0" length="0">
    <dxf>
      <font>
        <sz val="11"/>
        <color theme="1"/>
        <name val="Calibri"/>
        <scheme val="none"/>
      </font>
    </dxf>
  </rfmt>
  <rfmt sheetId="1" sqref="AQ300" start="0" length="0">
    <dxf>
      <font>
        <sz val="11"/>
        <color theme="1"/>
        <name val="Calibri"/>
        <scheme val="none"/>
      </font>
      <numFmt numFmtId="164" formatCode="_-* #,##0_-;\-* #,##0_-;_-* &quot;-&quot;??_-;_-@_-"/>
    </dxf>
  </rfmt>
  <rfmt sheetId="1" sqref="AR300" start="0" length="0">
    <dxf>
      <font>
        <sz val="11"/>
        <color theme="1"/>
        <name val="Calibri"/>
        <scheme val="none"/>
      </font>
      <numFmt numFmtId="164" formatCode="_-* #,##0_-;\-* #,##0_-;_-* &quot;-&quot;??_-;_-@_-"/>
    </dxf>
  </rfmt>
  <rfmt sheetId="1" sqref="AS300" start="0" length="0">
    <dxf>
      <font>
        <sz val="11"/>
        <color theme="1"/>
        <name val="Calibri"/>
        <scheme val="none"/>
      </font>
      <numFmt numFmtId="164" formatCode="_-* #,##0_-;\-* #,##0_-;_-* &quot;-&quot;??_-;_-@_-"/>
    </dxf>
  </rfmt>
  <rfmt sheetId="1" sqref="AT300" start="0" length="0">
    <dxf>
      <font>
        <sz val="11"/>
        <color theme="1"/>
        <name val="Calibri"/>
        <scheme val="none"/>
      </font>
      <numFmt numFmtId="164" formatCode="_-* #,##0_-;\-* #,##0_-;_-* &quot;-&quot;??_-;_-@_-"/>
    </dxf>
  </rfmt>
  <rfmt sheetId="1" sqref="AU300" start="0" length="0">
    <dxf>
      <font>
        <sz val="11"/>
        <color theme="1"/>
        <name val="Calibri"/>
        <scheme val="none"/>
      </font>
    </dxf>
  </rfmt>
  <rfmt sheetId="1" sqref="AV300" start="0" length="0">
    <dxf>
      <font>
        <sz val="11"/>
        <color theme="1"/>
        <name val="Calibri"/>
        <scheme val="none"/>
      </font>
    </dxf>
  </rfmt>
  <rfmt sheetId="1" sqref="AW300" start="0" length="0">
    <dxf>
      <font>
        <sz val="11"/>
        <color theme="1"/>
        <name val="Calibri"/>
        <scheme val="none"/>
      </font>
    </dxf>
  </rfmt>
  <rfmt sheetId="1" sqref="AX300" start="0" length="0">
    <dxf>
      <font>
        <sz val="11"/>
        <color theme="1"/>
        <name val="Calibri"/>
        <scheme val="none"/>
      </font>
    </dxf>
  </rfmt>
  <rfmt sheetId="1" sqref="AY300" start="0" length="0">
    <dxf>
      <font>
        <sz val="11"/>
        <color theme="1"/>
        <name val="Calibri"/>
        <scheme val="none"/>
      </font>
    </dxf>
  </rfmt>
  <rfmt sheetId="1" sqref="A300:XFD300" start="0" length="0">
    <dxf>
      <font>
        <sz val="11"/>
        <color theme="1"/>
        <name val="Calibri"/>
        <scheme val="none"/>
      </font>
    </dxf>
  </rfmt>
  <rfmt sheetId="1" sqref="A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0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0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01" start="0" length="0">
    <dxf>
      <font>
        <sz val="11"/>
        <color theme="1"/>
        <name val="Calibri"/>
        <scheme val="none"/>
      </font>
    </dxf>
  </rfmt>
  <rfmt sheetId="1" sqref="AM301" start="0" length="0">
    <dxf>
      <font>
        <sz val="11"/>
        <color theme="1"/>
        <name val="Calibri"/>
        <scheme val="none"/>
      </font>
      <numFmt numFmtId="1" formatCode="0"/>
    </dxf>
  </rfmt>
  <rfmt sheetId="1" sqref="AN301" start="0" length="0">
    <dxf>
      <font>
        <sz val="11"/>
        <color theme="1"/>
        <name val="Calibri"/>
        <scheme val="none"/>
      </font>
      <numFmt numFmtId="1" formatCode="0"/>
    </dxf>
  </rfmt>
  <rfmt sheetId="1" sqref="AO301" start="0" length="0">
    <dxf>
      <font>
        <sz val="11"/>
        <color theme="1"/>
        <name val="Calibri"/>
        <scheme val="none"/>
      </font>
    </dxf>
  </rfmt>
  <rfmt sheetId="1" sqref="AP301" start="0" length="0">
    <dxf>
      <font>
        <sz val="11"/>
        <color theme="1"/>
        <name val="Calibri"/>
        <scheme val="none"/>
      </font>
    </dxf>
  </rfmt>
  <rfmt sheetId="1" sqref="AQ301" start="0" length="0">
    <dxf>
      <font>
        <sz val="11"/>
        <color theme="1"/>
        <name val="Calibri"/>
        <scheme val="none"/>
      </font>
      <numFmt numFmtId="164" formatCode="_-* #,##0_-;\-* #,##0_-;_-* &quot;-&quot;??_-;_-@_-"/>
    </dxf>
  </rfmt>
  <rfmt sheetId="1" sqref="AR301" start="0" length="0">
    <dxf>
      <font>
        <sz val="11"/>
        <color theme="1"/>
        <name val="Calibri"/>
        <scheme val="none"/>
      </font>
      <numFmt numFmtId="164" formatCode="_-* #,##0_-;\-* #,##0_-;_-* &quot;-&quot;??_-;_-@_-"/>
    </dxf>
  </rfmt>
  <rfmt sheetId="1" sqref="AS301" start="0" length="0">
    <dxf>
      <font>
        <sz val="11"/>
        <color theme="1"/>
        <name val="Calibri"/>
        <scheme val="none"/>
      </font>
      <numFmt numFmtId="164" formatCode="_-* #,##0_-;\-* #,##0_-;_-* &quot;-&quot;??_-;_-@_-"/>
    </dxf>
  </rfmt>
  <rfmt sheetId="1" sqref="AT301" start="0" length="0">
    <dxf>
      <font>
        <sz val="11"/>
        <color theme="1"/>
        <name val="Calibri"/>
        <scheme val="none"/>
      </font>
      <numFmt numFmtId="164" formatCode="_-* #,##0_-;\-* #,##0_-;_-* &quot;-&quot;??_-;_-@_-"/>
    </dxf>
  </rfmt>
  <rfmt sheetId="1" sqref="AU301" start="0" length="0">
    <dxf>
      <font>
        <sz val="11"/>
        <color theme="1"/>
        <name val="Calibri"/>
        <scheme val="none"/>
      </font>
    </dxf>
  </rfmt>
  <rfmt sheetId="1" sqref="AV301" start="0" length="0">
    <dxf>
      <font>
        <sz val="11"/>
        <color theme="1"/>
        <name val="Calibri"/>
        <scheme val="none"/>
      </font>
    </dxf>
  </rfmt>
  <rfmt sheetId="1" sqref="AW301" start="0" length="0">
    <dxf>
      <font>
        <sz val="11"/>
        <color theme="1"/>
        <name val="Calibri"/>
        <scheme val="none"/>
      </font>
    </dxf>
  </rfmt>
  <rfmt sheetId="1" sqref="AX301" start="0" length="0">
    <dxf>
      <font>
        <sz val="11"/>
        <color theme="1"/>
        <name val="Calibri"/>
        <scheme val="none"/>
      </font>
    </dxf>
  </rfmt>
  <rfmt sheetId="1" sqref="AY301" start="0" length="0">
    <dxf>
      <font>
        <sz val="11"/>
        <color theme="1"/>
        <name val="Calibri"/>
        <scheme val="none"/>
      </font>
    </dxf>
  </rfmt>
  <rfmt sheetId="1" sqref="A301:XFD301" start="0" length="0">
    <dxf>
      <font>
        <sz val="11"/>
        <color theme="1"/>
        <name val="Calibri"/>
        <scheme val="none"/>
      </font>
    </dxf>
  </rfmt>
  <rfmt sheetId="1" sqref="A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0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0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02" start="0" length="0">
    <dxf>
      <font>
        <sz val="11"/>
        <color theme="1"/>
        <name val="Calibri"/>
        <scheme val="none"/>
      </font>
    </dxf>
  </rfmt>
  <rfmt sheetId="1" sqref="AM302" start="0" length="0">
    <dxf>
      <font>
        <sz val="11"/>
        <color theme="1"/>
        <name val="Calibri"/>
        <scheme val="none"/>
      </font>
      <numFmt numFmtId="1" formatCode="0"/>
    </dxf>
  </rfmt>
  <rfmt sheetId="1" sqref="AN302" start="0" length="0">
    <dxf>
      <font>
        <sz val="11"/>
        <color theme="1"/>
        <name val="Calibri"/>
        <scheme val="none"/>
      </font>
      <numFmt numFmtId="1" formatCode="0"/>
    </dxf>
  </rfmt>
  <rfmt sheetId="1" sqref="AO302" start="0" length="0">
    <dxf>
      <font>
        <sz val="11"/>
        <color theme="1"/>
        <name val="Calibri"/>
        <scheme val="none"/>
      </font>
    </dxf>
  </rfmt>
  <rfmt sheetId="1" sqref="AP302" start="0" length="0">
    <dxf>
      <font>
        <sz val="11"/>
        <color theme="1"/>
        <name val="Calibri"/>
        <scheme val="none"/>
      </font>
    </dxf>
  </rfmt>
  <rfmt sheetId="1" sqref="AQ302" start="0" length="0">
    <dxf>
      <font>
        <sz val="11"/>
        <color theme="1"/>
        <name val="Calibri"/>
        <scheme val="none"/>
      </font>
      <numFmt numFmtId="164" formatCode="_-* #,##0_-;\-* #,##0_-;_-* &quot;-&quot;??_-;_-@_-"/>
    </dxf>
  </rfmt>
  <rfmt sheetId="1" sqref="AR302" start="0" length="0">
    <dxf>
      <font>
        <sz val="11"/>
        <color theme="1"/>
        <name val="Calibri"/>
        <scheme val="none"/>
      </font>
      <numFmt numFmtId="164" formatCode="_-* #,##0_-;\-* #,##0_-;_-* &quot;-&quot;??_-;_-@_-"/>
    </dxf>
  </rfmt>
  <rfmt sheetId="1" sqref="AS302" start="0" length="0">
    <dxf>
      <font>
        <sz val="11"/>
        <color theme="1"/>
        <name val="Calibri"/>
        <scheme val="none"/>
      </font>
      <numFmt numFmtId="164" formatCode="_-* #,##0_-;\-* #,##0_-;_-* &quot;-&quot;??_-;_-@_-"/>
    </dxf>
  </rfmt>
  <rfmt sheetId="1" sqref="AT302" start="0" length="0">
    <dxf>
      <font>
        <sz val="11"/>
        <color theme="1"/>
        <name val="Calibri"/>
        <scheme val="none"/>
      </font>
      <numFmt numFmtId="164" formatCode="_-* #,##0_-;\-* #,##0_-;_-* &quot;-&quot;??_-;_-@_-"/>
    </dxf>
  </rfmt>
  <rfmt sheetId="1" sqref="AU302" start="0" length="0">
    <dxf>
      <font>
        <sz val="11"/>
        <color theme="1"/>
        <name val="Calibri"/>
        <scheme val="none"/>
      </font>
    </dxf>
  </rfmt>
  <rfmt sheetId="1" sqref="AV302" start="0" length="0">
    <dxf>
      <font>
        <sz val="11"/>
        <color theme="1"/>
        <name val="Calibri"/>
        <scheme val="none"/>
      </font>
    </dxf>
  </rfmt>
  <rfmt sheetId="1" sqref="AW302" start="0" length="0">
    <dxf>
      <font>
        <sz val="11"/>
        <color theme="1"/>
        <name val="Calibri"/>
        <scheme val="none"/>
      </font>
    </dxf>
  </rfmt>
  <rfmt sheetId="1" sqref="AX302" start="0" length="0">
    <dxf>
      <font>
        <sz val="11"/>
        <color theme="1"/>
        <name val="Calibri"/>
        <scheme val="none"/>
      </font>
    </dxf>
  </rfmt>
  <rfmt sheetId="1" sqref="AY302" start="0" length="0">
    <dxf>
      <font>
        <sz val="11"/>
        <color theme="1"/>
        <name val="Calibri"/>
        <scheme val="none"/>
      </font>
    </dxf>
  </rfmt>
  <rfmt sheetId="1" sqref="A302:XFD302" start="0" length="0">
    <dxf>
      <font>
        <sz val="11"/>
        <color theme="1"/>
        <name val="Calibri"/>
        <scheme val="none"/>
      </font>
    </dxf>
  </rfmt>
  <rfmt sheetId="1" sqref="A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0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0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03" start="0" length="0">
    <dxf>
      <font>
        <sz val="11"/>
        <color theme="1"/>
        <name val="Calibri"/>
        <scheme val="none"/>
      </font>
    </dxf>
  </rfmt>
  <rfmt sheetId="1" sqref="AM303" start="0" length="0">
    <dxf>
      <font>
        <sz val="11"/>
        <color theme="1"/>
        <name val="Calibri"/>
        <scheme val="none"/>
      </font>
      <numFmt numFmtId="1" formatCode="0"/>
    </dxf>
  </rfmt>
  <rfmt sheetId="1" sqref="AN303" start="0" length="0">
    <dxf>
      <font>
        <sz val="11"/>
        <color theme="1"/>
        <name val="Calibri"/>
        <scheme val="none"/>
      </font>
      <numFmt numFmtId="1" formatCode="0"/>
    </dxf>
  </rfmt>
  <rfmt sheetId="1" sqref="AO303" start="0" length="0">
    <dxf>
      <font>
        <sz val="11"/>
        <color theme="1"/>
        <name val="Calibri"/>
        <scheme val="none"/>
      </font>
    </dxf>
  </rfmt>
  <rfmt sheetId="1" sqref="AP303" start="0" length="0">
    <dxf>
      <font>
        <sz val="11"/>
        <color theme="1"/>
        <name val="Calibri"/>
        <scheme val="none"/>
      </font>
    </dxf>
  </rfmt>
  <rfmt sheetId="1" sqref="AQ303" start="0" length="0">
    <dxf>
      <font>
        <sz val="11"/>
        <color theme="1"/>
        <name val="Calibri"/>
        <scheme val="none"/>
      </font>
      <numFmt numFmtId="164" formatCode="_-* #,##0_-;\-* #,##0_-;_-* &quot;-&quot;??_-;_-@_-"/>
    </dxf>
  </rfmt>
  <rfmt sheetId="1" sqref="AR303" start="0" length="0">
    <dxf>
      <font>
        <sz val="11"/>
        <color theme="1"/>
        <name val="Calibri"/>
        <scheme val="none"/>
      </font>
      <numFmt numFmtId="164" formatCode="_-* #,##0_-;\-* #,##0_-;_-* &quot;-&quot;??_-;_-@_-"/>
    </dxf>
  </rfmt>
  <rfmt sheetId="1" sqref="AS303" start="0" length="0">
    <dxf>
      <font>
        <sz val="11"/>
        <color theme="1"/>
        <name val="Calibri"/>
        <scheme val="none"/>
      </font>
      <numFmt numFmtId="164" formatCode="_-* #,##0_-;\-* #,##0_-;_-* &quot;-&quot;??_-;_-@_-"/>
    </dxf>
  </rfmt>
  <rfmt sheetId="1" sqref="AT303" start="0" length="0">
    <dxf>
      <font>
        <sz val="11"/>
        <color theme="1"/>
        <name val="Calibri"/>
        <scheme val="none"/>
      </font>
      <numFmt numFmtId="164" formatCode="_-* #,##0_-;\-* #,##0_-;_-* &quot;-&quot;??_-;_-@_-"/>
    </dxf>
  </rfmt>
  <rfmt sheetId="1" sqref="AU303" start="0" length="0">
    <dxf>
      <font>
        <sz val="11"/>
        <color theme="1"/>
        <name val="Calibri"/>
        <scheme val="none"/>
      </font>
    </dxf>
  </rfmt>
  <rfmt sheetId="1" sqref="AV303" start="0" length="0">
    <dxf>
      <font>
        <sz val="11"/>
        <color theme="1"/>
        <name val="Calibri"/>
        <scheme val="none"/>
      </font>
    </dxf>
  </rfmt>
  <rfmt sheetId="1" sqref="AW303" start="0" length="0">
    <dxf>
      <font>
        <sz val="11"/>
        <color theme="1"/>
        <name val="Calibri"/>
        <scheme val="none"/>
      </font>
    </dxf>
  </rfmt>
  <rfmt sheetId="1" sqref="AX303" start="0" length="0">
    <dxf>
      <font>
        <sz val="11"/>
        <color theme="1"/>
        <name val="Calibri"/>
        <scheme val="none"/>
      </font>
    </dxf>
  </rfmt>
  <rfmt sheetId="1" sqref="AY303" start="0" length="0">
    <dxf>
      <font>
        <sz val="11"/>
        <color theme="1"/>
        <name val="Calibri"/>
        <scheme val="none"/>
      </font>
    </dxf>
  </rfmt>
  <rfmt sheetId="1" sqref="A303:XFD303" start="0" length="0">
    <dxf>
      <font>
        <sz val="11"/>
        <color theme="1"/>
        <name val="Calibri"/>
        <scheme val="none"/>
      </font>
    </dxf>
  </rfmt>
  <rfmt sheetId="1" sqref="A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0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0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04" start="0" length="0">
    <dxf>
      <font>
        <sz val="11"/>
        <color theme="1"/>
        <name val="Calibri"/>
        <scheme val="none"/>
      </font>
    </dxf>
  </rfmt>
  <rfmt sheetId="1" sqref="AM304" start="0" length="0">
    <dxf>
      <font>
        <sz val="11"/>
        <color theme="1"/>
        <name val="Calibri"/>
        <scheme val="none"/>
      </font>
      <numFmt numFmtId="1" formatCode="0"/>
    </dxf>
  </rfmt>
  <rfmt sheetId="1" sqref="AN304" start="0" length="0">
    <dxf>
      <font>
        <sz val="11"/>
        <color theme="1"/>
        <name val="Calibri"/>
        <scheme val="none"/>
      </font>
      <numFmt numFmtId="1" formatCode="0"/>
    </dxf>
  </rfmt>
  <rfmt sheetId="1" sqref="AO304" start="0" length="0">
    <dxf>
      <font>
        <sz val="11"/>
        <color theme="1"/>
        <name val="Calibri"/>
        <scheme val="none"/>
      </font>
    </dxf>
  </rfmt>
  <rfmt sheetId="1" sqref="AP304" start="0" length="0">
    <dxf>
      <font>
        <sz val="11"/>
        <color theme="1"/>
        <name val="Calibri"/>
        <scheme val="none"/>
      </font>
    </dxf>
  </rfmt>
  <rfmt sheetId="1" sqref="AQ304" start="0" length="0">
    <dxf>
      <font>
        <sz val="11"/>
        <color theme="1"/>
        <name val="Calibri"/>
        <scheme val="none"/>
      </font>
      <numFmt numFmtId="164" formatCode="_-* #,##0_-;\-* #,##0_-;_-* &quot;-&quot;??_-;_-@_-"/>
    </dxf>
  </rfmt>
  <rfmt sheetId="1" sqref="AR304" start="0" length="0">
    <dxf>
      <font>
        <sz val="11"/>
        <color theme="1"/>
        <name val="Calibri"/>
        <scheme val="none"/>
      </font>
      <numFmt numFmtId="164" formatCode="_-* #,##0_-;\-* #,##0_-;_-* &quot;-&quot;??_-;_-@_-"/>
    </dxf>
  </rfmt>
  <rfmt sheetId="1" sqref="AS304" start="0" length="0">
    <dxf>
      <font>
        <sz val="11"/>
        <color theme="1"/>
        <name val="Calibri"/>
        <scheme val="none"/>
      </font>
      <numFmt numFmtId="164" formatCode="_-* #,##0_-;\-* #,##0_-;_-* &quot;-&quot;??_-;_-@_-"/>
    </dxf>
  </rfmt>
  <rfmt sheetId="1" sqref="AT304" start="0" length="0">
    <dxf>
      <font>
        <sz val="11"/>
        <color theme="1"/>
        <name val="Calibri"/>
        <scheme val="none"/>
      </font>
      <numFmt numFmtId="164" formatCode="_-* #,##0_-;\-* #,##0_-;_-* &quot;-&quot;??_-;_-@_-"/>
    </dxf>
  </rfmt>
  <rfmt sheetId="1" sqref="AU304" start="0" length="0">
    <dxf>
      <font>
        <sz val="11"/>
        <color theme="1"/>
        <name val="Calibri"/>
        <scheme val="none"/>
      </font>
    </dxf>
  </rfmt>
  <rfmt sheetId="1" sqref="AV304" start="0" length="0">
    <dxf>
      <font>
        <sz val="11"/>
        <color theme="1"/>
        <name val="Calibri"/>
        <scheme val="none"/>
      </font>
    </dxf>
  </rfmt>
  <rfmt sheetId="1" sqref="AW304" start="0" length="0">
    <dxf>
      <font>
        <sz val="11"/>
        <color theme="1"/>
        <name val="Calibri"/>
        <scheme val="none"/>
      </font>
    </dxf>
  </rfmt>
  <rfmt sheetId="1" sqref="AX304" start="0" length="0">
    <dxf>
      <font>
        <sz val="11"/>
        <color theme="1"/>
        <name val="Calibri"/>
        <scheme val="none"/>
      </font>
    </dxf>
  </rfmt>
  <rfmt sheetId="1" sqref="AY304" start="0" length="0">
    <dxf>
      <font>
        <sz val="11"/>
        <color theme="1"/>
        <name val="Calibri"/>
        <scheme val="none"/>
      </font>
    </dxf>
  </rfmt>
  <rfmt sheetId="1" sqref="A304:XFD304" start="0" length="0">
    <dxf>
      <font>
        <sz val="11"/>
        <color theme="1"/>
        <name val="Calibri"/>
        <scheme val="none"/>
      </font>
    </dxf>
  </rfmt>
  <rfmt sheetId="1" sqref="A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0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0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05" start="0" length="0">
    <dxf>
      <font>
        <sz val="11"/>
        <color theme="1"/>
        <name val="Calibri"/>
        <scheme val="none"/>
      </font>
    </dxf>
  </rfmt>
  <rfmt sheetId="1" sqref="AM305" start="0" length="0">
    <dxf>
      <font>
        <sz val="11"/>
        <color theme="1"/>
        <name val="Calibri"/>
        <scheme val="none"/>
      </font>
      <numFmt numFmtId="1" formatCode="0"/>
    </dxf>
  </rfmt>
  <rfmt sheetId="1" sqref="AN305" start="0" length="0">
    <dxf>
      <font>
        <sz val="11"/>
        <color theme="1"/>
        <name val="Calibri"/>
        <scheme val="none"/>
      </font>
      <numFmt numFmtId="1" formatCode="0"/>
    </dxf>
  </rfmt>
  <rfmt sheetId="1" sqref="AO305" start="0" length="0">
    <dxf>
      <font>
        <sz val="11"/>
        <color theme="1"/>
        <name val="Calibri"/>
        <scheme val="none"/>
      </font>
    </dxf>
  </rfmt>
  <rfmt sheetId="1" sqref="AP305" start="0" length="0">
    <dxf>
      <font>
        <sz val="11"/>
        <color theme="1"/>
        <name val="Calibri"/>
        <scheme val="none"/>
      </font>
    </dxf>
  </rfmt>
  <rfmt sheetId="1" sqref="AQ305" start="0" length="0">
    <dxf>
      <font>
        <sz val="11"/>
        <color theme="1"/>
        <name val="Calibri"/>
        <scheme val="none"/>
      </font>
      <numFmt numFmtId="164" formatCode="_-* #,##0_-;\-* #,##0_-;_-* &quot;-&quot;??_-;_-@_-"/>
    </dxf>
  </rfmt>
  <rfmt sheetId="1" sqref="AR305" start="0" length="0">
    <dxf>
      <font>
        <sz val="11"/>
        <color theme="1"/>
        <name val="Calibri"/>
        <scheme val="none"/>
      </font>
      <numFmt numFmtId="164" formatCode="_-* #,##0_-;\-* #,##0_-;_-* &quot;-&quot;??_-;_-@_-"/>
    </dxf>
  </rfmt>
  <rfmt sheetId="1" sqref="AS305" start="0" length="0">
    <dxf>
      <font>
        <sz val="11"/>
        <color theme="1"/>
        <name val="Calibri"/>
        <scheme val="none"/>
      </font>
      <numFmt numFmtId="164" formatCode="_-* #,##0_-;\-* #,##0_-;_-* &quot;-&quot;??_-;_-@_-"/>
    </dxf>
  </rfmt>
  <rfmt sheetId="1" sqref="AT305" start="0" length="0">
    <dxf>
      <font>
        <sz val="11"/>
        <color theme="1"/>
        <name val="Calibri"/>
        <scheme val="none"/>
      </font>
      <numFmt numFmtId="164" formatCode="_-* #,##0_-;\-* #,##0_-;_-* &quot;-&quot;??_-;_-@_-"/>
    </dxf>
  </rfmt>
  <rfmt sheetId="1" sqref="AU305" start="0" length="0">
    <dxf>
      <font>
        <sz val="11"/>
        <color theme="1"/>
        <name val="Calibri"/>
        <scheme val="none"/>
      </font>
    </dxf>
  </rfmt>
  <rfmt sheetId="1" sqref="AV305" start="0" length="0">
    <dxf>
      <font>
        <sz val="11"/>
        <color theme="1"/>
        <name val="Calibri"/>
        <scheme val="none"/>
      </font>
    </dxf>
  </rfmt>
  <rfmt sheetId="1" sqref="AW305" start="0" length="0">
    <dxf>
      <font>
        <sz val="11"/>
        <color theme="1"/>
        <name val="Calibri"/>
        <scheme val="none"/>
      </font>
    </dxf>
  </rfmt>
  <rfmt sheetId="1" sqref="AX305" start="0" length="0">
    <dxf>
      <font>
        <sz val="11"/>
        <color theme="1"/>
        <name val="Calibri"/>
        <scheme val="none"/>
      </font>
    </dxf>
  </rfmt>
  <rfmt sheetId="1" sqref="AY305" start="0" length="0">
    <dxf>
      <font>
        <sz val="11"/>
        <color theme="1"/>
        <name val="Calibri"/>
        <scheme val="none"/>
      </font>
    </dxf>
  </rfmt>
  <rfmt sheetId="1" sqref="A305:XFD305" start="0" length="0">
    <dxf>
      <font>
        <sz val="11"/>
        <color theme="1"/>
        <name val="Calibri"/>
        <scheme val="none"/>
      </font>
    </dxf>
  </rfmt>
  <rfmt sheetId="1" sqref="A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0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0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06" start="0" length="0">
    <dxf>
      <font>
        <sz val="11"/>
        <color theme="1"/>
        <name val="Calibri"/>
        <scheme val="none"/>
      </font>
    </dxf>
  </rfmt>
  <rfmt sheetId="1" sqref="AM306" start="0" length="0">
    <dxf>
      <font>
        <sz val="11"/>
        <color theme="1"/>
        <name val="Calibri"/>
        <scheme val="none"/>
      </font>
      <numFmt numFmtId="1" formatCode="0"/>
    </dxf>
  </rfmt>
  <rfmt sheetId="1" sqref="AN306" start="0" length="0">
    <dxf>
      <font>
        <sz val="11"/>
        <color theme="1"/>
        <name val="Calibri"/>
        <scheme val="none"/>
      </font>
      <numFmt numFmtId="1" formatCode="0"/>
    </dxf>
  </rfmt>
  <rfmt sheetId="1" sqref="AO306" start="0" length="0">
    <dxf>
      <font>
        <sz val="11"/>
        <color theme="1"/>
        <name val="Calibri"/>
        <scheme val="none"/>
      </font>
    </dxf>
  </rfmt>
  <rfmt sheetId="1" sqref="AP306" start="0" length="0">
    <dxf>
      <font>
        <sz val="11"/>
        <color theme="1"/>
        <name val="Calibri"/>
        <scheme val="none"/>
      </font>
    </dxf>
  </rfmt>
  <rfmt sheetId="1" sqref="AQ306" start="0" length="0">
    <dxf>
      <font>
        <sz val="11"/>
        <color theme="1"/>
        <name val="Calibri"/>
        <scheme val="none"/>
      </font>
      <numFmt numFmtId="164" formatCode="_-* #,##0_-;\-* #,##0_-;_-* &quot;-&quot;??_-;_-@_-"/>
    </dxf>
  </rfmt>
  <rfmt sheetId="1" sqref="AR306" start="0" length="0">
    <dxf>
      <font>
        <sz val="11"/>
        <color theme="1"/>
        <name val="Calibri"/>
        <scheme val="none"/>
      </font>
      <numFmt numFmtId="164" formatCode="_-* #,##0_-;\-* #,##0_-;_-* &quot;-&quot;??_-;_-@_-"/>
    </dxf>
  </rfmt>
  <rfmt sheetId="1" sqref="AS306" start="0" length="0">
    <dxf>
      <font>
        <sz val="11"/>
        <color theme="1"/>
        <name val="Calibri"/>
        <scheme val="none"/>
      </font>
      <numFmt numFmtId="164" formatCode="_-* #,##0_-;\-* #,##0_-;_-* &quot;-&quot;??_-;_-@_-"/>
    </dxf>
  </rfmt>
  <rfmt sheetId="1" sqref="AT306" start="0" length="0">
    <dxf>
      <font>
        <sz val="11"/>
        <color theme="1"/>
        <name val="Calibri"/>
        <scheme val="none"/>
      </font>
      <numFmt numFmtId="164" formatCode="_-* #,##0_-;\-* #,##0_-;_-* &quot;-&quot;??_-;_-@_-"/>
    </dxf>
  </rfmt>
  <rfmt sheetId="1" sqref="AU306" start="0" length="0">
    <dxf>
      <font>
        <sz val="11"/>
        <color theme="1"/>
        <name val="Calibri"/>
        <scheme val="none"/>
      </font>
    </dxf>
  </rfmt>
  <rfmt sheetId="1" sqref="AV306" start="0" length="0">
    <dxf>
      <font>
        <sz val="11"/>
        <color theme="1"/>
        <name val="Calibri"/>
        <scheme val="none"/>
      </font>
    </dxf>
  </rfmt>
  <rfmt sheetId="1" sqref="AW306" start="0" length="0">
    <dxf>
      <font>
        <sz val="11"/>
        <color theme="1"/>
        <name val="Calibri"/>
        <scheme val="none"/>
      </font>
    </dxf>
  </rfmt>
  <rfmt sheetId="1" sqref="AX306" start="0" length="0">
    <dxf>
      <font>
        <sz val="11"/>
        <color theme="1"/>
        <name val="Calibri"/>
        <scheme val="none"/>
      </font>
    </dxf>
  </rfmt>
  <rfmt sheetId="1" sqref="AY306" start="0" length="0">
    <dxf>
      <font>
        <sz val="11"/>
        <color theme="1"/>
        <name val="Calibri"/>
        <scheme val="none"/>
      </font>
    </dxf>
  </rfmt>
  <rfmt sheetId="1" sqref="A306:XFD306" start="0" length="0">
    <dxf>
      <font>
        <sz val="11"/>
        <color theme="1"/>
        <name val="Calibri"/>
        <scheme val="none"/>
      </font>
    </dxf>
  </rfmt>
  <rfmt sheetId="1" sqref="A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0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0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07" start="0" length="0">
    <dxf>
      <font>
        <sz val="11"/>
        <color theme="1"/>
        <name val="Calibri"/>
        <scheme val="none"/>
      </font>
    </dxf>
  </rfmt>
  <rfmt sheetId="1" sqref="AM307" start="0" length="0">
    <dxf>
      <font>
        <sz val="11"/>
        <color theme="1"/>
        <name val="Calibri"/>
        <scheme val="none"/>
      </font>
      <numFmt numFmtId="1" formatCode="0"/>
    </dxf>
  </rfmt>
  <rfmt sheetId="1" sqref="AN307" start="0" length="0">
    <dxf>
      <font>
        <sz val="11"/>
        <color theme="1"/>
        <name val="Calibri"/>
        <scheme val="none"/>
      </font>
      <numFmt numFmtId="1" formatCode="0"/>
    </dxf>
  </rfmt>
  <rfmt sheetId="1" sqref="AO307" start="0" length="0">
    <dxf>
      <font>
        <sz val="11"/>
        <color theme="1"/>
        <name val="Calibri"/>
        <scheme val="none"/>
      </font>
    </dxf>
  </rfmt>
  <rfmt sheetId="1" sqref="AP307" start="0" length="0">
    <dxf>
      <font>
        <sz val="11"/>
        <color theme="1"/>
        <name val="Calibri"/>
        <scheme val="none"/>
      </font>
    </dxf>
  </rfmt>
  <rfmt sheetId="1" sqref="AQ307" start="0" length="0">
    <dxf>
      <font>
        <sz val="11"/>
        <color theme="1"/>
        <name val="Calibri"/>
        <scheme val="none"/>
      </font>
      <numFmt numFmtId="164" formatCode="_-* #,##0_-;\-* #,##0_-;_-* &quot;-&quot;??_-;_-@_-"/>
    </dxf>
  </rfmt>
  <rfmt sheetId="1" sqref="AR307" start="0" length="0">
    <dxf>
      <font>
        <sz val="11"/>
        <color theme="1"/>
        <name val="Calibri"/>
        <scheme val="none"/>
      </font>
      <numFmt numFmtId="164" formatCode="_-* #,##0_-;\-* #,##0_-;_-* &quot;-&quot;??_-;_-@_-"/>
    </dxf>
  </rfmt>
  <rfmt sheetId="1" sqref="AS307" start="0" length="0">
    <dxf>
      <font>
        <sz val="11"/>
        <color theme="1"/>
        <name val="Calibri"/>
        <scheme val="none"/>
      </font>
      <numFmt numFmtId="164" formatCode="_-* #,##0_-;\-* #,##0_-;_-* &quot;-&quot;??_-;_-@_-"/>
    </dxf>
  </rfmt>
  <rfmt sheetId="1" sqref="AT307" start="0" length="0">
    <dxf>
      <font>
        <sz val="11"/>
        <color theme="1"/>
        <name val="Calibri"/>
        <scheme val="none"/>
      </font>
      <numFmt numFmtId="164" formatCode="_-* #,##0_-;\-* #,##0_-;_-* &quot;-&quot;??_-;_-@_-"/>
    </dxf>
  </rfmt>
  <rfmt sheetId="1" sqref="AU307" start="0" length="0">
    <dxf>
      <font>
        <sz val="11"/>
        <color theme="1"/>
        <name val="Calibri"/>
        <scheme val="none"/>
      </font>
    </dxf>
  </rfmt>
  <rfmt sheetId="1" sqref="AV307" start="0" length="0">
    <dxf>
      <font>
        <sz val="11"/>
        <color theme="1"/>
        <name val="Calibri"/>
        <scheme val="none"/>
      </font>
    </dxf>
  </rfmt>
  <rfmt sheetId="1" sqref="AW307" start="0" length="0">
    <dxf>
      <font>
        <sz val="11"/>
        <color theme="1"/>
        <name val="Calibri"/>
        <scheme val="none"/>
      </font>
    </dxf>
  </rfmt>
  <rfmt sheetId="1" sqref="AX307" start="0" length="0">
    <dxf>
      <font>
        <sz val="11"/>
        <color theme="1"/>
        <name val="Calibri"/>
        <scheme val="none"/>
      </font>
    </dxf>
  </rfmt>
  <rfmt sheetId="1" sqref="AY307" start="0" length="0">
    <dxf>
      <font>
        <sz val="11"/>
        <color theme="1"/>
        <name val="Calibri"/>
        <scheme val="none"/>
      </font>
    </dxf>
  </rfmt>
  <rfmt sheetId="1" sqref="A307:XFD307" start="0" length="0">
    <dxf>
      <font>
        <sz val="11"/>
        <color theme="1"/>
        <name val="Calibri"/>
        <scheme val="none"/>
      </font>
    </dxf>
  </rfmt>
  <rfmt sheetId="1" sqref="A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0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0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08" start="0" length="0">
    <dxf>
      <font>
        <sz val="11"/>
        <color theme="1"/>
        <name val="Calibri"/>
        <scheme val="none"/>
      </font>
    </dxf>
  </rfmt>
  <rfmt sheetId="1" sqref="AM308" start="0" length="0">
    <dxf>
      <font>
        <sz val="11"/>
        <color theme="1"/>
        <name val="Calibri"/>
        <scheme val="none"/>
      </font>
      <numFmt numFmtId="1" formatCode="0"/>
    </dxf>
  </rfmt>
  <rfmt sheetId="1" sqref="AN308" start="0" length="0">
    <dxf>
      <font>
        <sz val="11"/>
        <color theme="1"/>
        <name val="Calibri"/>
        <scheme val="none"/>
      </font>
      <numFmt numFmtId="1" formatCode="0"/>
    </dxf>
  </rfmt>
  <rfmt sheetId="1" sqref="AO308" start="0" length="0">
    <dxf>
      <font>
        <sz val="11"/>
        <color theme="1"/>
        <name val="Calibri"/>
        <scheme val="none"/>
      </font>
    </dxf>
  </rfmt>
  <rfmt sheetId="1" sqref="AP308" start="0" length="0">
    <dxf>
      <font>
        <sz val="11"/>
        <color theme="1"/>
        <name val="Calibri"/>
        <scheme val="none"/>
      </font>
    </dxf>
  </rfmt>
  <rfmt sheetId="1" sqref="AQ308" start="0" length="0">
    <dxf>
      <font>
        <sz val="11"/>
        <color theme="1"/>
        <name val="Calibri"/>
        <scheme val="none"/>
      </font>
      <numFmt numFmtId="164" formatCode="_-* #,##0_-;\-* #,##0_-;_-* &quot;-&quot;??_-;_-@_-"/>
    </dxf>
  </rfmt>
  <rfmt sheetId="1" sqref="AR308" start="0" length="0">
    <dxf>
      <font>
        <sz val="11"/>
        <color theme="1"/>
        <name val="Calibri"/>
        <scheme val="none"/>
      </font>
      <numFmt numFmtId="164" formatCode="_-* #,##0_-;\-* #,##0_-;_-* &quot;-&quot;??_-;_-@_-"/>
    </dxf>
  </rfmt>
  <rfmt sheetId="1" sqref="AS308" start="0" length="0">
    <dxf>
      <font>
        <sz val="11"/>
        <color theme="1"/>
        <name val="Calibri"/>
        <scheme val="none"/>
      </font>
      <numFmt numFmtId="164" formatCode="_-* #,##0_-;\-* #,##0_-;_-* &quot;-&quot;??_-;_-@_-"/>
    </dxf>
  </rfmt>
  <rfmt sheetId="1" sqref="AT308" start="0" length="0">
    <dxf>
      <font>
        <sz val="11"/>
        <color theme="1"/>
        <name val="Calibri"/>
        <scheme val="none"/>
      </font>
      <numFmt numFmtId="164" formatCode="_-* #,##0_-;\-* #,##0_-;_-* &quot;-&quot;??_-;_-@_-"/>
    </dxf>
  </rfmt>
  <rfmt sheetId="1" sqref="AU308" start="0" length="0">
    <dxf>
      <font>
        <sz val="11"/>
        <color theme="1"/>
        <name val="Calibri"/>
        <scheme val="none"/>
      </font>
    </dxf>
  </rfmt>
  <rfmt sheetId="1" sqref="AV308" start="0" length="0">
    <dxf>
      <font>
        <sz val="11"/>
        <color theme="1"/>
        <name val="Calibri"/>
        <scheme val="none"/>
      </font>
    </dxf>
  </rfmt>
  <rfmt sheetId="1" sqref="AW308" start="0" length="0">
    <dxf>
      <font>
        <sz val="11"/>
        <color theme="1"/>
        <name val="Calibri"/>
        <scheme val="none"/>
      </font>
    </dxf>
  </rfmt>
  <rfmt sheetId="1" sqref="AX308" start="0" length="0">
    <dxf>
      <font>
        <sz val="11"/>
        <color theme="1"/>
        <name val="Calibri"/>
        <scheme val="none"/>
      </font>
    </dxf>
  </rfmt>
  <rfmt sheetId="1" sqref="AY308" start="0" length="0">
    <dxf>
      <font>
        <sz val="11"/>
        <color theme="1"/>
        <name val="Calibri"/>
        <scheme val="none"/>
      </font>
    </dxf>
  </rfmt>
  <rfmt sheetId="1" sqref="A308:XFD308" start="0" length="0">
    <dxf>
      <font>
        <sz val="11"/>
        <color theme="1"/>
        <name val="Calibri"/>
        <scheme val="none"/>
      </font>
    </dxf>
  </rfmt>
  <rfmt sheetId="1" sqref="A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0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0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09" start="0" length="0">
    <dxf>
      <font>
        <sz val="11"/>
        <color theme="1"/>
        <name val="Calibri"/>
        <scheme val="none"/>
      </font>
    </dxf>
  </rfmt>
  <rfmt sheetId="1" sqref="AM309" start="0" length="0">
    <dxf>
      <font>
        <sz val="11"/>
        <color theme="1"/>
        <name val="Calibri"/>
        <scheme val="none"/>
      </font>
      <numFmt numFmtId="1" formatCode="0"/>
    </dxf>
  </rfmt>
  <rfmt sheetId="1" sqref="AN309" start="0" length="0">
    <dxf>
      <font>
        <sz val="11"/>
        <color theme="1"/>
        <name val="Calibri"/>
        <scheme val="none"/>
      </font>
      <numFmt numFmtId="1" formatCode="0"/>
    </dxf>
  </rfmt>
  <rfmt sheetId="1" sqref="AO309" start="0" length="0">
    <dxf>
      <font>
        <sz val="11"/>
        <color theme="1"/>
        <name val="Calibri"/>
        <scheme val="none"/>
      </font>
    </dxf>
  </rfmt>
  <rfmt sheetId="1" sqref="AP309" start="0" length="0">
    <dxf>
      <font>
        <sz val="11"/>
        <color theme="1"/>
        <name val="Calibri"/>
        <scheme val="none"/>
      </font>
    </dxf>
  </rfmt>
  <rfmt sheetId="1" sqref="AQ309" start="0" length="0">
    <dxf>
      <font>
        <sz val="11"/>
        <color theme="1"/>
        <name val="Calibri"/>
        <scheme val="none"/>
      </font>
      <numFmt numFmtId="164" formatCode="_-* #,##0_-;\-* #,##0_-;_-* &quot;-&quot;??_-;_-@_-"/>
    </dxf>
  </rfmt>
  <rfmt sheetId="1" sqref="AR309" start="0" length="0">
    <dxf>
      <font>
        <sz val="11"/>
        <color theme="1"/>
        <name val="Calibri"/>
        <scheme val="none"/>
      </font>
      <numFmt numFmtId="164" formatCode="_-* #,##0_-;\-* #,##0_-;_-* &quot;-&quot;??_-;_-@_-"/>
    </dxf>
  </rfmt>
  <rfmt sheetId="1" sqref="AS309" start="0" length="0">
    <dxf>
      <font>
        <sz val="11"/>
        <color theme="1"/>
        <name val="Calibri"/>
        <scheme val="none"/>
      </font>
      <numFmt numFmtId="164" formatCode="_-* #,##0_-;\-* #,##0_-;_-* &quot;-&quot;??_-;_-@_-"/>
    </dxf>
  </rfmt>
  <rfmt sheetId="1" sqref="AT309" start="0" length="0">
    <dxf>
      <font>
        <sz val="11"/>
        <color theme="1"/>
        <name val="Calibri"/>
        <scheme val="none"/>
      </font>
      <numFmt numFmtId="164" formatCode="_-* #,##0_-;\-* #,##0_-;_-* &quot;-&quot;??_-;_-@_-"/>
    </dxf>
  </rfmt>
  <rfmt sheetId="1" sqref="AU309" start="0" length="0">
    <dxf>
      <font>
        <sz val="11"/>
        <color theme="1"/>
        <name val="Calibri"/>
        <scheme val="none"/>
      </font>
    </dxf>
  </rfmt>
  <rfmt sheetId="1" sqref="AV309" start="0" length="0">
    <dxf>
      <font>
        <sz val="11"/>
        <color theme="1"/>
        <name val="Calibri"/>
        <scheme val="none"/>
      </font>
    </dxf>
  </rfmt>
  <rfmt sheetId="1" sqref="AW309" start="0" length="0">
    <dxf>
      <font>
        <sz val="11"/>
        <color theme="1"/>
        <name val="Calibri"/>
        <scheme val="none"/>
      </font>
    </dxf>
  </rfmt>
  <rfmt sheetId="1" sqref="AX309" start="0" length="0">
    <dxf>
      <font>
        <sz val="11"/>
        <color theme="1"/>
        <name val="Calibri"/>
        <scheme val="none"/>
      </font>
    </dxf>
  </rfmt>
  <rfmt sheetId="1" sqref="AY309" start="0" length="0">
    <dxf>
      <font>
        <sz val="11"/>
        <color theme="1"/>
        <name val="Calibri"/>
        <scheme val="none"/>
      </font>
    </dxf>
  </rfmt>
  <rfmt sheetId="1" sqref="A309:XFD309" start="0" length="0">
    <dxf>
      <font>
        <sz val="11"/>
        <color theme="1"/>
        <name val="Calibri"/>
        <scheme val="none"/>
      </font>
    </dxf>
  </rfmt>
  <rfmt sheetId="1" sqref="A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1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1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10" start="0" length="0">
    <dxf>
      <font>
        <sz val="11"/>
        <color theme="1"/>
        <name val="Calibri"/>
        <scheme val="none"/>
      </font>
    </dxf>
  </rfmt>
  <rfmt sheetId="1" sqref="AM310" start="0" length="0">
    <dxf>
      <font>
        <sz val="11"/>
        <color theme="1"/>
        <name val="Calibri"/>
        <scheme val="none"/>
      </font>
      <numFmt numFmtId="1" formatCode="0"/>
    </dxf>
  </rfmt>
  <rfmt sheetId="1" sqref="AN310" start="0" length="0">
    <dxf>
      <font>
        <sz val="11"/>
        <color theme="1"/>
        <name val="Calibri"/>
        <scheme val="none"/>
      </font>
      <numFmt numFmtId="1" formatCode="0"/>
    </dxf>
  </rfmt>
  <rfmt sheetId="1" sqref="AO310" start="0" length="0">
    <dxf>
      <font>
        <sz val="11"/>
        <color theme="1"/>
        <name val="Calibri"/>
        <scheme val="none"/>
      </font>
    </dxf>
  </rfmt>
  <rfmt sheetId="1" sqref="AP310" start="0" length="0">
    <dxf>
      <font>
        <sz val="11"/>
        <color theme="1"/>
        <name val="Calibri"/>
        <scheme val="none"/>
      </font>
    </dxf>
  </rfmt>
  <rfmt sheetId="1" sqref="AQ310" start="0" length="0">
    <dxf>
      <font>
        <sz val="11"/>
        <color theme="1"/>
        <name val="Calibri"/>
        <scheme val="none"/>
      </font>
      <numFmt numFmtId="164" formatCode="_-* #,##0_-;\-* #,##0_-;_-* &quot;-&quot;??_-;_-@_-"/>
    </dxf>
  </rfmt>
  <rfmt sheetId="1" sqref="AR310" start="0" length="0">
    <dxf>
      <font>
        <sz val="11"/>
        <color theme="1"/>
        <name val="Calibri"/>
        <scheme val="none"/>
      </font>
      <numFmt numFmtId="164" formatCode="_-* #,##0_-;\-* #,##0_-;_-* &quot;-&quot;??_-;_-@_-"/>
    </dxf>
  </rfmt>
  <rfmt sheetId="1" sqref="AS310" start="0" length="0">
    <dxf>
      <font>
        <sz val="11"/>
        <color theme="1"/>
        <name val="Calibri"/>
        <scheme val="none"/>
      </font>
      <numFmt numFmtId="164" formatCode="_-* #,##0_-;\-* #,##0_-;_-* &quot;-&quot;??_-;_-@_-"/>
    </dxf>
  </rfmt>
  <rfmt sheetId="1" sqref="AT310" start="0" length="0">
    <dxf>
      <font>
        <sz val="11"/>
        <color theme="1"/>
        <name val="Calibri"/>
        <scheme val="none"/>
      </font>
      <numFmt numFmtId="164" formatCode="_-* #,##0_-;\-* #,##0_-;_-* &quot;-&quot;??_-;_-@_-"/>
    </dxf>
  </rfmt>
  <rfmt sheetId="1" sqref="AU310" start="0" length="0">
    <dxf>
      <font>
        <sz val="11"/>
        <color theme="1"/>
        <name val="Calibri"/>
        <scheme val="none"/>
      </font>
    </dxf>
  </rfmt>
  <rfmt sheetId="1" sqref="AV310" start="0" length="0">
    <dxf>
      <font>
        <sz val="11"/>
        <color theme="1"/>
        <name val="Calibri"/>
        <scheme val="none"/>
      </font>
    </dxf>
  </rfmt>
  <rfmt sheetId="1" sqref="AW310" start="0" length="0">
    <dxf>
      <font>
        <sz val="11"/>
        <color theme="1"/>
        <name val="Calibri"/>
        <scheme val="none"/>
      </font>
    </dxf>
  </rfmt>
  <rfmt sheetId="1" sqref="AX310" start="0" length="0">
    <dxf>
      <font>
        <sz val="11"/>
        <color theme="1"/>
        <name val="Calibri"/>
        <scheme val="none"/>
      </font>
    </dxf>
  </rfmt>
  <rfmt sheetId="1" sqref="AY310" start="0" length="0">
    <dxf>
      <font>
        <sz val="11"/>
        <color theme="1"/>
        <name val="Calibri"/>
        <scheme val="none"/>
      </font>
    </dxf>
  </rfmt>
  <rfmt sheetId="1" sqref="A310:XFD310" start="0" length="0">
    <dxf>
      <font>
        <sz val="11"/>
        <color theme="1"/>
        <name val="Calibri"/>
        <scheme val="none"/>
      </font>
    </dxf>
  </rfmt>
  <rfmt sheetId="1" sqref="A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1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1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11" start="0" length="0">
    <dxf>
      <font>
        <sz val="11"/>
        <color theme="1"/>
        <name val="Calibri"/>
        <scheme val="none"/>
      </font>
    </dxf>
  </rfmt>
  <rfmt sheetId="1" sqref="AM311" start="0" length="0">
    <dxf>
      <font>
        <sz val="11"/>
        <color theme="1"/>
        <name val="Calibri"/>
        <scheme val="none"/>
      </font>
      <numFmt numFmtId="1" formatCode="0"/>
    </dxf>
  </rfmt>
  <rfmt sheetId="1" sqref="AN311" start="0" length="0">
    <dxf>
      <font>
        <sz val="11"/>
        <color theme="1"/>
        <name val="Calibri"/>
        <scheme val="none"/>
      </font>
      <numFmt numFmtId="1" formatCode="0"/>
    </dxf>
  </rfmt>
  <rfmt sheetId="1" sqref="AO311" start="0" length="0">
    <dxf>
      <font>
        <sz val="11"/>
        <color theme="1"/>
        <name val="Calibri"/>
        <scheme val="none"/>
      </font>
    </dxf>
  </rfmt>
  <rfmt sheetId="1" sqref="AP311" start="0" length="0">
    <dxf>
      <font>
        <sz val="11"/>
        <color theme="1"/>
        <name val="Calibri"/>
        <scheme val="none"/>
      </font>
    </dxf>
  </rfmt>
  <rfmt sheetId="1" sqref="AQ311" start="0" length="0">
    <dxf>
      <font>
        <sz val="11"/>
        <color theme="1"/>
        <name val="Calibri"/>
        <scheme val="none"/>
      </font>
      <numFmt numFmtId="164" formatCode="_-* #,##0_-;\-* #,##0_-;_-* &quot;-&quot;??_-;_-@_-"/>
    </dxf>
  </rfmt>
  <rfmt sheetId="1" sqref="AR311" start="0" length="0">
    <dxf>
      <font>
        <sz val="11"/>
        <color theme="1"/>
        <name val="Calibri"/>
        <scheme val="none"/>
      </font>
      <numFmt numFmtId="164" formatCode="_-* #,##0_-;\-* #,##0_-;_-* &quot;-&quot;??_-;_-@_-"/>
    </dxf>
  </rfmt>
  <rfmt sheetId="1" sqref="AS311" start="0" length="0">
    <dxf>
      <font>
        <sz val="11"/>
        <color theme="1"/>
        <name val="Calibri"/>
        <scheme val="none"/>
      </font>
      <numFmt numFmtId="164" formatCode="_-* #,##0_-;\-* #,##0_-;_-* &quot;-&quot;??_-;_-@_-"/>
    </dxf>
  </rfmt>
  <rfmt sheetId="1" sqref="AT311" start="0" length="0">
    <dxf>
      <font>
        <sz val="11"/>
        <color theme="1"/>
        <name val="Calibri"/>
        <scheme val="none"/>
      </font>
      <numFmt numFmtId="164" formatCode="_-* #,##0_-;\-* #,##0_-;_-* &quot;-&quot;??_-;_-@_-"/>
    </dxf>
  </rfmt>
  <rfmt sheetId="1" sqref="AU311" start="0" length="0">
    <dxf>
      <font>
        <sz val="11"/>
        <color theme="1"/>
        <name val="Calibri"/>
        <scheme val="none"/>
      </font>
    </dxf>
  </rfmt>
  <rfmt sheetId="1" sqref="AV311" start="0" length="0">
    <dxf>
      <font>
        <sz val="11"/>
        <color theme="1"/>
        <name val="Calibri"/>
        <scheme val="none"/>
      </font>
    </dxf>
  </rfmt>
  <rfmt sheetId="1" sqref="AW311" start="0" length="0">
    <dxf>
      <font>
        <sz val="11"/>
        <color theme="1"/>
        <name val="Calibri"/>
        <scheme val="none"/>
      </font>
    </dxf>
  </rfmt>
  <rfmt sheetId="1" sqref="AX311" start="0" length="0">
    <dxf>
      <font>
        <sz val="11"/>
        <color theme="1"/>
        <name val="Calibri"/>
        <scheme val="none"/>
      </font>
    </dxf>
  </rfmt>
  <rfmt sheetId="1" sqref="AY311" start="0" length="0">
    <dxf>
      <font>
        <sz val="11"/>
        <color theme="1"/>
        <name val="Calibri"/>
        <scheme val="none"/>
      </font>
    </dxf>
  </rfmt>
  <rfmt sheetId="1" sqref="A311:XFD311" start="0" length="0">
    <dxf>
      <font>
        <sz val="11"/>
        <color theme="1"/>
        <name val="Calibri"/>
        <scheme val="none"/>
      </font>
    </dxf>
  </rfmt>
  <rfmt sheetId="1" sqref="A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1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1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12" start="0" length="0">
    <dxf>
      <font>
        <sz val="11"/>
        <color theme="1"/>
        <name val="Calibri"/>
        <scheme val="none"/>
      </font>
    </dxf>
  </rfmt>
  <rfmt sheetId="1" sqref="AM312" start="0" length="0">
    <dxf>
      <font>
        <sz val="11"/>
        <color theme="1"/>
        <name val="Calibri"/>
        <scheme val="none"/>
      </font>
      <numFmt numFmtId="1" formatCode="0"/>
    </dxf>
  </rfmt>
  <rfmt sheetId="1" sqref="AN312" start="0" length="0">
    <dxf>
      <font>
        <sz val="11"/>
        <color theme="1"/>
        <name val="Calibri"/>
        <scheme val="none"/>
      </font>
      <numFmt numFmtId="1" formatCode="0"/>
    </dxf>
  </rfmt>
  <rfmt sheetId="1" sqref="AO312" start="0" length="0">
    <dxf>
      <font>
        <sz val="11"/>
        <color theme="1"/>
        <name val="Calibri"/>
        <scheme val="none"/>
      </font>
    </dxf>
  </rfmt>
  <rfmt sheetId="1" sqref="AP312" start="0" length="0">
    <dxf>
      <font>
        <sz val="11"/>
        <color theme="1"/>
        <name val="Calibri"/>
        <scheme val="none"/>
      </font>
    </dxf>
  </rfmt>
  <rfmt sheetId="1" sqref="AQ312" start="0" length="0">
    <dxf>
      <font>
        <sz val="11"/>
        <color theme="1"/>
        <name val="Calibri"/>
        <scheme val="none"/>
      </font>
      <numFmt numFmtId="164" formatCode="_-* #,##0_-;\-* #,##0_-;_-* &quot;-&quot;??_-;_-@_-"/>
    </dxf>
  </rfmt>
  <rfmt sheetId="1" sqref="AR312" start="0" length="0">
    <dxf>
      <font>
        <sz val="11"/>
        <color theme="1"/>
        <name val="Calibri"/>
        <scheme val="none"/>
      </font>
      <numFmt numFmtId="164" formatCode="_-* #,##0_-;\-* #,##0_-;_-* &quot;-&quot;??_-;_-@_-"/>
    </dxf>
  </rfmt>
  <rfmt sheetId="1" sqref="AS312" start="0" length="0">
    <dxf>
      <font>
        <sz val="11"/>
        <color theme="1"/>
        <name val="Calibri"/>
        <scheme val="none"/>
      </font>
      <numFmt numFmtId="164" formatCode="_-* #,##0_-;\-* #,##0_-;_-* &quot;-&quot;??_-;_-@_-"/>
    </dxf>
  </rfmt>
  <rfmt sheetId="1" sqref="AT312" start="0" length="0">
    <dxf>
      <font>
        <sz val="11"/>
        <color theme="1"/>
        <name val="Calibri"/>
        <scheme val="none"/>
      </font>
      <numFmt numFmtId="164" formatCode="_-* #,##0_-;\-* #,##0_-;_-* &quot;-&quot;??_-;_-@_-"/>
    </dxf>
  </rfmt>
  <rfmt sheetId="1" sqref="AU312" start="0" length="0">
    <dxf>
      <font>
        <sz val="11"/>
        <color theme="1"/>
        <name val="Calibri"/>
        <scheme val="none"/>
      </font>
    </dxf>
  </rfmt>
  <rfmt sheetId="1" sqref="AV312" start="0" length="0">
    <dxf>
      <font>
        <sz val="11"/>
        <color theme="1"/>
        <name val="Calibri"/>
        <scheme val="none"/>
      </font>
    </dxf>
  </rfmt>
  <rfmt sheetId="1" sqref="AW312" start="0" length="0">
    <dxf>
      <font>
        <sz val="11"/>
        <color theme="1"/>
        <name val="Calibri"/>
        <scheme val="none"/>
      </font>
    </dxf>
  </rfmt>
  <rfmt sheetId="1" sqref="AX312" start="0" length="0">
    <dxf>
      <font>
        <sz val="11"/>
        <color theme="1"/>
        <name val="Calibri"/>
        <scheme val="none"/>
      </font>
    </dxf>
  </rfmt>
  <rfmt sheetId="1" sqref="AY312" start="0" length="0">
    <dxf>
      <font>
        <sz val="11"/>
        <color theme="1"/>
        <name val="Calibri"/>
        <scheme val="none"/>
      </font>
    </dxf>
  </rfmt>
  <rfmt sheetId="1" sqref="A312:XFD312" start="0" length="0">
    <dxf>
      <font>
        <sz val="11"/>
        <color theme="1"/>
        <name val="Calibri"/>
        <scheme val="none"/>
      </font>
    </dxf>
  </rfmt>
  <rfmt sheetId="1" sqref="A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1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1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13" start="0" length="0">
    <dxf>
      <font>
        <sz val="11"/>
        <color theme="1"/>
        <name val="Calibri"/>
        <scheme val="none"/>
      </font>
    </dxf>
  </rfmt>
  <rfmt sheetId="1" sqref="AM313" start="0" length="0">
    <dxf>
      <font>
        <sz val="11"/>
        <color theme="1"/>
        <name val="Calibri"/>
        <scheme val="none"/>
      </font>
      <numFmt numFmtId="1" formatCode="0"/>
    </dxf>
  </rfmt>
  <rfmt sheetId="1" sqref="AN313" start="0" length="0">
    <dxf>
      <font>
        <sz val="11"/>
        <color theme="1"/>
        <name val="Calibri"/>
        <scheme val="none"/>
      </font>
      <numFmt numFmtId="1" formatCode="0"/>
    </dxf>
  </rfmt>
  <rfmt sheetId="1" sqref="AO313" start="0" length="0">
    <dxf>
      <font>
        <sz val="11"/>
        <color theme="1"/>
        <name val="Calibri"/>
        <scheme val="none"/>
      </font>
    </dxf>
  </rfmt>
  <rfmt sheetId="1" sqref="AP313" start="0" length="0">
    <dxf>
      <font>
        <sz val="11"/>
        <color theme="1"/>
        <name val="Calibri"/>
        <scheme val="none"/>
      </font>
    </dxf>
  </rfmt>
  <rfmt sheetId="1" sqref="AQ313" start="0" length="0">
    <dxf>
      <font>
        <sz val="11"/>
        <color theme="1"/>
        <name val="Calibri"/>
        <scheme val="none"/>
      </font>
      <numFmt numFmtId="164" formatCode="_-* #,##0_-;\-* #,##0_-;_-* &quot;-&quot;??_-;_-@_-"/>
    </dxf>
  </rfmt>
  <rfmt sheetId="1" sqref="AR313" start="0" length="0">
    <dxf>
      <font>
        <sz val="11"/>
        <color theme="1"/>
        <name val="Calibri"/>
        <scheme val="none"/>
      </font>
      <numFmt numFmtId="164" formatCode="_-* #,##0_-;\-* #,##0_-;_-* &quot;-&quot;??_-;_-@_-"/>
    </dxf>
  </rfmt>
  <rfmt sheetId="1" sqref="AS313" start="0" length="0">
    <dxf>
      <font>
        <sz val="11"/>
        <color theme="1"/>
        <name val="Calibri"/>
        <scheme val="none"/>
      </font>
      <numFmt numFmtId="164" formatCode="_-* #,##0_-;\-* #,##0_-;_-* &quot;-&quot;??_-;_-@_-"/>
    </dxf>
  </rfmt>
  <rfmt sheetId="1" sqref="AT313" start="0" length="0">
    <dxf>
      <font>
        <sz val="11"/>
        <color theme="1"/>
        <name val="Calibri"/>
        <scheme val="none"/>
      </font>
      <numFmt numFmtId="164" formatCode="_-* #,##0_-;\-* #,##0_-;_-* &quot;-&quot;??_-;_-@_-"/>
    </dxf>
  </rfmt>
  <rfmt sheetId="1" sqref="AU313" start="0" length="0">
    <dxf>
      <font>
        <sz val="11"/>
        <color theme="1"/>
        <name val="Calibri"/>
        <scheme val="none"/>
      </font>
    </dxf>
  </rfmt>
  <rfmt sheetId="1" sqref="AV313" start="0" length="0">
    <dxf>
      <font>
        <sz val="11"/>
        <color theme="1"/>
        <name val="Calibri"/>
        <scheme val="none"/>
      </font>
    </dxf>
  </rfmt>
  <rfmt sheetId="1" sqref="AW313" start="0" length="0">
    <dxf>
      <font>
        <sz val="11"/>
        <color theme="1"/>
        <name val="Calibri"/>
        <scheme val="none"/>
      </font>
    </dxf>
  </rfmt>
  <rfmt sheetId="1" sqref="AX313" start="0" length="0">
    <dxf>
      <font>
        <sz val="11"/>
        <color theme="1"/>
        <name val="Calibri"/>
        <scheme val="none"/>
      </font>
    </dxf>
  </rfmt>
  <rfmt sheetId="1" sqref="AY313" start="0" length="0">
    <dxf>
      <font>
        <sz val="11"/>
        <color theme="1"/>
        <name val="Calibri"/>
        <scheme val="none"/>
      </font>
    </dxf>
  </rfmt>
  <rfmt sheetId="1" sqref="A313:XFD313" start="0" length="0">
    <dxf>
      <font>
        <sz val="11"/>
        <color theme="1"/>
        <name val="Calibri"/>
        <scheme val="none"/>
      </font>
    </dxf>
  </rfmt>
  <rfmt sheetId="1" sqref="A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1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1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14" start="0" length="0">
    <dxf>
      <font>
        <sz val="11"/>
        <color theme="1"/>
        <name val="Calibri"/>
        <scheme val="none"/>
      </font>
    </dxf>
  </rfmt>
  <rfmt sheetId="1" sqref="AM314" start="0" length="0">
    <dxf>
      <font>
        <sz val="11"/>
        <color theme="1"/>
        <name val="Calibri"/>
        <scheme val="none"/>
      </font>
      <numFmt numFmtId="1" formatCode="0"/>
    </dxf>
  </rfmt>
  <rfmt sheetId="1" sqref="AN314" start="0" length="0">
    <dxf>
      <font>
        <sz val="11"/>
        <color theme="1"/>
        <name val="Calibri"/>
        <scheme val="none"/>
      </font>
      <numFmt numFmtId="1" formatCode="0"/>
    </dxf>
  </rfmt>
  <rfmt sheetId="1" sqref="AO314" start="0" length="0">
    <dxf>
      <font>
        <sz val="11"/>
        <color theme="1"/>
        <name val="Calibri"/>
        <scheme val="none"/>
      </font>
    </dxf>
  </rfmt>
  <rfmt sheetId="1" sqref="AP314" start="0" length="0">
    <dxf>
      <font>
        <sz val="11"/>
        <color theme="1"/>
        <name val="Calibri"/>
        <scheme val="none"/>
      </font>
    </dxf>
  </rfmt>
  <rfmt sheetId="1" sqref="AQ314" start="0" length="0">
    <dxf>
      <font>
        <sz val="11"/>
        <color theme="1"/>
        <name val="Calibri"/>
        <scheme val="none"/>
      </font>
      <numFmt numFmtId="164" formatCode="_-* #,##0_-;\-* #,##0_-;_-* &quot;-&quot;??_-;_-@_-"/>
    </dxf>
  </rfmt>
  <rfmt sheetId="1" sqref="AR314" start="0" length="0">
    <dxf>
      <font>
        <sz val="11"/>
        <color theme="1"/>
        <name val="Calibri"/>
        <scheme val="none"/>
      </font>
      <numFmt numFmtId="164" formatCode="_-* #,##0_-;\-* #,##0_-;_-* &quot;-&quot;??_-;_-@_-"/>
    </dxf>
  </rfmt>
  <rfmt sheetId="1" sqref="AS314" start="0" length="0">
    <dxf>
      <font>
        <sz val="11"/>
        <color theme="1"/>
        <name val="Calibri"/>
        <scheme val="none"/>
      </font>
      <numFmt numFmtId="164" formatCode="_-* #,##0_-;\-* #,##0_-;_-* &quot;-&quot;??_-;_-@_-"/>
    </dxf>
  </rfmt>
  <rfmt sheetId="1" sqref="AT314" start="0" length="0">
    <dxf>
      <font>
        <sz val="11"/>
        <color theme="1"/>
        <name val="Calibri"/>
        <scheme val="none"/>
      </font>
      <numFmt numFmtId="164" formatCode="_-* #,##0_-;\-* #,##0_-;_-* &quot;-&quot;??_-;_-@_-"/>
    </dxf>
  </rfmt>
  <rfmt sheetId="1" sqref="AU314" start="0" length="0">
    <dxf>
      <font>
        <sz val="11"/>
        <color theme="1"/>
        <name val="Calibri"/>
        <scheme val="none"/>
      </font>
    </dxf>
  </rfmt>
  <rfmt sheetId="1" sqref="AV314" start="0" length="0">
    <dxf>
      <font>
        <sz val="11"/>
        <color theme="1"/>
        <name val="Calibri"/>
        <scheme val="none"/>
      </font>
    </dxf>
  </rfmt>
  <rfmt sheetId="1" sqref="AW314" start="0" length="0">
    <dxf>
      <font>
        <sz val="11"/>
        <color theme="1"/>
        <name val="Calibri"/>
        <scheme val="none"/>
      </font>
    </dxf>
  </rfmt>
  <rfmt sheetId="1" sqref="AX314" start="0" length="0">
    <dxf>
      <font>
        <sz val="11"/>
        <color theme="1"/>
        <name val="Calibri"/>
        <scheme val="none"/>
      </font>
    </dxf>
  </rfmt>
  <rfmt sheetId="1" sqref="AY314" start="0" length="0">
    <dxf>
      <font>
        <sz val="11"/>
        <color theme="1"/>
        <name val="Calibri"/>
        <scheme val="none"/>
      </font>
    </dxf>
  </rfmt>
  <rfmt sheetId="1" sqref="A314:XFD314" start="0" length="0">
    <dxf>
      <font>
        <sz val="11"/>
        <color theme="1"/>
        <name val="Calibri"/>
        <scheme val="none"/>
      </font>
    </dxf>
  </rfmt>
  <rfmt sheetId="1" sqref="A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1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1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15" start="0" length="0">
    <dxf>
      <font>
        <sz val="11"/>
        <color theme="1"/>
        <name val="Calibri"/>
        <scheme val="none"/>
      </font>
    </dxf>
  </rfmt>
  <rfmt sheetId="1" sqref="AM315" start="0" length="0">
    <dxf>
      <font>
        <sz val="11"/>
        <color theme="1"/>
        <name val="Calibri"/>
        <scheme val="none"/>
      </font>
      <numFmt numFmtId="1" formatCode="0"/>
    </dxf>
  </rfmt>
  <rfmt sheetId="1" sqref="AN315" start="0" length="0">
    <dxf>
      <font>
        <sz val="11"/>
        <color theme="1"/>
        <name val="Calibri"/>
        <scheme val="none"/>
      </font>
      <numFmt numFmtId="1" formatCode="0"/>
    </dxf>
  </rfmt>
  <rfmt sheetId="1" sqref="AO315" start="0" length="0">
    <dxf>
      <font>
        <sz val="11"/>
        <color theme="1"/>
        <name val="Calibri"/>
        <scheme val="none"/>
      </font>
    </dxf>
  </rfmt>
  <rfmt sheetId="1" sqref="AP315" start="0" length="0">
    <dxf>
      <font>
        <sz val="11"/>
        <color theme="1"/>
        <name val="Calibri"/>
        <scheme val="none"/>
      </font>
    </dxf>
  </rfmt>
  <rfmt sheetId="1" sqref="AQ315" start="0" length="0">
    <dxf>
      <font>
        <sz val="11"/>
        <color theme="1"/>
        <name val="Calibri"/>
        <scheme val="none"/>
      </font>
      <numFmt numFmtId="164" formatCode="_-* #,##0_-;\-* #,##0_-;_-* &quot;-&quot;??_-;_-@_-"/>
    </dxf>
  </rfmt>
  <rfmt sheetId="1" sqref="AR315" start="0" length="0">
    <dxf>
      <font>
        <sz val="11"/>
        <color theme="1"/>
        <name val="Calibri"/>
        <scheme val="none"/>
      </font>
      <numFmt numFmtId="164" formatCode="_-* #,##0_-;\-* #,##0_-;_-* &quot;-&quot;??_-;_-@_-"/>
    </dxf>
  </rfmt>
  <rfmt sheetId="1" sqref="AS315" start="0" length="0">
    <dxf>
      <font>
        <sz val="11"/>
        <color theme="1"/>
        <name val="Calibri"/>
        <scheme val="none"/>
      </font>
      <numFmt numFmtId="164" formatCode="_-* #,##0_-;\-* #,##0_-;_-* &quot;-&quot;??_-;_-@_-"/>
    </dxf>
  </rfmt>
  <rfmt sheetId="1" sqref="AT315" start="0" length="0">
    <dxf>
      <font>
        <sz val="11"/>
        <color theme="1"/>
        <name val="Calibri"/>
        <scheme val="none"/>
      </font>
      <numFmt numFmtId="164" formatCode="_-* #,##0_-;\-* #,##0_-;_-* &quot;-&quot;??_-;_-@_-"/>
    </dxf>
  </rfmt>
  <rfmt sheetId="1" sqref="AU315" start="0" length="0">
    <dxf>
      <font>
        <sz val="11"/>
        <color theme="1"/>
        <name val="Calibri"/>
        <scheme val="none"/>
      </font>
    </dxf>
  </rfmt>
  <rfmt sheetId="1" sqref="AV315" start="0" length="0">
    <dxf>
      <font>
        <sz val="11"/>
        <color theme="1"/>
        <name val="Calibri"/>
        <scheme val="none"/>
      </font>
    </dxf>
  </rfmt>
  <rfmt sheetId="1" sqref="AW315" start="0" length="0">
    <dxf>
      <font>
        <sz val="11"/>
        <color theme="1"/>
        <name val="Calibri"/>
        <scheme val="none"/>
      </font>
    </dxf>
  </rfmt>
  <rfmt sheetId="1" sqref="AX315" start="0" length="0">
    <dxf>
      <font>
        <sz val="11"/>
        <color theme="1"/>
        <name val="Calibri"/>
        <scheme val="none"/>
      </font>
    </dxf>
  </rfmt>
  <rfmt sheetId="1" sqref="AY315" start="0" length="0">
    <dxf>
      <font>
        <sz val="11"/>
        <color theme="1"/>
        <name val="Calibri"/>
        <scheme val="none"/>
      </font>
    </dxf>
  </rfmt>
  <rfmt sheetId="1" sqref="A315:XFD315" start="0" length="0">
    <dxf>
      <font>
        <sz val="11"/>
        <color theme="1"/>
        <name val="Calibri"/>
        <scheme val="none"/>
      </font>
    </dxf>
  </rfmt>
  <rfmt sheetId="1" sqref="A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1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1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16" start="0" length="0">
    <dxf>
      <font>
        <sz val="11"/>
        <color theme="1"/>
        <name val="Calibri"/>
        <scheme val="none"/>
      </font>
    </dxf>
  </rfmt>
  <rfmt sheetId="1" sqref="AM316" start="0" length="0">
    <dxf>
      <font>
        <sz val="11"/>
        <color theme="1"/>
        <name val="Calibri"/>
        <scheme val="none"/>
      </font>
      <numFmt numFmtId="1" formatCode="0"/>
    </dxf>
  </rfmt>
  <rfmt sheetId="1" sqref="AN316" start="0" length="0">
    <dxf>
      <font>
        <sz val="11"/>
        <color theme="1"/>
        <name val="Calibri"/>
        <scheme val="none"/>
      </font>
      <numFmt numFmtId="1" formatCode="0"/>
    </dxf>
  </rfmt>
  <rfmt sheetId="1" sqref="AO316" start="0" length="0">
    <dxf>
      <font>
        <sz val="11"/>
        <color theme="1"/>
        <name val="Calibri"/>
        <scheme val="none"/>
      </font>
    </dxf>
  </rfmt>
  <rfmt sheetId="1" sqref="AP316" start="0" length="0">
    <dxf>
      <font>
        <sz val="11"/>
        <color theme="1"/>
        <name val="Calibri"/>
        <scheme val="none"/>
      </font>
    </dxf>
  </rfmt>
  <rfmt sheetId="1" sqref="AQ316" start="0" length="0">
    <dxf>
      <font>
        <sz val="11"/>
        <color theme="1"/>
        <name val="Calibri"/>
        <scheme val="none"/>
      </font>
      <numFmt numFmtId="164" formatCode="_-* #,##0_-;\-* #,##0_-;_-* &quot;-&quot;??_-;_-@_-"/>
    </dxf>
  </rfmt>
  <rfmt sheetId="1" sqref="AR316" start="0" length="0">
    <dxf>
      <font>
        <sz val="11"/>
        <color theme="1"/>
        <name val="Calibri"/>
        <scheme val="none"/>
      </font>
      <numFmt numFmtId="164" formatCode="_-* #,##0_-;\-* #,##0_-;_-* &quot;-&quot;??_-;_-@_-"/>
    </dxf>
  </rfmt>
  <rfmt sheetId="1" sqref="AS316" start="0" length="0">
    <dxf>
      <font>
        <sz val="11"/>
        <color theme="1"/>
        <name val="Calibri"/>
        <scheme val="none"/>
      </font>
      <numFmt numFmtId="164" formatCode="_-* #,##0_-;\-* #,##0_-;_-* &quot;-&quot;??_-;_-@_-"/>
    </dxf>
  </rfmt>
  <rfmt sheetId="1" sqref="AT316" start="0" length="0">
    <dxf>
      <font>
        <sz val="11"/>
        <color theme="1"/>
        <name val="Calibri"/>
        <scheme val="none"/>
      </font>
      <numFmt numFmtId="164" formatCode="_-* #,##0_-;\-* #,##0_-;_-* &quot;-&quot;??_-;_-@_-"/>
    </dxf>
  </rfmt>
  <rfmt sheetId="1" sqref="AU316" start="0" length="0">
    <dxf>
      <font>
        <sz val="11"/>
        <color theme="1"/>
        <name val="Calibri"/>
        <scheme val="none"/>
      </font>
    </dxf>
  </rfmt>
  <rfmt sheetId="1" sqref="AV316" start="0" length="0">
    <dxf>
      <font>
        <sz val="11"/>
        <color theme="1"/>
        <name val="Calibri"/>
        <scheme val="none"/>
      </font>
    </dxf>
  </rfmt>
  <rfmt sheetId="1" sqref="AW316" start="0" length="0">
    <dxf>
      <font>
        <sz val="11"/>
        <color theme="1"/>
        <name val="Calibri"/>
        <scheme val="none"/>
      </font>
    </dxf>
  </rfmt>
  <rfmt sheetId="1" sqref="AX316" start="0" length="0">
    <dxf>
      <font>
        <sz val="11"/>
        <color theme="1"/>
        <name val="Calibri"/>
        <scheme val="none"/>
      </font>
    </dxf>
  </rfmt>
  <rfmt sheetId="1" sqref="AY316" start="0" length="0">
    <dxf>
      <font>
        <sz val="11"/>
        <color theme="1"/>
        <name val="Calibri"/>
        <scheme val="none"/>
      </font>
    </dxf>
  </rfmt>
  <rfmt sheetId="1" sqref="A316:XFD316" start="0" length="0">
    <dxf>
      <font>
        <sz val="11"/>
        <color theme="1"/>
        <name val="Calibri"/>
        <scheme val="none"/>
      </font>
    </dxf>
  </rfmt>
  <rfmt sheetId="1" sqref="A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1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1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17" start="0" length="0">
    <dxf>
      <font>
        <sz val="11"/>
        <color theme="1"/>
        <name val="Calibri"/>
        <scheme val="none"/>
      </font>
    </dxf>
  </rfmt>
  <rfmt sheetId="1" sqref="AM317" start="0" length="0">
    <dxf>
      <font>
        <sz val="11"/>
        <color theme="1"/>
        <name val="Calibri"/>
        <scheme val="none"/>
      </font>
      <numFmt numFmtId="1" formatCode="0"/>
    </dxf>
  </rfmt>
  <rfmt sheetId="1" sqref="AN317" start="0" length="0">
    <dxf>
      <font>
        <sz val="11"/>
        <color theme="1"/>
        <name val="Calibri"/>
        <scheme val="none"/>
      </font>
      <numFmt numFmtId="1" formatCode="0"/>
    </dxf>
  </rfmt>
  <rfmt sheetId="1" sqref="AO317" start="0" length="0">
    <dxf>
      <font>
        <sz val="11"/>
        <color theme="1"/>
        <name val="Calibri"/>
        <scheme val="none"/>
      </font>
    </dxf>
  </rfmt>
  <rfmt sheetId="1" sqref="AP317" start="0" length="0">
    <dxf>
      <font>
        <sz val="11"/>
        <color theme="1"/>
        <name val="Calibri"/>
        <scheme val="none"/>
      </font>
    </dxf>
  </rfmt>
  <rfmt sheetId="1" sqref="AQ317" start="0" length="0">
    <dxf>
      <font>
        <sz val="11"/>
        <color theme="1"/>
        <name val="Calibri"/>
        <scheme val="none"/>
      </font>
      <numFmt numFmtId="164" formatCode="_-* #,##0_-;\-* #,##0_-;_-* &quot;-&quot;??_-;_-@_-"/>
    </dxf>
  </rfmt>
  <rfmt sheetId="1" sqref="AR317" start="0" length="0">
    <dxf>
      <font>
        <sz val="11"/>
        <color theme="1"/>
        <name val="Calibri"/>
        <scheme val="none"/>
      </font>
      <numFmt numFmtId="164" formatCode="_-* #,##0_-;\-* #,##0_-;_-* &quot;-&quot;??_-;_-@_-"/>
    </dxf>
  </rfmt>
  <rfmt sheetId="1" sqref="AS317" start="0" length="0">
    <dxf>
      <font>
        <sz val="11"/>
        <color theme="1"/>
        <name val="Calibri"/>
        <scheme val="none"/>
      </font>
      <numFmt numFmtId="164" formatCode="_-* #,##0_-;\-* #,##0_-;_-* &quot;-&quot;??_-;_-@_-"/>
    </dxf>
  </rfmt>
  <rfmt sheetId="1" sqref="AT317" start="0" length="0">
    <dxf>
      <font>
        <sz val="11"/>
        <color theme="1"/>
        <name val="Calibri"/>
        <scheme val="none"/>
      </font>
      <numFmt numFmtId="164" formatCode="_-* #,##0_-;\-* #,##0_-;_-* &quot;-&quot;??_-;_-@_-"/>
    </dxf>
  </rfmt>
  <rfmt sheetId="1" sqref="AU317" start="0" length="0">
    <dxf>
      <font>
        <sz val="11"/>
        <color theme="1"/>
        <name val="Calibri"/>
        <scheme val="none"/>
      </font>
    </dxf>
  </rfmt>
  <rfmt sheetId="1" sqref="AV317" start="0" length="0">
    <dxf>
      <font>
        <sz val="11"/>
        <color theme="1"/>
        <name val="Calibri"/>
        <scheme val="none"/>
      </font>
    </dxf>
  </rfmt>
  <rfmt sheetId="1" sqref="AW317" start="0" length="0">
    <dxf>
      <font>
        <sz val="11"/>
        <color theme="1"/>
        <name val="Calibri"/>
        <scheme val="none"/>
      </font>
    </dxf>
  </rfmt>
  <rfmt sheetId="1" sqref="AX317" start="0" length="0">
    <dxf>
      <font>
        <sz val="11"/>
        <color theme="1"/>
        <name val="Calibri"/>
        <scheme val="none"/>
      </font>
    </dxf>
  </rfmt>
  <rfmt sheetId="1" sqref="AY317" start="0" length="0">
    <dxf>
      <font>
        <sz val="11"/>
        <color theme="1"/>
        <name val="Calibri"/>
        <scheme val="none"/>
      </font>
    </dxf>
  </rfmt>
  <rfmt sheetId="1" sqref="A317:XFD317" start="0" length="0">
    <dxf>
      <font>
        <sz val="11"/>
        <color theme="1"/>
        <name val="Calibri"/>
        <scheme val="none"/>
      </font>
    </dxf>
  </rfmt>
  <rfmt sheetId="1" sqref="A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1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1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18" start="0" length="0">
    <dxf>
      <font>
        <sz val="11"/>
        <color theme="1"/>
        <name val="Calibri"/>
        <scheme val="none"/>
      </font>
    </dxf>
  </rfmt>
  <rfmt sheetId="1" sqref="AM318" start="0" length="0">
    <dxf>
      <font>
        <sz val="11"/>
        <color theme="1"/>
        <name val="Calibri"/>
        <scheme val="none"/>
      </font>
      <numFmt numFmtId="1" formatCode="0"/>
    </dxf>
  </rfmt>
  <rfmt sheetId="1" sqref="AN318" start="0" length="0">
    <dxf>
      <font>
        <sz val="11"/>
        <color theme="1"/>
        <name val="Calibri"/>
        <scheme val="none"/>
      </font>
      <numFmt numFmtId="1" formatCode="0"/>
    </dxf>
  </rfmt>
  <rfmt sheetId="1" sqref="AO318" start="0" length="0">
    <dxf>
      <font>
        <sz val="11"/>
        <color theme="1"/>
        <name val="Calibri"/>
        <scheme val="none"/>
      </font>
    </dxf>
  </rfmt>
  <rfmt sheetId="1" sqref="AP318" start="0" length="0">
    <dxf>
      <font>
        <sz val="11"/>
        <color theme="1"/>
        <name val="Calibri"/>
        <scheme val="none"/>
      </font>
    </dxf>
  </rfmt>
  <rfmt sheetId="1" sqref="AQ318" start="0" length="0">
    <dxf>
      <font>
        <sz val="11"/>
        <color theme="1"/>
        <name val="Calibri"/>
        <scheme val="none"/>
      </font>
      <numFmt numFmtId="164" formatCode="_-* #,##0_-;\-* #,##0_-;_-* &quot;-&quot;??_-;_-@_-"/>
    </dxf>
  </rfmt>
  <rfmt sheetId="1" sqref="AR318" start="0" length="0">
    <dxf>
      <font>
        <sz val="11"/>
        <color theme="1"/>
        <name val="Calibri"/>
        <scheme val="none"/>
      </font>
      <numFmt numFmtId="164" formatCode="_-* #,##0_-;\-* #,##0_-;_-* &quot;-&quot;??_-;_-@_-"/>
    </dxf>
  </rfmt>
  <rfmt sheetId="1" sqref="AS318" start="0" length="0">
    <dxf>
      <font>
        <sz val="11"/>
        <color theme="1"/>
        <name val="Calibri"/>
        <scheme val="none"/>
      </font>
      <numFmt numFmtId="164" formatCode="_-* #,##0_-;\-* #,##0_-;_-* &quot;-&quot;??_-;_-@_-"/>
    </dxf>
  </rfmt>
  <rfmt sheetId="1" sqref="AT318" start="0" length="0">
    <dxf>
      <font>
        <sz val="11"/>
        <color theme="1"/>
        <name val="Calibri"/>
        <scheme val="none"/>
      </font>
      <numFmt numFmtId="164" formatCode="_-* #,##0_-;\-* #,##0_-;_-* &quot;-&quot;??_-;_-@_-"/>
    </dxf>
  </rfmt>
  <rfmt sheetId="1" sqref="AU318" start="0" length="0">
    <dxf>
      <font>
        <sz val="11"/>
        <color theme="1"/>
        <name val="Calibri"/>
        <scheme val="none"/>
      </font>
    </dxf>
  </rfmt>
  <rfmt sheetId="1" sqref="AV318" start="0" length="0">
    <dxf>
      <font>
        <sz val="11"/>
        <color theme="1"/>
        <name val="Calibri"/>
        <scheme val="none"/>
      </font>
    </dxf>
  </rfmt>
  <rfmt sheetId="1" sqref="AW318" start="0" length="0">
    <dxf>
      <font>
        <sz val="11"/>
        <color theme="1"/>
        <name val="Calibri"/>
        <scheme val="none"/>
      </font>
    </dxf>
  </rfmt>
  <rfmt sheetId="1" sqref="AX318" start="0" length="0">
    <dxf>
      <font>
        <sz val="11"/>
        <color theme="1"/>
        <name val="Calibri"/>
        <scheme val="none"/>
      </font>
    </dxf>
  </rfmt>
  <rfmt sheetId="1" sqref="AY318" start="0" length="0">
    <dxf>
      <font>
        <sz val="11"/>
        <color theme="1"/>
        <name val="Calibri"/>
        <scheme val="none"/>
      </font>
    </dxf>
  </rfmt>
  <rfmt sheetId="1" sqref="A318:XFD318" start="0" length="0">
    <dxf>
      <font>
        <sz val="11"/>
        <color theme="1"/>
        <name val="Calibri"/>
        <scheme val="none"/>
      </font>
    </dxf>
  </rfmt>
  <rfmt sheetId="1" sqref="A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1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1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19" start="0" length="0">
    <dxf>
      <font>
        <sz val="11"/>
        <color theme="1"/>
        <name val="Calibri"/>
        <scheme val="none"/>
      </font>
    </dxf>
  </rfmt>
  <rfmt sheetId="1" sqref="AM319" start="0" length="0">
    <dxf>
      <font>
        <sz val="11"/>
        <color theme="1"/>
        <name val="Calibri"/>
        <scheme val="none"/>
      </font>
      <numFmt numFmtId="1" formatCode="0"/>
    </dxf>
  </rfmt>
  <rfmt sheetId="1" sqref="AN319" start="0" length="0">
    <dxf>
      <font>
        <sz val="11"/>
        <color theme="1"/>
        <name val="Calibri"/>
        <scheme val="none"/>
      </font>
      <numFmt numFmtId="1" formatCode="0"/>
    </dxf>
  </rfmt>
  <rfmt sheetId="1" sqref="AO319" start="0" length="0">
    <dxf>
      <font>
        <sz val="11"/>
        <color theme="1"/>
        <name val="Calibri"/>
        <scheme val="none"/>
      </font>
    </dxf>
  </rfmt>
  <rfmt sheetId="1" sqref="AP319" start="0" length="0">
    <dxf>
      <font>
        <sz val="11"/>
        <color theme="1"/>
        <name val="Calibri"/>
        <scheme val="none"/>
      </font>
    </dxf>
  </rfmt>
  <rfmt sheetId="1" sqref="AQ319" start="0" length="0">
    <dxf>
      <font>
        <sz val="11"/>
        <color theme="1"/>
        <name val="Calibri"/>
        <scheme val="none"/>
      </font>
      <numFmt numFmtId="164" formatCode="_-* #,##0_-;\-* #,##0_-;_-* &quot;-&quot;??_-;_-@_-"/>
    </dxf>
  </rfmt>
  <rfmt sheetId="1" sqref="AR319" start="0" length="0">
    <dxf>
      <font>
        <sz val="11"/>
        <color theme="1"/>
        <name val="Calibri"/>
        <scheme val="none"/>
      </font>
      <numFmt numFmtId="164" formatCode="_-* #,##0_-;\-* #,##0_-;_-* &quot;-&quot;??_-;_-@_-"/>
    </dxf>
  </rfmt>
  <rfmt sheetId="1" sqref="AS319" start="0" length="0">
    <dxf>
      <font>
        <sz val="11"/>
        <color theme="1"/>
        <name val="Calibri"/>
        <scheme val="none"/>
      </font>
      <numFmt numFmtId="164" formatCode="_-* #,##0_-;\-* #,##0_-;_-* &quot;-&quot;??_-;_-@_-"/>
    </dxf>
  </rfmt>
  <rfmt sheetId="1" sqref="AT319" start="0" length="0">
    <dxf>
      <font>
        <sz val="11"/>
        <color theme="1"/>
        <name val="Calibri"/>
        <scheme val="none"/>
      </font>
      <numFmt numFmtId="164" formatCode="_-* #,##0_-;\-* #,##0_-;_-* &quot;-&quot;??_-;_-@_-"/>
    </dxf>
  </rfmt>
  <rfmt sheetId="1" sqref="AU319" start="0" length="0">
    <dxf>
      <font>
        <sz val="11"/>
        <color theme="1"/>
        <name val="Calibri"/>
        <scheme val="none"/>
      </font>
    </dxf>
  </rfmt>
  <rfmt sheetId="1" sqref="AV319" start="0" length="0">
    <dxf>
      <font>
        <sz val="11"/>
        <color theme="1"/>
        <name val="Calibri"/>
        <scheme val="none"/>
      </font>
    </dxf>
  </rfmt>
  <rfmt sheetId="1" sqref="AW319" start="0" length="0">
    <dxf>
      <font>
        <sz val="11"/>
        <color theme="1"/>
        <name val="Calibri"/>
        <scheme val="none"/>
      </font>
    </dxf>
  </rfmt>
  <rfmt sheetId="1" sqref="AX319" start="0" length="0">
    <dxf>
      <font>
        <sz val="11"/>
        <color theme="1"/>
        <name val="Calibri"/>
        <scheme val="none"/>
      </font>
    </dxf>
  </rfmt>
  <rfmt sheetId="1" sqref="AY319" start="0" length="0">
    <dxf>
      <font>
        <sz val="11"/>
        <color theme="1"/>
        <name val="Calibri"/>
        <scheme val="none"/>
      </font>
    </dxf>
  </rfmt>
  <rfmt sheetId="1" sqref="A319:XFD319" start="0" length="0">
    <dxf>
      <font>
        <sz val="11"/>
        <color theme="1"/>
        <name val="Calibri"/>
        <scheme val="none"/>
      </font>
    </dxf>
  </rfmt>
  <rfmt sheetId="1" sqref="A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2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2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20" start="0" length="0">
    <dxf>
      <font>
        <sz val="11"/>
        <color theme="1"/>
        <name val="Calibri"/>
        <scheme val="none"/>
      </font>
    </dxf>
  </rfmt>
  <rfmt sheetId="1" sqref="AM320" start="0" length="0">
    <dxf>
      <font>
        <sz val="11"/>
        <color theme="1"/>
        <name val="Calibri"/>
        <scheme val="none"/>
      </font>
      <numFmt numFmtId="1" formatCode="0"/>
    </dxf>
  </rfmt>
  <rfmt sheetId="1" sqref="AN320" start="0" length="0">
    <dxf>
      <font>
        <sz val="11"/>
        <color theme="1"/>
        <name val="Calibri"/>
        <scheme val="none"/>
      </font>
      <numFmt numFmtId="1" formatCode="0"/>
    </dxf>
  </rfmt>
  <rfmt sheetId="1" sqref="AO320" start="0" length="0">
    <dxf>
      <font>
        <sz val="11"/>
        <color theme="1"/>
        <name val="Calibri"/>
        <scheme val="none"/>
      </font>
    </dxf>
  </rfmt>
  <rfmt sheetId="1" sqref="AP320" start="0" length="0">
    <dxf>
      <font>
        <sz val="11"/>
        <color theme="1"/>
        <name val="Calibri"/>
        <scheme val="none"/>
      </font>
    </dxf>
  </rfmt>
  <rfmt sheetId="1" sqref="AQ320" start="0" length="0">
    <dxf>
      <font>
        <sz val="11"/>
        <color theme="1"/>
        <name val="Calibri"/>
        <scheme val="none"/>
      </font>
      <numFmt numFmtId="164" formatCode="_-* #,##0_-;\-* #,##0_-;_-* &quot;-&quot;??_-;_-@_-"/>
    </dxf>
  </rfmt>
  <rfmt sheetId="1" sqref="AR320" start="0" length="0">
    <dxf>
      <font>
        <sz val="11"/>
        <color theme="1"/>
        <name val="Calibri"/>
        <scheme val="none"/>
      </font>
      <numFmt numFmtId="164" formatCode="_-* #,##0_-;\-* #,##0_-;_-* &quot;-&quot;??_-;_-@_-"/>
    </dxf>
  </rfmt>
  <rfmt sheetId="1" sqref="AS320" start="0" length="0">
    <dxf>
      <font>
        <sz val="11"/>
        <color theme="1"/>
        <name val="Calibri"/>
        <scheme val="none"/>
      </font>
      <numFmt numFmtId="164" formatCode="_-* #,##0_-;\-* #,##0_-;_-* &quot;-&quot;??_-;_-@_-"/>
    </dxf>
  </rfmt>
  <rfmt sheetId="1" sqref="AT320" start="0" length="0">
    <dxf>
      <font>
        <sz val="11"/>
        <color theme="1"/>
        <name val="Calibri"/>
        <scheme val="none"/>
      </font>
      <numFmt numFmtId="164" formatCode="_-* #,##0_-;\-* #,##0_-;_-* &quot;-&quot;??_-;_-@_-"/>
    </dxf>
  </rfmt>
  <rfmt sheetId="1" sqref="AU320" start="0" length="0">
    <dxf>
      <font>
        <sz val="11"/>
        <color theme="1"/>
        <name val="Calibri"/>
        <scheme val="none"/>
      </font>
    </dxf>
  </rfmt>
  <rfmt sheetId="1" sqref="AV320" start="0" length="0">
    <dxf>
      <font>
        <sz val="11"/>
        <color theme="1"/>
        <name val="Calibri"/>
        <scheme val="none"/>
      </font>
    </dxf>
  </rfmt>
  <rfmt sheetId="1" sqref="AW320" start="0" length="0">
    <dxf>
      <font>
        <sz val="11"/>
        <color theme="1"/>
        <name val="Calibri"/>
        <scheme val="none"/>
      </font>
    </dxf>
  </rfmt>
  <rfmt sheetId="1" sqref="AX320" start="0" length="0">
    <dxf>
      <font>
        <sz val="11"/>
        <color theme="1"/>
        <name val="Calibri"/>
        <scheme val="none"/>
      </font>
    </dxf>
  </rfmt>
  <rfmt sheetId="1" sqref="AY320" start="0" length="0">
    <dxf>
      <font>
        <sz val="11"/>
        <color theme="1"/>
        <name val="Calibri"/>
        <scheme val="none"/>
      </font>
    </dxf>
  </rfmt>
  <rfmt sheetId="1" sqref="A320:XFD320" start="0" length="0">
    <dxf>
      <font>
        <sz val="11"/>
        <color theme="1"/>
        <name val="Calibri"/>
        <scheme val="none"/>
      </font>
    </dxf>
  </rfmt>
  <rfmt sheetId="1" sqref="A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2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2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21" start="0" length="0">
    <dxf>
      <font>
        <sz val="11"/>
        <color theme="1"/>
        <name val="Calibri"/>
        <scheme val="none"/>
      </font>
    </dxf>
  </rfmt>
  <rfmt sheetId="1" sqref="AM321" start="0" length="0">
    <dxf>
      <font>
        <sz val="11"/>
        <color theme="1"/>
        <name val="Calibri"/>
        <scheme val="none"/>
      </font>
      <numFmt numFmtId="1" formatCode="0"/>
    </dxf>
  </rfmt>
  <rfmt sheetId="1" sqref="AN321" start="0" length="0">
    <dxf>
      <font>
        <sz val="11"/>
        <color theme="1"/>
        <name val="Calibri"/>
        <scheme val="none"/>
      </font>
      <numFmt numFmtId="1" formatCode="0"/>
    </dxf>
  </rfmt>
  <rfmt sheetId="1" sqref="AO321" start="0" length="0">
    <dxf>
      <font>
        <sz val="11"/>
        <color theme="1"/>
        <name val="Calibri"/>
        <scheme val="none"/>
      </font>
    </dxf>
  </rfmt>
  <rfmt sheetId="1" sqref="AP321" start="0" length="0">
    <dxf>
      <font>
        <sz val="11"/>
        <color theme="1"/>
        <name val="Calibri"/>
        <scheme val="none"/>
      </font>
    </dxf>
  </rfmt>
  <rfmt sheetId="1" sqref="AQ321" start="0" length="0">
    <dxf>
      <font>
        <sz val="11"/>
        <color theme="1"/>
        <name val="Calibri"/>
        <scheme val="none"/>
      </font>
      <numFmt numFmtId="164" formatCode="_-* #,##0_-;\-* #,##0_-;_-* &quot;-&quot;??_-;_-@_-"/>
    </dxf>
  </rfmt>
  <rfmt sheetId="1" sqref="AR321" start="0" length="0">
    <dxf>
      <font>
        <sz val="11"/>
        <color theme="1"/>
        <name val="Calibri"/>
        <scheme val="none"/>
      </font>
      <numFmt numFmtId="164" formatCode="_-* #,##0_-;\-* #,##0_-;_-* &quot;-&quot;??_-;_-@_-"/>
    </dxf>
  </rfmt>
  <rfmt sheetId="1" sqref="AS321" start="0" length="0">
    <dxf>
      <font>
        <sz val="11"/>
        <color theme="1"/>
        <name val="Calibri"/>
        <scheme val="none"/>
      </font>
      <numFmt numFmtId="164" formatCode="_-* #,##0_-;\-* #,##0_-;_-* &quot;-&quot;??_-;_-@_-"/>
    </dxf>
  </rfmt>
  <rfmt sheetId="1" sqref="AT321" start="0" length="0">
    <dxf>
      <font>
        <sz val="11"/>
        <color theme="1"/>
        <name val="Calibri"/>
        <scheme val="none"/>
      </font>
      <numFmt numFmtId="164" formatCode="_-* #,##0_-;\-* #,##0_-;_-* &quot;-&quot;??_-;_-@_-"/>
    </dxf>
  </rfmt>
  <rfmt sheetId="1" sqref="AU321" start="0" length="0">
    <dxf>
      <font>
        <sz val="11"/>
        <color theme="1"/>
        <name val="Calibri"/>
        <scheme val="none"/>
      </font>
    </dxf>
  </rfmt>
  <rfmt sheetId="1" sqref="AV321" start="0" length="0">
    <dxf>
      <font>
        <sz val="11"/>
        <color theme="1"/>
        <name val="Calibri"/>
        <scheme val="none"/>
      </font>
    </dxf>
  </rfmt>
  <rfmt sheetId="1" sqref="AW321" start="0" length="0">
    <dxf>
      <font>
        <sz val="11"/>
        <color theme="1"/>
        <name val="Calibri"/>
        <scheme val="none"/>
      </font>
    </dxf>
  </rfmt>
  <rfmt sheetId="1" sqref="AX321" start="0" length="0">
    <dxf>
      <font>
        <sz val="11"/>
        <color theme="1"/>
        <name val="Calibri"/>
        <scheme val="none"/>
      </font>
    </dxf>
  </rfmt>
  <rfmt sheetId="1" sqref="AY321" start="0" length="0">
    <dxf>
      <font>
        <sz val="11"/>
        <color theme="1"/>
        <name val="Calibri"/>
        <scheme val="none"/>
      </font>
    </dxf>
  </rfmt>
  <rfmt sheetId="1" sqref="A321:XFD321" start="0" length="0">
    <dxf>
      <font>
        <sz val="11"/>
        <color theme="1"/>
        <name val="Calibri"/>
        <scheme val="none"/>
      </font>
    </dxf>
  </rfmt>
  <rfmt sheetId="1" sqref="A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2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2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22" start="0" length="0">
    <dxf>
      <font>
        <sz val="11"/>
        <color theme="1"/>
        <name val="Calibri"/>
        <scheme val="none"/>
      </font>
    </dxf>
  </rfmt>
  <rfmt sheetId="1" sqref="AM322" start="0" length="0">
    <dxf>
      <font>
        <sz val="11"/>
        <color theme="1"/>
        <name val="Calibri"/>
        <scheme val="none"/>
      </font>
      <numFmt numFmtId="1" formatCode="0"/>
    </dxf>
  </rfmt>
  <rfmt sheetId="1" sqref="AN322" start="0" length="0">
    <dxf>
      <font>
        <sz val="11"/>
        <color theme="1"/>
        <name val="Calibri"/>
        <scheme val="none"/>
      </font>
      <numFmt numFmtId="1" formatCode="0"/>
    </dxf>
  </rfmt>
  <rfmt sheetId="1" sqref="AO322" start="0" length="0">
    <dxf>
      <font>
        <sz val="11"/>
        <color theme="1"/>
        <name val="Calibri"/>
        <scheme val="none"/>
      </font>
    </dxf>
  </rfmt>
  <rfmt sheetId="1" sqref="AP322" start="0" length="0">
    <dxf>
      <font>
        <sz val="11"/>
        <color theme="1"/>
        <name val="Calibri"/>
        <scheme val="none"/>
      </font>
    </dxf>
  </rfmt>
  <rfmt sheetId="1" sqref="AQ322" start="0" length="0">
    <dxf>
      <font>
        <sz val="11"/>
        <color theme="1"/>
        <name val="Calibri"/>
        <scheme val="none"/>
      </font>
      <numFmt numFmtId="164" formatCode="_-* #,##0_-;\-* #,##0_-;_-* &quot;-&quot;??_-;_-@_-"/>
    </dxf>
  </rfmt>
  <rfmt sheetId="1" sqref="AR322" start="0" length="0">
    <dxf>
      <font>
        <sz val="11"/>
        <color theme="1"/>
        <name val="Calibri"/>
        <scheme val="none"/>
      </font>
      <numFmt numFmtId="164" formatCode="_-* #,##0_-;\-* #,##0_-;_-* &quot;-&quot;??_-;_-@_-"/>
    </dxf>
  </rfmt>
  <rfmt sheetId="1" sqref="AS322" start="0" length="0">
    <dxf>
      <font>
        <sz val="11"/>
        <color theme="1"/>
        <name val="Calibri"/>
        <scheme val="none"/>
      </font>
      <numFmt numFmtId="164" formatCode="_-* #,##0_-;\-* #,##0_-;_-* &quot;-&quot;??_-;_-@_-"/>
    </dxf>
  </rfmt>
  <rfmt sheetId="1" sqref="AT322" start="0" length="0">
    <dxf>
      <font>
        <sz val="11"/>
        <color theme="1"/>
        <name val="Calibri"/>
        <scheme val="none"/>
      </font>
      <numFmt numFmtId="164" formatCode="_-* #,##0_-;\-* #,##0_-;_-* &quot;-&quot;??_-;_-@_-"/>
    </dxf>
  </rfmt>
  <rfmt sheetId="1" sqref="AU322" start="0" length="0">
    <dxf>
      <font>
        <sz val="11"/>
        <color theme="1"/>
        <name val="Calibri"/>
        <scheme val="none"/>
      </font>
    </dxf>
  </rfmt>
  <rfmt sheetId="1" sqref="AV322" start="0" length="0">
    <dxf>
      <font>
        <sz val="11"/>
        <color theme="1"/>
        <name val="Calibri"/>
        <scheme val="none"/>
      </font>
    </dxf>
  </rfmt>
  <rfmt sheetId="1" sqref="AW322" start="0" length="0">
    <dxf>
      <font>
        <sz val="11"/>
        <color theme="1"/>
        <name val="Calibri"/>
        <scheme val="none"/>
      </font>
    </dxf>
  </rfmt>
  <rfmt sheetId="1" sqref="AX322" start="0" length="0">
    <dxf>
      <font>
        <sz val="11"/>
        <color theme="1"/>
        <name val="Calibri"/>
        <scheme val="none"/>
      </font>
    </dxf>
  </rfmt>
  <rfmt sheetId="1" sqref="AY322" start="0" length="0">
    <dxf>
      <font>
        <sz val="11"/>
        <color theme="1"/>
        <name val="Calibri"/>
        <scheme val="none"/>
      </font>
    </dxf>
  </rfmt>
  <rfmt sheetId="1" sqref="A322:XFD322" start="0" length="0">
    <dxf>
      <font>
        <sz val="11"/>
        <color theme="1"/>
        <name val="Calibri"/>
        <scheme val="none"/>
      </font>
    </dxf>
  </rfmt>
  <rfmt sheetId="1" sqref="A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2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2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23" start="0" length="0">
    <dxf>
      <font>
        <sz val="11"/>
        <color theme="1"/>
        <name val="Calibri"/>
        <scheme val="none"/>
      </font>
    </dxf>
  </rfmt>
  <rfmt sheetId="1" sqref="AM323" start="0" length="0">
    <dxf>
      <font>
        <sz val="11"/>
        <color theme="1"/>
        <name val="Calibri"/>
        <scheme val="none"/>
      </font>
      <numFmt numFmtId="1" formatCode="0"/>
    </dxf>
  </rfmt>
  <rfmt sheetId="1" sqref="AN323" start="0" length="0">
    <dxf>
      <font>
        <sz val="11"/>
        <color theme="1"/>
        <name val="Calibri"/>
        <scheme val="none"/>
      </font>
      <numFmt numFmtId="1" formatCode="0"/>
    </dxf>
  </rfmt>
  <rfmt sheetId="1" sqref="AO323" start="0" length="0">
    <dxf>
      <font>
        <sz val="11"/>
        <color theme="1"/>
        <name val="Calibri"/>
        <scheme val="none"/>
      </font>
    </dxf>
  </rfmt>
  <rfmt sheetId="1" sqref="AP323" start="0" length="0">
    <dxf>
      <font>
        <sz val="11"/>
        <color theme="1"/>
        <name val="Calibri"/>
        <scheme val="none"/>
      </font>
    </dxf>
  </rfmt>
  <rfmt sheetId="1" sqref="AQ323" start="0" length="0">
    <dxf>
      <font>
        <sz val="11"/>
        <color theme="1"/>
        <name val="Calibri"/>
        <scheme val="none"/>
      </font>
      <numFmt numFmtId="164" formatCode="_-* #,##0_-;\-* #,##0_-;_-* &quot;-&quot;??_-;_-@_-"/>
    </dxf>
  </rfmt>
  <rfmt sheetId="1" sqref="AR323" start="0" length="0">
    <dxf>
      <font>
        <sz val="11"/>
        <color theme="1"/>
        <name val="Calibri"/>
        <scheme val="none"/>
      </font>
      <numFmt numFmtId="164" formatCode="_-* #,##0_-;\-* #,##0_-;_-* &quot;-&quot;??_-;_-@_-"/>
    </dxf>
  </rfmt>
  <rfmt sheetId="1" sqref="AS323" start="0" length="0">
    <dxf>
      <font>
        <sz val="11"/>
        <color theme="1"/>
        <name val="Calibri"/>
        <scheme val="none"/>
      </font>
      <numFmt numFmtId="164" formatCode="_-* #,##0_-;\-* #,##0_-;_-* &quot;-&quot;??_-;_-@_-"/>
    </dxf>
  </rfmt>
  <rfmt sheetId="1" sqref="AT323" start="0" length="0">
    <dxf>
      <font>
        <sz val="11"/>
        <color theme="1"/>
        <name val="Calibri"/>
        <scheme val="none"/>
      </font>
      <numFmt numFmtId="164" formatCode="_-* #,##0_-;\-* #,##0_-;_-* &quot;-&quot;??_-;_-@_-"/>
    </dxf>
  </rfmt>
  <rfmt sheetId="1" sqref="AU323" start="0" length="0">
    <dxf>
      <font>
        <sz val="11"/>
        <color theme="1"/>
        <name val="Calibri"/>
        <scheme val="none"/>
      </font>
    </dxf>
  </rfmt>
  <rfmt sheetId="1" sqref="AV323" start="0" length="0">
    <dxf>
      <font>
        <sz val="11"/>
        <color theme="1"/>
        <name val="Calibri"/>
        <scheme val="none"/>
      </font>
    </dxf>
  </rfmt>
  <rfmt sheetId="1" sqref="AW323" start="0" length="0">
    <dxf>
      <font>
        <sz val="11"/>
        <color theme="1"/>
        <name val="Calibri"/>
        <scheme val="none"/>
      </font>
    </dxf>
  </rfmt>
  <rfmt sheetId="1" sqref="AX323" start="0" length="0">
    <dxf>
      <font>
        <sz val="11"/>
        <color theme="1"/>
        <name val="Calibri"/>
        <scheme val="none"/>
      </font>
    </dxf>
  </rfmt>
  <rfmt sheetId="1" sqref="AY323" start="0" length="0">
    <dxf>
      <font>
        <sz val="11"/>
        <color theme="1"/>
        <name val="Calibri"/>
        <scheme val="none"/>
      </font>
    </dxf>
  </rfmt>
  <rfmt sheetId="1" sqref="A323:XFD323" start="0" length="0">
    <dxf>
      <font>
        <sz val="11"/>
        <color theme="1"/>
        <name val="Calibri"/>
        <scheme val="none"/>
      </font>
    </dxf>
  </rfmt>
  <rfmt sheetId="1" sqref="A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2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2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24" start="0" length="0">
    <dxf>
      <font>
        <sz val="11"/>
        <color theme="1"/>
        <name val="Calibri"/>
        <scheme val="none"/>
      </font>
    </dxf>
  </rfmt>
  <rfmt sheetId="1" sqref="AM324" start="0" length="0">
    <dxf>
      <font>
        <sz val="11"/>
        <color theme="1"/>
        <name val="Calibri"/>
        <scheme val="none"/>
      </font>
      <numFmt numFmtId="1" formatCode="0"/>
    </dxf>
  </rfmt>
  <rfmt sheetId="1" sqref="AN324" start="0" length="0">
    <dxf>
      <font>
        <sz val="11"/>
        <color theme="1"/>
        <name val="Calibri"/>
        <scheme val="none"/>
      </font>
      <numFmt numFmtId="1" formatCode="0"/>
    </dxf>
  </rfmt>
  <rfmt sheetId="1" sqref="AO324" start="0" length="0">
    <dxf>
      <font>
        <sz val="11"/>
        <color theme="1"/>
        <name val="Calibri"/>
        <scheme val="none"/>
      </font>
    </dxf>
  </rfmt>
  <rfmt sheetId="1" sqref="AP324" start="0" length="0">
    <dxf>
      <font>
        <sz val="11"/>
        <color theme="1"/>
        <name val="Calibri"/>
        <scheme val="none"/>
      </font>
    </dxf>
  </rfmt>
  <rfmt sheetId="1" sqref="AQ324" start="0" length="0">
    <dxf>
      <font>
        <sz val="11"/>
        <color theme="1"/>
        <name val="Calibri"/>
        <scheme val="none"/>
      </font>
      <numFmt numFmtId="164" formatCode="_-* #,##0_-;\-* #,##0_-;_-* &quot;-&quot;??_-;_-@_-"/>
    </dxf>
  </rfmt>
  <rfmt sheetId="1" sqref="AR324" start="0" length="0">
    <dxf>
      <font>
        <sz val="11"/>
        <color theme="1"/>
        <name val="Calibri"/>
        <scheme val="none"/>
      </font>
      <numFmt numFmtId="164" formatCode="_-* #,##0_-;\-* #,##0_-;_-* &quot;-&quot;??_-;_-@_-"/>
    </dxf>
  </rfmt>
  <rfmt sheetId="1" sqref="AS324" start="0" length="0">
    <dxf>
      <font>
        <sz val="11"/>
        <color theme="1"/>
        <name val="Calibri"/>
        <scheme val="none"/>
      </font>
      <numFmt numFmtId="164" formatCode="_-* #,##0_-;\-* #,##0_-;_-* &quot;-&quot;??_-;_-@_-"/>
    </dxf>
  </rfmt>
  <rfmt sheetId="1" sqref="AT324" start="0" length="0">
    <dxf>
      <font>
        <sz val="11"/>
        <color theme="1"/>
        <name val="Calibri"/>
        <scheme val="none"/>
      </font>
      <numFmt numFmtId="164" formatCode="_-* #,##0_-;\-* #,##0_-;_-* &quot;-&quot;??_-;_-@_-"/>
    </dxf>
  </rfmt>
  <rfmt sheetId="1" sqref="AU324" start="0" length="0">
    <dxf>
      <font>
        <sz val="11"/>
        <color theme="1"/>
        <name val="Calibri"/>
        <scheme val="none"/>
      </font>
    </dxf>
  </rfmt>
  <rfmt sheetId="1" sqref="AV324" start="0" length="0">
    <dxf>
      <font>
        <sz val="11"/>
        <color theme="1"/>
        <name val="Calibri"/>
        <scheme val="none"/>
      </font>
    </dxf>
  </rfmt>
  <rfmt sheetId="1" sqref="AW324" start="0" length="0">
    <dxf>
      <font>
        <sz val="11"/>
        <color theme="1"/>
        <name val="Calibri"/>
        <scheme val="none"/>
      </font>
    </dxf>
  </rfmt>
  <rfmt sheetId="1" sqref="AX324" start="0" length="0">
    <dxf>
      <font>
        <sz val="11"/>
        <color theme="1"/>
        <name val="Calibri"/>
        <scheme val="none"/>
      </font>
    </dxf>
  </rfmt>
  <rfmt sheetId="1" sqref="AY324" start="0" length="0">
    <dxf>
      <font>
        <sz val="11"/>
        <color theme="1"/>
        <name val="Calibri"/>
        <scheme val="none"/>
      </font>
    </dxf>
  </rfmt>
  <rfmt sheetId="1" sqref="A324:XFD324" start="0" length="0">
    <dxf>
      <font>
        <sz val="11"/>
        <color theme="1"/>
        <name val="Calibri"/>
        <scheme val="none"/>
      </font>
    </dxf>
  </rfmt>
  <rfmt sheetId="1" sqref="A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2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2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25" start="0" length="0">
    <dxf>
      <font>
        <sz val="11"/>
        <color theme="1"/>
        <name val="Calibri"/>
        <scheme val="none"/>
      </font>
    </dxf>
  </rfmt>
  <rfmt sheetId="1" sqref="AM325" start="0" length="0">
    <dxf>
      <font>
        <sz val="11"/>
        <color theme="1"/>
        <name val="Calibri"/>
        <scheme val="none"/>
      </font>
      <numFmt numFmtId="1" formatCode="0"/>
    </dxf>
  </rfmt>
  <rfmt sheetId="1" sqref="AN325" start="0" length="0">
    <dxf>
      <font>
        <sz val="11"/>
        <color theme="1"/>
        <name val="Calibri"/>
        <scheme val="none"/>
      </font>
      <numFmt numFmtId="1" formatCode="0"/>
    </dxf>
  </rfmt>
  <rfmt sheetId="1" sqref="AO325" start="0" length="0">
    <dxf>
      <font>
        <sz val="11"/>
        <color theme="1"/>
        <name val="Calibri"/>
        <scheme val="none"/>
      </font>
    </dxf>
  </rfmt>
  <rfmt sheetId="1" sqref="AP325" start="0" length="0">
    <dxf>
      <font>
        <sz val="11"/>
        <color theme="1"/>
        <name val="Calibri"/>
        <scheme val="none"/>
      </font>
    </dxf>
  </rfmt>
  <rfmt sheetId="1" sqref="AQ325" start="0" length="0">
    <dxf>
      <font>
        <sz val="11"/>
        <color theme="1"/>
        <name val="Calibri"/>
        <scheme val="none"/>
      </font>
      <numFmt numFmtId="164" formatCode="_-* #,##0_-;\-* #,##0_-;_-* &quot;-&quot;??_-;_-@_-"/>
    </dxf>
  </rfmt>
  <rfmt sheetId="1" sqref="AR325" start="0" length="0">
    <dxf>
      <font>
        <sz val="11"/>
        <color theme="1"/>
        <name val="Calibri"/>
        <scheme val="none"/>
      </font>
      <numFmt numFmtId="164" formatCode="_-* #,##0_-;\-* #,##0_-;_-* &quot;-&quot;??_-;_-@_-"/>
    </dxf>
  </rfmt>
  <rfmt sheetId="1" sqref="AS325" start="0" length="0">
    <dxf>
      <font>
        <sz val="11"/>
        <color theme="1"/>
        <name val="Calibri"/>
        <scheme val="none"/>
      </font>
      <numFmt numFmtId="164" formatCode="_-* #,##0_-;\-* #,##0_-;_-* &quot;-&quot;??_-;_-@_-"/>
    </dxf>
  </rfmt>
  <rfmt sheetId="1" sqref="AT325" start="0" length="0">
    <dxf>
      <font>
        <sz val="11"/>
        <color theme="1"/>
        <name val="Calibri"/>
        <scheme val="none"/>
      </font>
      <numFmt numFmtId="164" formatCode="_-* #,##0_-;\-* #,##0_-;_-* &quot;-&quot;??_-;_-@_-"/>
    </dxf>
  </rfmt>
  <rfmt sheetId="1" sqref="AU325" start="0" length="0">
    <dxf>
      <font>
        <sz val="11"/>
        <color theme="1"/>
        <name val="Calibri"/>
        <scheme val="none"/>
      </font>
    </dxf>
  </rfmt>
  <rfmt sheetId="1" sqref="AV325" start="0" length="0">
    <dxf>
      <font>
        <sz val="11"/>
        <color theme="1"/>
        <name val="Calibri"/>
        <scheme val="none"/>
      </font>
    </dxf>
  </rfmt>
  <rfmt sheetId="1" sqref="AW325" start="0" length="0">
    <dxf>
      <font>
        <sz val="11"/>
        <color theme="1"/>
        <name val="Calibri"/>
        <scheme val="none"/>
      </font>
    </dxf>
  </rfmt>
  <rfmt sheetId="1" sqref="AX325" start="0" length="0">
    <dxf>
      <font>
        <sz val="11"/>
        <color theme="1"/>
        <name val="Calibri"/>
        <scheme val="none"/>
      </font>
    </dxf>
  </rfmt>
  <rfmt sheetId="1" sqref="AY325" start="0" length="0">
    <dxf>
      <font>
        <sz val="11"/>
        <color theme="1"/>
        <name val="Calibri"/>
        <scheme val="none"/>
      </font>
    </dxf>
  </rfmt>
  <rfmt sheetId="1" sqref="A325:XFD325" start="0" length="0">
    <dxf>
      <font>
        <sz val="11"/>
        <color theme="1"/>
        <name val="Calibri"/>
        <scheme val="none"/>
      </font>
    </dxf>
  </rfmt>
  <rfmt sheetId="1" sqref="A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2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2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26" start="0" length="0">
    <dxf>
      <font>
        <sz val="11"/>
        <color theme="1"/>
        <name val="Calibri"/>
        <scheme val="none"/>
      </font>
    </dxf>
  </rfmt>
  <rfmt sheetId="1" sqref="AM326" start="0" length="0">
    <dxf>
      <font>
        <sz val="11"/>
        <color theme="1"/>
        <name val="Calibri"/>
        <scheme val="none"/>
      </font>
      <numFmt numFmtId="1" formatCode="0"/>
    </dxf>
  </rfmt>
  <rfmt sheetId="1" sqref="AN326" start="0" length="0">
    <dxf>
      <font>
        <sz val="11"/>
        <color theme="1"/>
        <name val="Calibri"/>
        <scheme val="none"/>
      </font>
      <numFmt numFmtId="1" formatCode="0"/>
    </dxf>
  </rfmt>
  <rfmt sheetId="1" sqref="AO326" start="0" length="0">
    <dxf>
      <font>
        <sz val="11"/>
        <color theme="1"/>
        <name val="Calibri"/>
        <scheme val="none"/>
      </font>
    </dxf>
  </rfmt>
  <rfmt sheetId="1" sqref="AP326" start="0" length="0">
    <dxf>
      <font>
        <sz val="11"/>
        <color theme="1"/>
        <name val="Calibri"/>
        <scheme val="none"/>
      </font>
    </dxf>
  </rfmt>
  <rfmt sheetId="1" sqref="AQ326" start="0" length="0">
    <dxf>
      <font>
        <sz val="11"/>
        <color theme="1"/>
        <name val="Calibri"/>
        <scheme val="none"/>
      </font>
      <numFmt numFmtId="164" formatCode="_-* #,##0_-;\-* #,##0_-;_-* &quot;-&quot;??_-;_-@_-"/>
    </dxf>
  </rfmt>
  <rfmt sheetId="1" sqref="AR326" start="0" length="0">
    <dxf>
      <font>
        <sz val="11"/>
        <color theme="1"/>
        <name val="Calibri"/>
        <scheme val="none"/>
      </font>
      <numFmt numFmtId="164" formatCode="_-* #,##0_-;\-* #,##0_-;_-* &quot;-&quot;??_-;_-@_-"/>
    </dxf>
  </rfmt>
  <rfmt sheetId="1" sqref="AS326" start="0" length="0">
    <dxf>
      <font>
        <sz val="11"/>
        <color theme="1"/>
        <name val="Calibri"/>
        <scheme val="none"/>
      </font>
      <numFmt numFmtId="164" formatCode="_-* #,##0_-;\-* #,##0_-;_-* &quot;-&quot;??_-;_-@_-"/>
    </dxf>
  </rfmt>
  <rfmt sheetId="1" sqref="AT326" start="0" length="0">
    <dxf>
      <font>
        <sz val="11"/>
        <color theme="1"/>
        <name val="Calibri"/>
        <scheme val="none"/>
      </font>
      <numFmt numFmtId="164" formatCode="_-* #,##0_-;\-* #,##0_-;_-* &quot;-&quot;??_-;_-@_-"/>
    </dxf>
  </rfmt>
  <rfmt sheetId="1" sqref="AU326" start="0" length="0">
    <dxf>
      <font>
        <sz val="11"/>
        <color theme="1"/>
        <name val="Calibri"/>
        <scheme val="none"/>
      </font>
    </dxf>
  </rfmt>
  <rfmt sheetId="1" sqref="AV326" start="0" length="0">
    <dxf>
      <font>
        <sz val="11"/>
        <color theme="1"/>
        <name val="Calibri"/>
        <scheme val="none"/>
      </font>
    </dxf>
  </rfmt>
  <rfmt sheetId="1" sqref="AW326" start="0" length="0">
    <dxf>
      <font>
        <sz val="11"/>
        <color theme="1"/>
        <name val="Calibri"/>
        <scheme val="none"/>
      </font>
    </dxf>
  </rfmt>
  <rfmt sheetId="1" sqref="AX326" start="0" length="0">
    <dxf>
      <font>
        <sz val="11"/>
        <color theme="1"/>
        <name val="Calibri"/>
        <scheme val="none"/>
      </font>
    </dxf>
  </rfmt>
  <rfmt sheetId="1" sqref="AY326" start="0" length="0">
    <dxf>
      <font>
        <sz val="11"/>
        <color theme="1"/>
        <name val="Calibri"/>
        <scheme val="none"/>
      </font>
    </dxf>
  </rfmt>
  <rfmt sheetId="1" sqref="A326:XFD326" start="0" length="0">
    <dxf>
      <font>
        <sz val="11"/>
        <color theme="1"/>
        <name val="Calibri"/>
        <scheme val="none"/>
      </font>
    </dxf>
  </rfmt>
  <rfmt sheetId="1" sqref="A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2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2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27" start="0" length="0">
    <dxf>
      <font>
        <sz val="11"/>
        <color theme="1"/>
        <name val="Calibri"/>
        <scheme val="none"/>
      </font>
    </dxf>
  </rfmt>
  <rfmt sheetId="1" sqref="AM327" start="0" length="0">
    <dxf>
      <font>
        <sz val="11"/>
        <color theme="1"/>
        <name val="Calibri"/>
        <scheme val="none"/>
      </font>
      <numFmt numFmtId="1" formatCode="0"/>
    </dxf>
  </rfmt>
  <rfmt sheetId="1" sqref="AN327" start="0" length="0">
    <dxf>
      <font>
        <sz val="11"/>
        <color theme="1"/>
        <name val="Calibri"/>
        <scheme val="none"/>
      </font>
      <numFmt numFmtId="1" formatCode="0"/>
    </dxf>
  </rfmt>
  <rfmt sheetId="1" sqref="AO327" start="0" length="0">
    <dxf>
      <font>
        <sz val="11"/>
        <color theme="1"/>
        <name val="Calibri"/>
        <scheme val="none"/>
      </font>
    </dxf>
  </rfmt>
  <rfmt sheetId="1" sqref="AP327" start="0" length="0">
    <dxf>
      <font>
        <sz val="11"/>
        <color theme="1"/>
        <name val="Calibri"/>
        <scheme val="none"/>
      </font>
    </dxf>
  </rfmt>
  <rfmt sheetId="1" sqref="AQ327" start="0" length="0">
    <dxf>
      <font>
        <sz val="11"/>
        <color theme="1"/>
        <name val="Calibri"/>
        <scheme val="none"/>
      </font>
      <numFmt numFmtId="164" formatCode="_-* #,##0_-;\-* #,##0_-;_-* &quot;-&quot;??_-;_-@_-"/>
    </dxf>
  </rfmt>
  <rfmt sheetId="1" sqref="AR327" start="0" length="0">
    <dxf>
      <font>
        <sz val="11"/>
        <color theme="1"/>
        <name val="Calibri"/>
        <scheme val="none"/>
      </font>
      <numFmt numFmtId="164" formatCode="_-* #,##0_-;\-* #,##0_-;_-* &quot;-&quot;??_-;_-@_-"/>
    </dxf>
  </rfmt>
  <rfmt sheetId="1" sqref="AS327" start="0" length="0">
    <dxf>
      <font>
        <sz val="11"/>
        <color theme="1"/>
        <name val="Calibri"/>
        <scheme val="none"/>
      </font>
      <numFmt numFmtId="164" formatCode="_-* #,##0_-;\-* #,##0_-;_-* &quot;-&quot;??_-;_-@_-"/>
    </dxf>
  </rfmt>
  <rfmt sheetId="1" sqref="AT327" start="0" length="0">
    <dxf>
      <font>
        <sz val="11"/>
        <color theme="1"/>
        <name val="Calibri"/>
        <scheme val="none"/>
      </font>
      <numFmt numFmtId="164" formatCode="_-* #,##0_-;\-* #,##0_-;_-* &quot;-&quot;??_-;_-@_-"/>
    </dxf>
  </rfmt>
  <rfmt sheetId="1" sqref="AU327" start="0" length="0">
    <dxf>
      <font>
        <sz val="11"/>
        <color theme="1"/>
        <name val="Calibri"/>
        <scheme val="none"/>
      </font>
    </dxf>
  </rfmt>
  <rfmt sheetId="1" sqref="AV327" start="0" length="0">
    <dxf>
      <font>
        <sz val="11"/>
        <color theme="1"/>
        <name val="Calibri"/>
        <scheme val="none"/>
      </font>
    </dxf>
  </rfmt>
  <rfmt sheetId="1" sqref="AW327" start="0" length="0">
    <dxf>
      <font>
        <sz val="11"/>
        <color theme="1"/>
        <name val="Calibri"/>
        <scheme val="none"/>
      </font>
    </dxf>
  </rfmt>
  <rfmt sheetId="1" sqref="AX327" start="0" length="0">
    <dxf>
      <font>
        <sz val="11"/>
        <color theme="1"/>
        <name val="Calibri"/>
        <scheme val="none"/>
      </font>
    </dxf>
  </rfmt>
  <rfmt sheetId="1" sqref="AY327" start="0" length="0">
    <dxf>
      <font>
        <sz val="11"/>
        <color theme="1"/>
        <name val="Calibri"/>
        <scheme val="none"/>
      </font>
    </dxf>
  </rfmt>
  <rfmt sheetId="1" sqref="A327:XFD327" start="0" length="0">
    <dxf>
      <font>
        <sz val="11"/>
        <color theme="1"/>
        <name val="Calibri"/>
        <scheme val="none"/>
      </font>
    </dxf>
  </rfmt>
  <rfmt sheetId="1" sqref="A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2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2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28" start="0" length="0">
    <dxf>
      <font>
        <sz val="11"/>
        <color theme="1"/>
        <name val="Calibri"/>
        <scheme val="none"/>
      </font>
    </dxf>
  </rfmt>
  <rfmt sheetId="1" sqref="AM328" start="0" length="0">
    <dxf>
      <font>
        <sz val="11"/>
        <color theme="1"/>
        <name val="Calibri"/>
        <scheme val="none"/>
      </font>
      <numFmt numFmtId="1" formatCode="0"/>
    </dxf>
  </rfmt>
  <rfmt sheetId="1" sqref="AN328" start="0" length="0">
    <dxf>
      <font>
        <sz val="11"/>
        <color theme="1"/>
        <name val="Calibri"/>
        <scheme val="none"/>
      </font>
      <numFmt numFmtId="1" formatCode="0"/>
    </dxf>
  </rfmt>
  <rfmt sheetId="1" sqref="AO328" start="0" length="0">
    <dxf>
      <font>
        <sz val="11"/>
        <color theme="1"/>
        <name val="Calibri"/>
        <scheme val="none"/>
      </font>
    </dxf>
  </rfmt>
  <rfmt sheetId="1" sqref="AP328" start="0" length="0">
    <dxf>
      <font>
        <sz val="11"/>
        <color theme="1"/>
        <name val="Calibri"/>
        <scheme val="none"/>
      </font>
    </dxf>
  </rfmt>
  <rfmt sheetId="1" sqref="AQ328" start="0" length="0">
    <dxf>
      <font>
        <sz val="11"/>
        <color theme="1"/>
        <name val="Calibri"/>
        <scheme val="none"/>
      </font>
      <numFmt numFmtId="164" formatCode="_-* #,##0_-;\-* #,##0_-;_-* &quot;-&quot;??_-;_-@_-"/>
    </dxf>
  </rfmt>
  <rfmt sheetId="1" sqref="AR328" start="0" length="0">
    <dxf>
      <font>
        <sz val="11"/>
        <color theme="1"/>
        <name val="Calibri"/>
        <scheme val="none"/>
      </font>
      <numFmt numFmtId="164" formatCode="_-* #,##0_-;\-* #,##0_-;_-* &quot;-&quot;??_-;_-@_-"/>
    </dxf>
  </rfmt>
  <rfmt sheetId="1" sqref="AS328" start="0" length="0">
    <dxf>
      <font>
        <sz val="11"/>
        <color theme="1"/>
        <name val="Calibri"/>
        <scheme val="none"/>
      </font>
      <numFmt numFmtId="164" formatCode="_-* #,##0_-;\-* #,##0_-;_-* &quot;-&quot;??_-;_-@_-"/>
    </dxf>
  </rfmt>
  <rfmt sheetId="1" sqref="AT328" start="0" length="0">
    <dxf>
      <font>
        <sz val="11"/>
        <color theme="1"/>
        <name val="Calibri"/>
        <scheme val="none"/>
      </font>
      <numFmt numFmtId="164" formatCode="_-* #,##0_-;\-* #,##0_-;_-* &quot;-&quot;??_-;_-@_-"/>
    </dxf>
  </rfmt>
  <rfmt sheetId="1" sqref="AU328" start="0" length="0">
    <dxf>
      <font>
        <sz val="11"/>
        <color theme="1"/>
        <name val="Calibri"/>
        <scheme val="none"/>
      </font>
    </dxf>
  </rfmt>
  <rfmt sheetId="1" sqref="AV328" start="0" length="0">
    <dxf>
      <font>
        <sz val="11"/>
        <color theme="1"/>
        <name val="Calibri"/>
        <scheme val="none"/>
      </font>
    </dxf>
  </rfmt>
  <rfmt sheetId="1" sqref="AW328" start="0" length="0">
    <dxf>
      <font>
        <sz val="11"/>
        <color theme="1"/>
        <name val="Calibri"/>
        <scheme val="none"/>
      </font>
    </dxf>
  </rfmt>
  <rfmt sheetId="1" sqref="AX328" start="0" length="0">
    <dxf>
      <font>
        <sz val="11"/>
        <color theme="1"/>
        <name val="Calibri"/>
        <scheme val="none"/>
      </font>
    </dxf>
  </rfmt>
  <rfmt sheetId="1" sqref="AY328" start="0" length="0">
    <dxf>
      <font>
        <sz val="11"/>
        <color theme="1"/>
        <name val="Calibri"/>
        <scheme val="none"/>
      </font>
    </dxf>
  </rfmt>
  <rfmt sheetId="1" sqref="A328:XFD328" start="0" length="0">
    <dxf>
      <font>
        <sz val="11"/>
        <color theme="1"/>
        <name val="Calibri"/>
        <scheme val="none"/>
      </font>
    </dxf>
  </rfmt>
  <rfmt sheetId="1" sqref="A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2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2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29" start="0" length="0">
    <dxf>
      <font>
        <sz val="11"/>
        <color theme="1"/>
        <name val="Calibri"/>
        <scheme val="none"/>
      </font>
    </dxf>
  </rfmt>
  <rfmt sheetId="1" sqref="AM329" start="0" length="0">
    <dxf>
      <font>
        <sz val="11"/>
        <color theme="1"/>
        <name val="Calibri"/>
        <scheme val="none"/>
      </font>
      <numFmt numFmtId="1" formatCode="0"/>
    </dxf>
  </rfmt>
  <rfmt sheetId="1" sqref="AN329" start="0" length="0">
    <dxf>
      <font>
        <sz val="11"/>
        <color theme="1"/>
        <name val="Calibri"/>
        <scheme val="none"/>
      </font>
      <numFmt numFmtId="1" formatCode="0"/>
    </dxf>
  </rfmt>
  <rfmt sheetId="1" sqref="AO329" start="0" length="0">
    <dxf>
      <font>
        <sz val="11"/>
        <color theme="1"/>
        <name val="Calibri"/>
        <scheme val="none"/>
      </font>
    </dxf>
  </rfmt>
  <rfmt sheetId="1" sqref="AP329" start="0" length="0">
    <dxf>
      <font>
        <sz val="11"/>
        <color theme="1"/>
        <name val="Calibri"/>
        <scheme val="none"/>
      </font>
    </dxf>
  </rfmt>
  <rfmt sheetId="1" sqref="AQ329" start="0" length="0">
    <dxf>
      <font>
        <sz val="11"/>
        <color theme="1"/>
        <name val="Calibri"/>
        <scheme val="none"/>
      </font>
      <numFmt numFmtId="164" formatCode="_-* #,##0_-;\-* #,##0_-;_-* &quot;-&quot;??_-;_-@_-"/>
    </dxf>
  </rfmt>
  <rfmt sheetId="1" sqref="AR329" start="0" length="0">
    <dxf>
      <font>
        <sz val="11"/>
        <color theme="1"/>
        <name val="Calibri"/>
        <scheme val="none"/>
      </font>
      <numFmt numFmtId="164" formatCode="_-* #,##0_-;\-* #,##0_-;_-* &quot;-&quot;??_-;_-@_-"/>
    </dxf>
  </rfmt>
  <rfmt sheetId="1" sqref="AS329" start="0" length="0">
    <dxf>
      <font>
        <sz val="11"/>
        <color theme="1"/>
        <name val="Calibri"/>
        <scheme val="none"/>
      </font>
      <numFmt numFmtId="164" formatCode="_-* #,##0_-;\-* #,##0_-;_-* &quot;-&quot;??_-;_-@_-"/>
    </dxf>
  </rfmt>
  <rfmt sheetId="1" sqref="AT329" start="0" length="0">
    <dxf>
      <font>
        <sz val="11"/>
        <color theme="1"/>
        <name val="Calibri"/>
        <scheme val="none"/>
      </font>
      <numFmt numFmtId="164" formatCode="_-* #,##0_-;\-* #,##0_-;_-* &quot;-&quot;??_-;_-@_-"/>
    </dxf>
  </rfmt>
  <rfmt sheetId="1" sqref="AU329" start="0" length="0">
    <dxf>
      <font>
        <sz val="11"/>
        <color theme="1"/>
        <name val="Calibri"/>
        <scheme val="none"/>
      </font>
    </dxf>
  </rfmt>
  <rfmt sheetId="1" sqref="AV329" start="0" length="0">
    <dxf>
      <font>
        <sz val="11"/>
        <color theme="1"/>
        <name val="Calibri"/>
        <scheme val="none"/>
      </font>
    </dxf>
  </rfmt>
  <rfmt sheetId="1" sqref="AW329" start="0" length="0">
    <dxf>
      <font>
        <sz val="11"/>
        <color theme="1"/>
        <name val="Calibri"/>
        <scheme val="none"/>
      </font>
    </dxf>
  </rfmt>
  <rfmt sheetId="1" sqref="AX329" start="0" length="0">
    <dxf>
      <font>
        <sz val="11"/>
        <color theme="1"/>
        <name val="Calibri"/>
        <scheme val="none"/>
      </font>
    </dxf>
  </rfmt>
  <rfmt sheetId="1" sqref="AY329" start="0" length="0">
    <dxf>
      <font>
        <sz val="11"/>
        <color theme="1"/>
        <name val="Calibri"/>
        <scheme val="none"/>
      </font>
    </dxf>
  </rfmt>
  <rfmt sheetId="1" sqref="A329:XFD329" start="0" length="0">
    <dxf>
      <font>
        <sz val="11"/>
        <color theme="1"/>
        <name val="Calibri"/>
        <scheme val="none"/>
      </font>
    </dxf>
  </rfmt>
  <rfmt sheetId="1" sqref="A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3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3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30" start="0" length="0">
    <dxf>
      <font>
        <sz val="11"/>
        <color theme="1"/>
        <name val="Calibri"/>
        <scheme val="none"/>
      </font>
    </dxf>
  </rfmt>
  <rfmt sheetId="1" sqref="AM330" start="0" length="0">
    <dxf>
      <font>
        <sz val="11"/>
        <color theme="1"/>
        <name val="Calibri"/>
        <scheme val="none"/>
      </font>
      <numFmt numFmtId="1" formatCode="0"/>
    </dxf>
  </rfmt>
  <rfmt sheetId="1" sqref="AN330" start="0" length="0">
    <dxf>
      <font>
        <sz val="11"/>
        <color theme="1"/>
        <name val="Calibri"/>
        <scheme val="none"/>
      </font>
      <numFmt numFmtId="1" formatCode="0"/>
    </dxf>
  </rfmt>
  <rfmt sheetId="1" sqref="AO330" start="0" length="0">
    <dxf>
      <font>
        <sz val="11"/>
        <color theme="1"/>
        <name val="Calibri"/>
        <scheme val="none"/>
      </font>
    </dxf>
  </rfmt>
  <rfmt sheetId="1" sqref="AP330" start="0" length="0">
    <dxf>
      <font>
        <sz val="11"/>
        <color theme="1"/>
        <name val="Calibri"/>
        <scheme val="none"/>
      </font>
    </dxf>
  </rfmt>
  <rfmt sheetId="1" sqref="AQ330" start="0" length="0">
    <dxf>
      <font>
        <sz val="11"/>
        <color theme="1"/>
        <name val="Calibri"/>
        <scheme val="none"/>
      </font>
      <numFmt numFmtId="164" formatCode="_-* #,##0_-;\-* #,##0_-;_-* &quot;-&quot;??_-;_-@_-"/>
    </dxf>
  </rfmt>
  <rfmt sheetId="1" sqref="AR330" start="0" length="0">
    <dxf>
      <font>
        <sz val="11"/>
        <color theme="1"/>
        <name val="Calibri"/>
        <scheme val="none"/>
      </font>
      <numFmt numFmtId="164" formatCode="_-* #,##0_-;\-* #,##0_-;_-* &quot;-&quot;??_-;_-@_-"/>
    </dxf>
  </rfmt>
  <rfmt sheetId="1" sqref="AS330" start="0" length="0">
    <dxf>
      <font>
        <sz val="11"/>
        <color theme="1"/>
        <name val="Calibri"/>
        <scheme val="none"/>
      </font>
      <numFmt numFmtId="164" formatCode="_-* #,##0_-;\-* #,##0_-;_-* &quot;-&quot;??_-;_-@_-"/>
    </dxf>
  </rfmt>
  <rfmt sheetId="1" sqref="AT330" start="0" length="0">
    <dxf>
      <font>
        <sz val="11"/>
        <color theme="1"/>
        <name val="Calibri"/>
        <scheme val="none"/>
      </font>
      <numFmt numFmtId="164" formatCode="_-* #,##0_-;\-* #,##0_-;_-* &quot;-&quot;??_-;_-@_-"/>
    </dxf>
  </rfmt>
  <rfmt sheetId="1" sqref="AU330" start="0" length="0">
    <dxf>
      <font>
        <sz val="11"/>
        <color theme="1"/>
        <name val="Calibri"/>
        <scheme val="none"/>
      </font>
    </dxf>
  </rfmt>
  <rfmt sheetId="1" sqref="AV330" start="0" length="0">
    <dxf>
      <font>
        <sz val="11"/>
        <color theme="1"/>
        <name val="Calibri"/>
        <scheme val="none"/>
      </font>
    </dxf>
  </rfmt>
  <rfmt sheetId="1" sqref="AW330" start="0" length="0">
    <dxf>
      <font>
        <sz val="11"/>
        <color theme="1"/>
        <name val="Calibri"/>
        <scheme val="none"/>
      </font>
    </dxf>
  </rfmt>
  <rfmt sheetId="1" sqref="AX330" start="0" length="0">
    <dxf>
      <font>
        <sz val="11"/>
        <color theme="1"/>
        <name val="Calibri"/>
        <scheme val="none"/>
      </font>
    </dxf>
  </rfmt>
  <rfmt sheetId="1" sqref="AY330" start="0" length="0">
    <dxf>
      <font>
        <sz val="11"/>
        <color theme="1"/>
        <name val="Calibri"/>
        <scheme val="none"/>
      </font>
    </dxf>
  </rfmt>
  <rfmt sheetId="1" sqref="A330:XFD330" start="0" length="0">
    <dxf>
      <font>
        <sz val="11"/>
        <color theme="1"/>
        <name val="Calibri"/>
        <scheme val="none"/>
      </font>
    </dxf>
  </rfmt>
  <rfmt sheetId="1" sqref="A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3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3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31" start="0" length="0">
    <dxf>
      <font>
        <sz val="11"/>
        <color theme="1"/>
        <name val="Calibri"/>
        <scheme val="none"/>
      </font>
    </dxf>
  </rfmt>
  <rfmt sheetId="1" sqref="AM331" start="0" length="0">
    <dxf>
      <font>
        <sz val="11"/>
        <color theme="1"/>
        <name val="Calibri"/>
        <scheme val="none"/>
      </font>
      <numFmt numFmtId="1" formatCode="0"/>
    </dxf>
  </rfmt>
  <rfmt sheetId="1" sqref="AN331" start="0" length="0">
    <dxf>
      <font>
        <sz val="11"/>
        <color theme="1"/>
        <name val="Calibri"/>
        <scheme val="none"/>
      </font>
      <numFmt numFmtId="1" formatCode="0"/>
    </dxf>
  </rfmt>
  <rfmt sheetId="1" sqref="AO331" start="0" length="0">
    <dxf>
      <font>
        <sz val="11"/>
        <color theme="1"/>
        <name val="Calibri"/>
        <scheme val="none"/>
      </font>
    </dxf>
  </rfmt>
  <rfmt sheetId="1" sqref="AP331" start="0" length="0">
    <dxf>
      <font>
        <sz val="11"/>
        <color theme="1"/>
        <name val="Calibri"/>
        <scheme val="none"/>
      </font>
    </dxf>
  </rfmt>
  <rfmt sheetId="1" sqref="AQ331" start="0" length="0">
    <dxf>
      <font>
        <sz val="11"/>
        <color theme="1"/>
        <name val="Calibri"/>
        <scheme val="none"/>
      </font>
      <numFmt numFmtId="164" formatCode="_-* #,##0_-;\-* #,##0_-;_-* &quot;-&quot;??_-;_-@_-"/>
    </dxf>
  </rfmt>
  <rfmt sheetId="1" sqref="AR331" start="0" length="0">
    <dxf>
      <font>
        <sz val="11"/>
        <color theme="1"/>
        <name val="Calibri"/>
        <scheme val="none"/>
      </font>
      <numFmt numFmtId="164" formatCode="_-* #,##0_-;\-* #,##0_-;_-* &quot;-&quot;??_-;_-@_-"/>
    </dxf>
  </rfmt>
  <rfmt sheetId="1" sqref="AS331" start="0" length="0">
    <dxf>
      <font>
        <sz val="11"/>
        <color theme="1"/>
        <name val="Calibri"/>
        <scheme val="none"/>
      </font>
      <numFmt numFmtId="164" formatCode="_-* #,##0_-;\-* #,##0_-;_-* &quot;-&quot;??_-;_-@_-"/>
    </dxf>
  </rfmt>
  <rfmt sheetId="1" sqref="AT331" start="0" length="0">
    <dxf>
      <font>
        <sz val="11"/>
        <color theme="1"/>
        <name val="Calibri"/>
        <scheme val="none"/>
      </font>
      <numFmt numFmtId="164" formatCode="_-* #,##0_-;\-* #,##0_-;_-* &quot;-&quot;??_-;_-@_-"/>
    </dxf>
  </rfmt>
  <rfmt sheetId="1" sqref="AU331" start="0" length="0">
    <dxf>
      <font>
        <sz val="11"/>
        <color theme="1"/>
        <name val="Calibri"/>
        <scheme val="none"/>
      </font>
    </dxf>
  </rfmt>
  <rfmt sheetId="1" sqref="AV331" start="0" length="0">
    <dxf>
      <font>
        <sz val="11"/>
        <color theme="1"/>
        <name val="Calibri"/>
        <scheme val="none"/>
      </font>
    </dxf>
  </rfmt>
  <rfmt sheetId="1" sqref="AW331" start="0" length="0">
    <dxf>
      <font>
        <sz val="11"/>
        <color theme="1"/>
        <name val="Calibri"/>
        <scheme val="none"/>
      </font>
    </dxf>
  </rfmt>
  <rfmt sheetId="1" sqref="AX331" start="0" length="0">
    <dxf>
      <font>
        <sz val="11"/>
        <color theme="1"/>
        <name val="Calibri"/>
        <scheme val="none"/>
      </font>
    </dxf>
  </rfmt>
  <rfmt sheetId="1" sqref="AY331" start="0" length="0">
    <dxf>
      <font>
        <sz val="11"/>
        <color theme="1"/>
        <name val="Calibri"/>
        <scheme val="none"/>
      </font>
    </dxf>
  </rfmt>
  <rfmt sheetId="1" sqref="A331:XFD331" start="0" length="0">
    <dxf>
      <font>
        <sz val="11"/>
        <color theme="1"/>
        <name val="Calibri"/>
        <scheme val="none"/>
      </font>
    </dxf>
  </rfmt>
  <rfmt sheetId="1" sqref="A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3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3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32" start="0" length="0">
    <dxf>
      <font>
        <sz val="11"/>
        <color theme="1"/>
        <name val="Calibri"/>
        <scheme val="none"/>
      </font>
    </dxf>
  </rfmt>
  <rfmt sheetId="1" sqref="AM332" start="0" length="0">
    <dxf>
      <font>
        <sz val="11"/>
        <color theme="1"/>
        <name val="Calibri"/>
        <scheme val="none"/>
      </font>
      <numFmt numFmtId="1" formatCode="0"/>
    </dxf>
  </rfmt>
  <rfmt sheetId="1" sqref="AN332" start="0" length="0">
    <dxf>
      <font>
        <sz val="11"/>
        <color theme="1"/>
        <name val="Calibri"/>
        <scheme val="none"/>
      </font>
      <numFmt numFmtId="1" formatCode="0"/>
    </dxf>
  </rfmt>
  <rfmt sheetId="1" sqref="AO332" start="0" length="0">
    <dxf>
      <font>
        <sz val="11"/>
        <color theme="1"/>
        <name val="Calibri"/>
        <scheme val="none"/>
      </font>
    </dxf>
  </rfmt>
  <rfmt sheetId="1" sqref="AP332" start="0" length="0">
    <dxf>
      <font>
        <sz val="11"/>
        <color theme="1"/>
        <name val="Calibri"/>
        <scheme val="none"/>
      </font>
    </dxf>
  </rfmt>
  <rfmt sheetId="1" sqref="AQ332" start="0" length="0">
    <dxf>
      <font>
        <sz val="11"/>
        <color theme="1"/>
        <name val="Calibri"/>
        <scheme val="none"/>
      </font>
      <numFmt numFmtId="164" formatCode="_-* #,##0_-;\-* #,##0_-;_-* &quot;-&quot;??_-;_-@_-"/>
    </dxf>
  </rfmt>
  <rfmt sheetId="1" sqref="AR332" start="0" length="0">
    <dxf>
      <font>
        <sz val="11"/>
        <color theme="1"/>
        <name val="Calibri"/>
        <scheme val="none"/>
      </font>
      <numFmt numFmtId="164" formatCode="_-* #,##0_-;\-* #,##0_-;_-* &quot;-&quot;??_-;_-@_-"/>
    </dxf>
  </rfmt>
  <rfmt sheetId="1" sqref="AS332" start="0" length="0">
    <dxf>
      <font>
        <sz val="11"/>
        <color theme="1"/>
        <name val="Calibri"/>
        <scheme val="none"/>
      </font>
      <numFmt numFmtId="164" formatCode="_-* #,##0_-;\-* #,##0_-;_-* &quot;-&quot;??_-;_-@_-"/>
    </dxf>
  </rfmt>
  <rfmt sheetId="1" sqref="AT332" start="0" length="0">
    <dxf>
      <font>
        <sz val="11"/>
        <color theme="1"/>
        <name val="Calibri"/>
        <scheme val="none"/>
      </font>
      <numFmt numFmtId="164" formatCode="_-* #,##0_-;\-* #,##0_-;_-* &quot;-&quot;??_-;_-@_-"/>
    </dxf>
  </rfmt>
  <rfmt sheetId="1" sqref="AU332" start="0" length="0">
    <dxf>
      <font>
        <sz val="11"/>
        <color theme="1"/>
        <name val="Calibri"/>
        <scheme val="none"/>
      </font>
    </dxf>
  </rfmt>
  <rfmt sheetId="1" sqref="AV332" start="0" length="0">
    <dxf>
      <font>
        <sz val="11"/>
        <color theme="1"/>
        <name val="Calibri"/>
        <scheme val="none"/>
      </font>
    </dxf>
  </rfmt>
  <rfmt sheetId="1" sqref="AW332" start="0" length="0">
    <dxf>
      <font>
        <sz val="11"/>
        <color theme="1"/>
        <name val="Calibri"/>
        <scheme val="none"/>
      </font>
    </dxf>
  </rfmt>
  <rfmt sheetId="1" sqref="AX332" start="0" length="0">
    <dxf>
      <font>
        <sz val="11"/>
        <color theme="1"/>
        <name val="Calibri"/>
        <scheme val="none"/>
      </font>
    </dxf>
  </rfmt>
  <rfmt sheetId="1" sqref="AY332" start="0" length="0">
    <dxf>
      <font>
        <sz val="11"/>
        <color theme="1"/>
        <name val="Calibri"/>
        <scheme val="none"/>
      </font>
    </dxf>
  </rfmt>
  <rfmt sheetId="1" sqref="A332:XFD332" start="0" length="0">
    <dxf>
      <font>
        <sz val="11"/>
        <color theme="1"/>
        <name val="Calibri"/>
        <scheme val="none"/>
      </font>
    </dxf>
  </rfmt>
  <rfmt sheetId="1" sqref="A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3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3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33" start="0" length="0">
    <dxf>
      <font>
        <sz val="11"/>
        <color theme="1"/>
        <name val="Calibri"/>
        <scheme val="none"/>
      </font>
    </dxf>
  </rfmt>
  <rfmt sheetId="1" sqref="AM333" start="0" length="0">
    <dxf>
      <font>
        <sz val="11"/>
        <color theme="1"/>
        <name val="Calibri"/>
        <scheme val="none"/>
      </font>
      <numFmt numFmtId="1" formatCode="0"/>
    </dxf>
  </rfmt>
  <rfmt sheetId="1" sqref="AN333" start="0" length="0">
    <dxf>
      <font>
        <sz val="11"/>
        <color theme="1"/>
        <name val="Calibri"/>
        <scheme val="none"/>
      </font>
      <numFmt numFmtId="1" formatCode="0"/>
    </dxf>
  </rfmt>
  <rfmt sheetId="1" sqref="AO333" start="0" length="0">
    <dxf>
      <font>
        <sz val="11"/>
        <color theme="1"/>
        <name val="Calibri"/>
        <scheme val="none"/>
      </font>
    </dxf>
  </rfmt>
  <rfmt sheetId="1" sqref="AP333" start="0" length="0">
    <dxf>
      <font>
        <sz val="11"/>
        <color theme="1"/>
        <name val="Calibri"/>
        <scheme val="none"/>
      </font>
    </dxf>
  </rfmt>
  <rfmt sheetId="1" sqref="AQ333" start="0" length="0">
    <dxf>
      <font>
        <sz val="11"/>
        <color theme="1"/>
        <name val="Calibri"/>
        <scheme val="none"/>
      </font>
      <numFmt numFmtId="164" formatCode="_-* #,##0_-;\-* #,##0_-;_-* &quot;-&quot;??_-;_-@_-"/>
    </dxf>
  </rfmt>
  <rfmt sheetId="1" sqref="AR333" start="0" length="0">
    <dxf>
      <font>
        <sz val="11"/>
        <color theme="1"/>
        <name val="Calibri"/>
        <scheme val="none"/>
      </font>
      <numFmt numFmtId="164" formatCode="_-* #,##0_-;\-* #,##0_-;_-* &quot;-&quot;??_-;_-@_-"/>
    </dxf>
  </rfmt>
  <rfmt sheetId="1" sqref="AS333" start="0" length="0">
    <dxf>
      <font>
        <sz val="11"/>
        <color theme="1"/>
        <name val="Calibri"/>
        <scheme val="none"/>
      </font>
      <numFmt numFmtId="164" formatCode="_-* #,##0_-;\-* #,##0_-;_-* &quot;-&quot;??_-;_-@_-"/>
    </dxf>
  </rfmt>
  <rfmt sheetId="1" sqref="AT333" start="0" length="0">
    <dxf>
      <font>
        <sz val="11"/>
        <color theme="1"/>
        <name val="Calibri"/>
        <scheme val="none"/>
      </font>
      <numFmt numFmtId="164" formatCode="_-* #,##0_-;\-* #,##0_-;_-* &quot;-&quot;??_-;_-@_-"/>
    </dxf>
  </rfmt>
  <rfmt sheetId="1" sqref="AU333" start="0" length="0">
    <dxf>
      <font>
        <sz val="11"/>
        <color theme="1"/>
        <name val="Calibri"/>
        <scheme val="none"/>
      </font>
    </dxf>
  </rfmt>
  <rfmt sheetId="1" sqref="AV333" start="0" length="0">
    <dxf>
      <font>
        <sz val="11"/>
        <color theme="1"/>
        <name val="Calibri"/>
        <scheme val="none"/>
      </font>
    </dxf>
  </rfmt>
  <rfmt sheetId="1" sqref="AW333" start="0" length="0">
    <dxf>
      <font>
        <sz val="11"/>
        <color theme="1"/>
        <name val="Calibri"/>
        <scheme val="none"/>
      </font>
    </dxf>
  </rfmt>
  <rfmt sheetId="1" sqref="AX333" start="0" length="0">
    <dxf>
      <font>
        <sz val="11"/>
        <color theme="1"/>
        <name val="Calibri"/>
        <scheme val="none"/>
      </font>
    </dxf>
  </rfmt>
  <rfmt sheetId="1" sqref="AY333" start="0" length="0">
    <dxf>
      <font>
        <sz val="11"/>
        <color theme="1"/>
        <name val="Calibri"/>
        <scheme val="none"/>
      </font>
    </dxf>
  </rfmt>
  <rfmt sheetId="1" sqref="A333:XFD333" start="0" length="0">
    <dxf>
      <font>
        <sz val="11"/>
        <color theme="1"/>
        <name val="Calibri"/>
        <scheme val="none"/>
      </font>
    </dxf>
  </rfmt>
  <rfmt sheetId="1" sqref="A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3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3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34" start="0" length="0">
    <dxf>
      <font>
        <sz val="11"/>
        <color theme="1"/>
        <name val="Calibri"/>
        <scheme val="none"/>
      </font>
    </dxf>
  </rfmt>
  <rfmt sheetId="1" sqref="AM334" start="0" length="0">
    <dxf>
      <font>
        <sz val="11"/>
        <color theme="1"/>
        <name val="Calibri"/>
        <scheme val="none"/>
      </font>
      <numFmt numFmtId="1" formatCode="0"/>
    </dxf>
  </rfmt>
  <rfmt sheetId="1" sqref="AN334" start="0" length="0">
    <dxf>
      <font>
        <sz val="11"/>
        <color theme="1"/>
        <name val="Calibri"/>
        <scheme val="none"/>
      </font>
      <numFmt numFmtId="1" formatCode="0"/>
    </dxf>
  </rfmt>
  <rfmt sheetId="1" sqref="AO334" start="0" length="0">
    <dxf>
      <font>
        <sz val="11"/>
        <color theme="1"/>
        <name val="Calibri"/>
        <scheme val="none"/>
      </font>
    </dxf>
  </rfmt>
  <rfmt sheetId="1" sqref="AP334" start="0" length="0">
    <dxf>
      <font>
        <sz val="11"/>
        <color theme="1"/>
        <name val="Calibri"/>
        <scheme val="none"/>
      </font>
    </dxf>
  </rfmt>
  <rfmt sheetId="1" sqref="AQ334" start="0" length="0">
    <dxf>
      <font>
        <sz val="11"/>
        <color theme="1"/>
        <name val="Calibri"/>
        <scheme val="none"/>
      </font>
      <numFmt numFmtId="164" formatCode="_-* #,##0_-;\-* #,##0_-;_-* &quot;-&quot;??_-;_-@_-"/>
    </dxf>
  </rfmt>
  <rfmt sheetId="1" sqref="AR334" start="0" length="0">
    <dxf>
      <font>
        <sz val="11"/>
        <color theme="1"/>
        <name val="Calibri"/>
        <scheme val="none"/>
      </font>
      <numFmt numFmtId="164" formatCode="_-* #,##0_-;\-* #,##0_-;_-* &quot;-&quot;??_-;_-@_-"/>
    </dxf>
  </rfmt>
  <rfmt sheetId="1" sqref="AS334" start="0" length="0">
    <dxf>
      <font>
        <sz val="11"/>
        <color theme="1"/>
        <name val="Calibri"/>
        <scheme val="none"/>
      </font>
      <numFmt numFmtId="164" formatCode="_-* #,##0_-;\-* #,##0_-;_-* &quot;-&quot;??_-;_-@_-"/>
    </dxf>
  </rfmt>
  <rfmt sheetId="1" sqref="AT334" start="0" length="0">
    <dxf>
      <font>
        <sz val="11"/>
        <color theme="1"/>
        <name val="Calibri"/>
        <scheme val="none"/>
      </font>
      <numFmt numFmtId="164" formatCode="_-* #,##0_-;\-* #,##0_-;_-* &quot;-&quot;??_-;_-@_-"/>
    </dxf>
  </rfmt>
  <rfmt sheetId="1" sqref="AU334" start="0" length="0">
    <dxf>
      <font>
        <sz val="11"/>
        <color theme="1"/>
        <name val="Calibri"/>
        <scheme val="none"/>
      </font>
    </dxf>
  </rfmt>
  <rfmt sheetId="1" sqref="AV334" start="0" length="0">
    <dxf>
      <font>
        <sz val="11"/>
        <color theme="1"/>
        <name val="Calibri"/>
        <scheme val="none"/>
      </font>
    </dxf>
  </rfmt>
  <rfmt sheetId="1" sqref="AW334" start="0" length="0">
    <dxf>
      <font>
        <sz val="11"/>
        <color theme="1"/>
        <name val="Calibri"/>
        <scheme val="none"/>
      </font>
    </dxf>
  </rfmt>
  <rfmt sheetId="1" sqref="AX334" start="0" length="0">
    <dxf>
      <font>
        <sz val="11"/>
        <color theme="1"/>
        <name val="Calibri"/>
        <scheme val="none"/>
      </font>
    </dxf>
  </rfmt>
  <rfmt sheetId="1" sqref="AY334" start="0" length="0">
    <dxf>
      <font>
        <sz val="11"/>
        <color theme="1"/>
        <name val="Calibri"/>
        <scheme val="none"/>
      </font>
    </dxf>
  </rfmt>
  <rfmt sheetId="1" sqref="A334:XFD334" start="0" length="0">
    <dxf>
      <font>
        <sz val="11"/>
        <color theme="1"/>
        <name val="Calibri"/>
        <scheme val="none"/>
      </font>
    </dxf>
  </rfmt>
  <rfmt sheetId="1" sqref="A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3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3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35" start="0" length="0">
    <dxf>
      <font>
        <sz val="11"/>
        <color theme="1"/>
        <name val="Calibri"/>
        <scheme val="none"/>
      </font>
    </dxf>
  </rfmt>
  <rfmt sheetId="1" sqref="AM335" start="0" length="0">
    <dxf>
      <font>
        <sz val="11"/>
        <color theme="1"/>
        <name val="Calibri"/>
        <scheme val="none"/>
      </font>
      <numFmt numFmtId="1" formatCode="0"/>
    </dxf>
  </rfmt>
  <rfmt sheetId="1" sqref="AN335" start="0" length="0">
    <dxf>
      <font>
        <sz val="11"/>
        <color theme="1"/>
        <name val="Calibri"/>
        <scheme val="none"/>
      </font>
      <numFmt numFmtId="1" formatCode="0"/>
    </dxf>
  </rfmt>
  <rfmt sheetId="1" sqref="AO335" start="0" length="0">
    <dxf>
      <font>
        <sz val="11"/>
        <color theme="1"/>
        <name val="Calibri"/>
        <scheme val="none"/>
      </font>
    </dxf>
  </rfmt>
  <rfmt sheetId="1" sqref="AP335" start="0" length="0">
    <dxf>
      <font>
        <sz val="11"/>
        <color theme="1"/>
        <name val="Calibri"/>
        <scheme val="none"/>
      </font>
    </dxf>
  </rfmt>
  <rfmt sheetId="1" sqref="AQ335" start="0" length="0">
    <dxf>
      <font>
        <sz val="11"/>
        <color theme="1"/>
        <name val="Calibri"/>
        <scheme val="none"/>
      </font>
      <numFmt numFmtId="164" formatCode="_-* #,##0_-;\-* #,##0_-;_-* &quot;-&quot;??_-;_-@_-"/>
    </dxf>
  </rfmt>
  <rfmt sheetId="1" sqref="AR335" start="0" length="0">
    <dxf>
      <font>
        <sz val="11"/>
        <color theme="1"/>
        <name val="Calibri"/>
        <scheme val="none"/>
      </font>
      <numFmt numFmtId="164" formatCode="_-* #,##0_-;\-* #,##0_-;_-* &quot;-&quot;??_-;_-@_-"/>
    </dxf>
  </rfmt>
  <rfmt sheetId="1" sqref="AS335" start="0" length="0">
    <dxf>
      <font>
        <sz val="11"/>
        <color theme="1"/>
        <name val="Calibri"/>
        <scheme val="none"/>
      </font>
      <numFmt numFmtId="164" formatCode="_-* #,##0_-;\-* #,##0_-;_-* &quot;-&quot;??_-;_-@_-"/>
    </dxf>
  </rfmt>
  <rfmt sheetId="1" sqref="AT335" start="0" length="0">
    <dxf>
      <font>
        <sz val="11"/>
        <color theme="1"/>
        <name val="Calibri"/>
        <scheme val="none"/>
      </font>
      <numFmt numFmtId="164" formatCode="_-* #,##0_-;\-* #,##0_-;_-* &quot;-&quot;??_-;_-@_-"/>
    </dxf>
  </rfmt>
  <rfmt sheetId="1" sqref="AU335" start="0" length="0">
    <dxf>
      <font>
        <sz val="11"/>
        <color theme="1"/>
        <name val="Calibri"/>
        <scheme val="none"/>
      </font>
    </dxf>
  </rfmt>
  <rfmt sheetId="1" sqref="AV335" start="0" length="0">
    <dxf>
      <font>
        <sz val="11"/>
        <color theme="1"/>
        <name val="Calibri"/>
        <scheme val="none"/>
      </font>
    </dxf>
  </rfmt>
  <rfmt sheetId="1" sqref="AW335" start="0" length="0">
    <dxf>
      <font>
        <sz val="11"/>
        <color theme="1"/>
        <name val="Calibri"/>
        <scheme val="none"/>
      </font>
    </dxf>
  </rfmt>
  <rfmt sheetId="1" sqref="AX335" start="0" length="0">
    <dxf>
      <font>
        <sz val="11"/>
        <color theme="1"/>
        <name val="Calibri"/>
        <scheme val="none"/>
      </font>
    </dxf>
  </rfmt>
  <rfmt sheetId="1" sqref="AY335" start="0" length="0">
    <dxf>
      <font>
        <sz val="11"/>
        <color theme="1"/>
        <name val="Calibri"/>
        <scheme val="none"/>
      </font>
    </dxf>
  </rfmt>
  <rfmt sheetId="1" sqref="A335:XFD335" start="0" length="0">
    <dxf>
      <font>
        <sz val="11"/>
        <color theme="1"/>
        <name val="Calibri"/>
        <scheme val="none"/>
      </font>
    </dxf>
  </rfmt>
  <rfmt sheetId="1" sqref="A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3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3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36" start="0" length="0">
    <dxf>
      <font>
        <sz val="11"/>
        <color theme="1"/>
        <name val="Calibri"/>
        <scheme val="none"/>
      </font>
    </dxf>
  </rfmt>
  <rfmt sheetId="1" sqref="AM336" start="0" length="0">
    <dxf>
      <font>
        <sz val="11"/>
        <color theme="1"/>
        <name val="Calibri"/>
        <scheme val="none"/>
      </font>
      <numFmt numFmtId="1" formatCode="0"/>
    </dxf>
  </rfmt>
  <rfmt sheetId="1" sqref="AN336" start="0" length="0">
    <dxf>
      <font>
        <sz val="11"/>
        <color theme="1"/>
        <name val="Calibri"/>
        <scheme val="none"/>
      </font>
      <numFmt numFmtId="1" formatCode="0"/>
    </dxf>
  </rfmt>
  <rfmt sheetId="1" sqref="AO336" start="0" length="0">
    <dxf>
      <font>
        <sz val="11"/>
        <color theme="1"/>
        <name val="Calibri"/>
        <scheme val="none"/>
      </font>
    </dxf>
  </rfmt>
  <rfmt sheetId="1" sqref="AP336" start="0" length="0">
    <dxf>
      <font>
        <sz val="11"/>
        <color theme="1"/>
        <name val="Calibri"/>
        <scheme val="none"/>
      </font>
    </dxf>
  </rfmt>
  <rfmt sheetId="1" sqref="AQ336" start="0" length="0">
    <dxf>
      <font>
        <sz val="11"/>
        <color theme="1"/>
        <name val="Calibri"/>
        <scheme val="none"/>
      </font>
      <numFmt numFmtId="164" formatCode="_-* #,##0_-;\-* #,##0_-;_-* &quot;-&quot;??_-;_-@_-"/>
    </dxf>
  </rfmt>
  <rfmt sheetId="1" sqref="AR336" start="0" length="0">
    <dxf>
      <font>
        <sz val="11"/>
        <color theme="1"/>
        <name val="Calibri"/>
        <scheme val="none"/>
      </font>
      <numFmt numFmtId="164" formatCode="_-* #,##0_-;\-* #,##0_-;_-* &quot;-&quot;??_-;_-@_-"/>
    </dxf>
  </rfmt>
  <rfmt sheetId="1" sqref="AS336" start="0" length="0">
    <dxf>
      <font>
        <sz val="11"/>
        <color theme="1"/>
        <name val="Calibri"/>
        <scheme val="none"/>
      </font>
      <numFmt numFmtId="164" formatCode="_-* #,##0_-;\-* #,##0_-;_-* &quot;-&quot;??_-;_-@_-"/>
    </dxf>
  </rfmt>
  <rfmt sheetId="1" sqref="AT336" start="0" length="0">
    <dxf>
      <font>
        <sz val="11"/>
        <color theme="1"/>
        <name val="Calibri"/>
        <scheme val="none"/>
      </font>
      <numFmt numFmtId="164" formatCode="_-* #,##0_-;\-* #,##0_-;_-* &quot;-&quot;??_-;_-@_-"/>
    </dxf>
  </rfmt>
  <rfmt sheetId="1" sqref="AU336" start="0" length="0">
    <dxf>
      <font>
        <sz val="11"/>
        <color theme="1"/>
        <name val="Calibri"/>
        <scheme val="none"/>
      </font>
    </dxf>
  </rfmt>
  <rfmt sheetId="1" sqref="AV336" start="0" length="0">
    <dxf>
      <font>
        <sz val="11"/>
        <color theme="1"/>
        <name val="Calibri"/>
        <scheme val="none"/>
      </font>
    </dxf>
  </rfmt>
  <rfmt sheetId="1" sqref="AW336" start="0" length="0">
    <dxf>
      <font>
        <sz val="11"/>
        <color theme="1"/>
        <name val="Calibri"/>
        <scheme val="none"/>
      </font>
    </dxf>
  </rfmt>
  <rfmt sheetId="1" sqref="AX336" start="0" length="0">
    <dxf>
      <font>
        <sz val="11"/>
        <color theme="1"/>
        <name val="Calibri"/>
        <scheme val="none"/>
      </font>
    </dxf>
  </rfmt>
  <rfmt sheetId="1" sqref="AY336" start="0" length="0">
    <dxf>
      <font>
        <sz val="11"/>
        <color theme="1"/>
        <name val="Calibri"/>
        <scheme val="none"/>
      </font>
    </dxf>
  </rfmt>
  <rfmt sheetId="1" sqref="A336:XFD336" start="0" length="0">
    <dxf>
      <font>
        <sz val="11"/>
        <color theme="1"/>
        <name val="Calibri"/>
        <scheme val="none"/>
      </font>
    </dxf>
  </rfmt>
  <rfmt sheetId="1" sqref="A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3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3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37" start="0" length="0">
    <dxf>
      <font>
        <sz val="11"/>
        <color theme="1"/>
        <name val="Calibri"/>
        <scheme val="none"/>
      </font>
    </dxf>
  </rfmt>
  <rfmt sheetId="1" sqref="AM337" start="0" length="0">
    <dxf>
      <font>
        <sz val="11"/>
        <color theme="1"/>
        <name val="Calibri"/>
        <scheme val="none"/>
      </font>
      <numFmt numFmtId="1" formatCode="0"/>
    </dxf>
  </rfmt>
  <rfmt sheetId="1" sqref="AN337" start="0" length="0">
    <dxf>
      <font>
        <sz val="11"/>
        <color theme="1"/>
        <name val="Calibri"/>
        <scheme val="none"/>
      </font>
      <numFmt numFmtId="1" formatCode="0"/>
    </dxf>
  </rfmt>
  <rfmt sheetId="1" sqref="AO337" start="0" length="0">
    <dxf>
      <font>
        <sz val="11"/>
        <color theme="1"/>
        <name val="Calibri"/>
        <scheme val="none"/>
      </font>
    </dxf>
  </rfmt>
  <rfmt sheetId="1" sqref="AP337" start="0" length="0">
    <dxf>
      <font>
        <sz val="11"/>
        <color theme="1"/>
        <name val="Calibri"/>
        <scheme val="none"/>
      </font>
    </dxf>
  </rfmt>
  <rfmt sheetId="1" sqref="AQ337" start="0" length="0">
    <dxf>
      <font>
        <sz val="11"/>
        <color theme="1"/>
        <name val="Calibri"/>
        <scheme val="none"/>
      </font>
      <numFmt numFmtId="164" formatCode="_-* #,##0_-;\-* #,##0_-;_-* &quot;-&quot;??_-;_-@_-"/>
    </dxf>
  </rfmt>
  <rfmt sheetId="1" sqref="AR337" start="0" length="0">
    <dxf>
      <font>
        <sz val="11"/>
        <color theme="1"/>
        <name val="Calibri"/>
        <scheme val="none"/>
      </font>
      <numFmt numFmtId="164" formatCode="_-* #,##0_-;\-* #,##0_-;_-* &quot;-&quot;??_-;_-@_-"/>
    </dxf>
  </rfmt>
  <rfmt sheetId="1" sqref="AS337" start="0" length="0">
    <dxf>
      <font>
        <sz val="11"/>
        <color theme="1"/>
        <name val="Calibri"/>
        <scheme val="none"/>
      </font>
      <numFmt numFmtId="164" formatCode="_-* #,##0_-;\-* #,##0_-;_-* &quot;-&quot;??_-;_-@_-"/>
    </dxf>
  </rfmt>
  <rfmt sheetId="1" sqref="AT337" start="0" length="0">
    <dxf>
      <font>
        <sz val="11"/>
        <color theme="1"/>
        <name val="Calibri"/>
        <scheme val="none"/>
      </font>
      <numFmt numFmtId="164" formatCode="_-* #,##0_-;\-* #,##0_-;_-* &quot;-&quot;??_-;_-@_-"/>
    </dxf>
  </rfmt>
  <rfmt sheetId="1" sqref="AU337" start="0" length="0">
    <dxf>
      <font>
        <sz val="11"/>
        <color theme="1"/>
        <name val="Calibri"/>
        <scheme val="none"/>
      </font>
    </dxf>
  </rfmt>
  <rfmt sheetId="1" sqref="AV337" start="0" length="0">
    <dxf>
      <font>
        <sz val="11"/>
        <color theme="1"/>
        <name val="Calibri"/>
        <scheme val="none"/>
      </font>
    </dxf>
  </rfmt>
  <rfmt sheetId="1" sqref="AW337" start="0" length="0">
    <dxf>
      <font>
        <sz val="11"/>
        <color theme="1"/>
        <name val="Calibri"/>
        <scheme val="none"/>
      </font>
    </dxf>
  </rfmt>
  <rfmt sheetId="1" sqref="AX337" start="0" length="0">
    <dxf>
      <font>
        <sz val="11"/>
        <color theme="1"/>
        <name val="Calibri"/>
        <scheme val="none"/>
      </font>
    </dxf>
  </rfmt>
  <rfmt sheetId="1" sqref="AY337" start="0" length="0">
    <dxf>
      <font>
        <sz val="11"/>
        <color theme="1"/>
        <name val="Calibri"/>
        <scheme val="none"/>
      </font>
    </dxf>
  </rfmt>
  <rfmt sheetId="1" sqref="A337:XFD337" start="0" length="0">
    <dxf>
      <font>
        <sz val="11"/>
        <color theme="1"/>
        <name val="Calibri"/>
        <scheme val="none"/>
      </font>
    </dxf>
  </rfmt>
  <rfmt sheetId="1" sqref="A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3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3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38" start="0" length="0">
    <dxf>
      <font>
        <sz val="11"/>
        <color theme="1"/>
        <name val="Calibri"/>
        <scheme val="none"/>
      </font>
    </dxf>
  </rfmt>
  <rfmt sheetId="1" sqref="AM338" start="0" length="0">
    <dxf>
      <font>
        <sz val="11"/>
        <color theme="1"/>
        <name val="Calibri"/>
        <scheme val="none"/>
      </font>
      <numFmt numFmtId="1" formatCode="0"/>
    </dxf>
  </rfmt>
  <rfmt sheetId="1" sqref="AN338" start="0" length="0">
    <dxf>
      <font>
        <sz val="11"/>
        <color theme="1"/>
        <name val="Calibri"/>
        <scheme val="none"/>
      </font>
      <numFmt numFmtId="1" formatCode="0"/>
    </dxf>
  </rfmt>
  <rfmt sheetId="1" sqref="AO338" start="0" length="0">
    <dxf>
      <font>
        <sz val="11"/>
        <color theme="1"/>
        <name val="Calibri"/>
        <scheme val="none"/>
      </font>
    </dxf>
  </rfmt>
  <rfmt sheetId="1" sqref="AP338" start="0" length="0">
    <dxf>
      <font>
        <sz val="11"/>
        <color theme="1"/>
        <name val="Calibri"/>
        <scheme val="none"/>
      </font>
    </dxf>
  </rfmt>
  <rfmt sheetId="1" sqref="AQ338" start="0" length="0">
    <dxf>
      <font>
        <sz val="11"/>
        <color theme="1"/>
        <name val="Calibri"/>
        <scheme val="none"/>
      </font>
      <numFmt numFmtId="164" formatCode="_-* #,##0_-;\-* #,##0_-;_-* &quot;-&quot;??_-;_-@_-"/>
    </dxf>
  </rfmt>
  <rfmt sheetId="1" sqref="AR338" start="0" length="0">
    <dxf>
      <font>
        <sz val="11"/>
        <color theme="1"/>
        <name val="Calibri"/>
        <scheme val="none"/>
      </font>
      <numFmt numFmtId="164" formatCode="_-* #,##0_-;\-* #,##0_-;_-* &quot;-&quot;??_-;_-@_-"/>
    </dxf>
  </rfmt>
  <rfmt sheetId="1" sqref="AS338" start="0" length="0">
    <dxf>
      <font>
        <sz val="11"/>
        <color theme="1"/>
        <name val="Calibri"/>
        <scheme val="none"/>
      </font>
      <numFmt numFmtId="164" formatCode="_-* #,##0_-;\-* #,##0_-;_-* &quot;-&quot;??_-;_-@_-"/>
    </dxf>
  </rfmt>
  <rfmt sheetId="1" sqref="AT338" start="0" length="0">
    <dxf>
      <font>
        <sz val="11"/>
        <color theme="1"/>
        <name val="Calibri"/>
        <scheme val="none"/>
      </font>
      <numFmt numFmtId="164" formatCode="_-* #,##0_-;\-* #,##0_-;_-* &quot;-&quot;??_-;_-@_-"/>
    </dxf>
  </rfmt>
  <rfmt sheetId="1" sqref="AU338" start="0" length="0">
    <dxf>
      <font>
        <sz val="11"/>
        <color theme="1"/>
        <name val="Calibri"/>
        <scheme val="none"/>
      </font>
    </dxf>
  </rfmt>
  <rfmt sheetId="1" sqref="AV338" start="0" length="0">
    <dxf>
      <font>
        <sz val="11"/>
        <color theme="1"/>
        <name val="Calibri"/>
        <scheme val="none"/>
      </font>
    </dxf>
  </rfmt>
  <rfmt sheetId="1" sqref="AW338" start="0" length="0">
    <dxf>
      <font>
        <sz val="11"/>
        <color theme="1"/>
        <name val="Calibri"/>
        <scheme val="none"/>
      </font>
    </dxf>
  </rfmt>
  <rfmt sheetId="1" sqref="AX338" start="0" length="0">
    <dxf>
      <font>
        <sz val="11"/>
        <color theme="1"/>
        <name val="Calibri"/>
        <scheme val="none"/>
      </font>
    </dxf>
  </rfmt>
  <rfmt sheetId="1" sqref="AY338" start="0" length="0">
    <dxf>
      <font>
        <sz val="11"/>
        <color theme="1"/>
        <name val="Calibri"/>
        <scheme val="none"/>
      </font>
    </dxf>
  </rfmt>
  <rfmt sheetId="1" sqref="A338:XFD338" start="0" length="0">
    <dxf>
      <font>
        <sz val="11"/>
        <color theme="1"/>
        <name val="Calibri"/>
        <scheme val="none"/>
      </font>
    </dxf>
  </rfmt>
  <rfmt sheetId="1" sqref="A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3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3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39" start="0" length="0">
    <dxf>
      <font>
        <sz val="11"/>
        <color theme="1"/>
        <name val="Calibri"/>
        <scheme val="none"/>
      </font>
    </dxf>
  </rfmt>
  <rfmt sheetId="1" sqref="AM339" start="0" length="0">
    <dxf>
      <font>
        <sz val="11"/>
        <color theme="1"/>
        <name val="Calibri"/>
        <scheme val="none"/>
      </font>
      <numFmt numFmtId="1" formatCode="0"/>
    </dxf>
  </rfmt>
  <rfmt sheetId="1" sqref="AN339" start="0" length="0">
    <dxf>
      <font>
        <sz val="11"/>
        <color theme="1"/>
        <name val="Calibri"/>
        <scheme val="none"/>
      </font>
      <numFmt numFmtId="1" formatCode="0"/>
    </dxf>
  </rfmt>
  <rfmt sheetId="1" sqref="AO339" start="0" length="0">
    <dxf>
      <font>
        <sz val="11"/>
        <color theme="1"/>
        <name val="Calibri"/>
        <scheme val="none"/>
      </font>
    </dxf>
  </rfmt>
  <rfmt sheetId="1" sqref="AP339" start="0" length="0">
    <dxf>
      <font>
        <sz val="11"/>
        <color theme="1"/>
        <name val="Calibri"/>
        <scheme val="none"/>
      </font>
    </dxf>
  </rfmt>
  <rfmt sheetId="1" sqref="AQ339" start="0" length="0">
    <dxf>
      <font>
        <sz val="11"/>
        <color theme="1"/>
        <name val="Calibri"/>
        <scheme val="none"/>
      </font>
      <numFmt numFmtId="164" formatCode="_-* #,##0_-;\-* #,##0_-;_-* &quot;-&quot;??_-;_-@_-"/>
    </dxf>
  </rfmt>
  <rfmt sheetId="1" sqref="AR339" start="0" length="0">
    <dxf>
      <font>
        <sz val="11"/>
        <color theme="1"/>
        <name val="Calibri"/>
        <scheme val="none"/>
      </font>
      <numFmt numFmtId="164" formatCode="_-* #,##0_-;\-* #,##0_-;_-* &quot;-&quot;??_-;_-@_-"/>
    </dxf>
  </rfmt>
  <rfmt sheetId="1" sqref="AS339" start="0" length="0">
    <dxf>
      <font>
        <sz val="11"/>
        <color theme="1"/>
        <name val="Calibri"/>
        <scheme val="none"/>
      </font>
      <numFmt numFmtId="164" formatCode="_-* #,##0_-;\-* #,##0_-;_-* &quot;-&quot;??_-;_-@_-"/>
    </dxf>
  </rfmt>
  <rfmt sheetId="1" sqref="AT339" start="0" length="0">
    <dxf>
      <font>
        <sz val="11"/>
        <color theme="1"/>
        <name val="Calibri"/>
        <scheme val="none"/>
      </font>
      <numFmt numFmtId="164" formatCode="_-* #,##0_-;\-* #,##0_-;_-* &quot;-&quot;??_-;_-@_-"/>
    </dxf>
  </rfmt>
  <rfmt sheetId="1" sqref="AU339" start="0" length="0">
    <dxf>
      <font>
        <sz val="11"/>
        <color theme="1"/>
        <name val="Calibri"/>
        <scheme val="none"/>
      </font>
    </dxf>
  </rfmt>
  <rfmt sheetId="1" sqref="AV339" start="0" length="0">
    <dxf>
      <font>
        <sz val="11"/>
        <color theme="1"/>
        <name val="Calibri"/>
        <scheme val="none"/>
      </font>
    </dxf>
  </rfmt>
  <rfmt sheetId="1" sqref="AW339" start="0" length="0">
    <dxf>
      <font>
        <sz val="11"/>
        <color theme="1"/>
        <name val="Calibri"/>
        <scheme val="none"/>
      </font>
    </dxf>
  </rfmt>
  <rfmt sheetId="1" sqref="AX339" start="0" length="0">
    <dxf>
      <font>
        <sz val="11"/>
        <color theme="1"/>
        <name val="Calibri"/>
        <scheme val="none"/>
      </font>
    </dxf>
  </rfmt>
  <rfmt sheetId="1" sqref="AY339" start="0" length="0">
    <dxf>
      <font>
        <sz val="11"/>
        <color theme="1"/>
        <name val="Calibri"/>
        <scheme val="none"/>
      </font>
    </dxf>
  </rfmt>
  <rfmt sheetId="1" sqref="A339:XFD339" start="0" length="0">
    <dxf>
      <font>
        <sz val="11"/>
        <color theme="1"/>
        <name val="Calibri"/>
        <scheme val="none"/>
      </font>
    </dxf>
  </rfmt>
  <rfmt sheetId="1" sqref="A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4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4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40" start="0" length="0">
    <dxf>
      <font>
        <sz val="11"/>
        <color theme="1"/>
        <name val="Calibri"/>
        <scheme val="none"/>
      </font>
    </dxf>
  </rfmt>
  <rfmt sheetId="1" sqref="AM340" start="0" length="0">
    <dxf>
      <font>
        <sz val="11"/>
        <color theme="1"/>
        <name val="Calibri"/>
        <scheme val="none"/>
      </font>
      <numFmt numFmtId="1" formatCode="0"/>
    </dxf>
  </rfmt>
  <rfmt sheetId="1" sqref="AN340" start="0" length="0">
    <dxf>
      <font>
        <sz val="11"/>
        <color theme="1"/>
        <name val="Calibri"/>
        <scheme val="none"/>
      </font>
      <numFmt numFmtId="1" formatCode="0"/>
    </dxf>
  </rfmt>
  <rfmt sheetId="1" sqref="AO340" start="0" length="0">
    <dxf>
      <font>
        <sz val="11"/>
        <color theme="1"/>
        <name val="Calibri"/>
        <scheme val="none"/>
      </font>
    </dxf>
  </rfmt>
  <rfmt sheetId="1" sqref="AP340" start="0" length="0">
    <dxf>
      <font>
        <sz val="11"/>
        <color theme="1"/>
        <name val="Calibri"/>
        <scheme val="none"/>
      </font>
    </dxf>
  </rfmt>
  <rfmt sheetId="1" sqref="AQ340" start="0" length="0">
    <dxf>
      <font>
        <sz val="11"/>
        <color theme="1"/>
        <name val="Calibri"/>
        <scheme val="none"/>
      </font>
      <numFmt numFmtId="164" formatCode="_-* #,##0_-;\-* #,##0_-;_-* &quot;-&quot;??_-;_-@_-"/>
    </dxf>
  </rfmt>
  <rfmt sheetId="1" sqref="AR340" start="0" length="0">
    <dxf>
      <font>
        <sz val="11"/>
        <color theme="1"/>
        <name val="Calibri"/>
        <scheme val="none"/>
      </font>
      <numFmt numFmtId="164" formatCode="_-* #,##0_-;\-* #,##0_-;_-* &quot;-&quot;??_-;_-@_-"/>
    </dxf>
  </rfmt>
  <rfmt sheetId="1" sqref="AS340" start="0" length="0">
    <dxf>
      <font>
        <sz val="11"/>
        <color theme="1"/>
        <name val="Calibri"/>
        <scheme val="none"/>
      </font>
      <numFmt numFmtId="164" formatCode="_-* #,##0_-;\-* #,##0_-;_-* &quot;-&quot;??_-;_-@_-"/>
    </dxf>
  </rfmt>
  <rfmt sheetId="1" sqref="AT340" start="0" length="0">
    <dxf>
      <font>
        <sz val="11"/>
        <color theme="1"/>
        <name val="Calibri"/>
        <scheme val="none"/>
      </font>
      <numFmt numFmtId="164" formatCode="_-* #,##0_-;\-* #,##0_-;_-* &quot;-&quot;??_-;_-@_-"/>
    </dxf>
  </rfmt>
  <rfmt sheetId="1" sqref="AU340" start="0" length="0">
    <dxf>
      <font>
        <sz val="11"/>
        <color theme="1"/>
        <name val="Calibri"/>
        <scheme val="none"/>
      </font>
    </dxf>
  </rfmt>
  <rfmt sheetId="1" sqref="AV340" start="0" length="0">
    <dxf>
      <font>
        <sz val="11"/>
        <color theme="1"/>
        <name val="Calibri"/>
        <scheme val="none"/>
      </font>
    </dxf>
  </rfmt>
  <rfmt sheetId="1" sqref="AW340" start="0" length="0">
    <dxf>
      <font>
        <sz val="11"/>
        <color theme="1"/>
        <name val="Calibri"/>
        <scheme val="none"/>
      </font>
    </dxf>
  </rfmt>
  <rfmt sheetId="1" sqref="AX340" start="0" length="0">
    <dxf>
      <font>
        <sz val="11"/>
        <color theme="1"/>
        <name val="Calibri"/>
        <scheme val="none"/>
      </font>
    </dxf>
  </rfmt>
  <rfmt sheetId="1" sqref="AY340" start="0" length="0">
    <dxf>
      <font>
        <sz val="11"/>
        <color theme="1"/>
        <name val="Calibri"/>
        <scheme val="none"/>
      </font>
    </dxf>
  </rfmt>
  <rfmt sheetId="1" sqref="A340:XFD340" start="0" length="0">
    <dxf>
      <font>
        <sz val="11"/>
        <color theme="1"/>
        <name val="Calibri"/>
        <scheme val="none"/>
      </font>
    </dxf>
  </rfmt>
  <rfmt sheetId="1" sqref="A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4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4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41" start="0" length="0">
    <dxf>
      <font>
        <sz val="11"/>
        <color theme="1"/>
        <name val="Calibri"/>
        <scheme val="none"/>
      </font>
    </dxf>
  </rfmt>
  <rfmt sheetId="1" sqref="AM341" start="0" length="0">
    <dxf>
      <font>
        <sz val="11"/>
        <color theme="1"/>
        <name val="Calibri"/>
        <scheme val="none"/>
      </font>
      <numFmt numFmtId="1" formatCode="0"/>
    </dxf>
  </rfmt>
  <rfmt sheetId="1" sqref="AN341" start="0" length="0">
    <dxf>
      <font>
        <sz val="11"/>
        <color theme="1"/>
        <name val="Calibri"/>
        <scheme val="none"/>
      </font>
      <numFmt numFmtId="1" formatCode="0"/>
    </dxf>
  </rfmt>
  <rfmt sheetId="1" sqref="AO341" start="0" length="0">
    <dxf>
      <font>
        <sz val="11"/>
        <color theme="1"/>
        <name val="Calibri"/>
        <scheme val="none"/>
      </font>
    </dxf>
  </rfmt>
  <rfmt sheetId="1" sqref="AP341" start="0" length="0">
    <dxf>
      <font>
        <sz val="11"/>
        <color theme="1"/>
        <name val="Calibri"/>
        <scheme val="none"/>
      </font>
    </dxf>
  </rfmt>
  <rfmt sheetId="1" sqref="AQ341" start="0" length="0">
    <dxf>
      <font>
        <sz val="11"/>
        <color theme="1"/>
        <name val="Calibri"/>
        <scheme val="none"/>
      </font>
      <numFmt numFmtId="164" formatCode="_-* #,##0_-;\-* #,##0_-;_-* &quot;-&quot;??_-;_-@_-"/>
    </dxf>
  </rfmt>
  <rfmt sheetId="1" sqref="AR341" start="0" length="0">
    <dxf>
      <font>
        <sz val="11"/>
        <color theme="1"/>
        <name val="Calibri"/>
        <scheme val="none"/>
      </font>
      <numFmt numFmtId="164" formatCode="_-* #,##0_-;\-* #,##0_-;_-* &quot;-&quot;??_-;_-@_-"/>
    </dxf>
  </rfmt>
  <rfmt sheetId="1" sqref="AS341" start="0" length="0">
    <dxf>
      <font>
        <sz val="11"/>
        <color theme="1"/>
        <name val="Calibri"/>
        <scheme val="none"/>
      </font>
      <numFmt numFmtId="164" formatCode="_-* #,##0_-;\-* #,##0_-;_-* &quot;-&quot;??_-;_-@_-"/>
    </dxf>
  </rfmt>
  <rfmt sheetId="1" sqref="AT341" start="0" length="0">
    <dxf>
      <font>
        <sz val="11"/>
        <color theme="1"/>
        <name val="Calibri"/>
        <scheme val="none"/>
      </font>
      <numFmt numFmtId="164" formatCode="_-* #,##0_-;\-* #,##0_-;_-* &quot;-&quot;??_-;_-@_-"/>
    </dxf>
  </rfmt>
  <rfmt sheetId="1" sqref="AU341" start="0" length="0">
    <dxf>
      <font>
        <sz val="11"/>
        <color theme="1"/>
        <name val="Calibri"/>
        <scheme val="none"/>
      </font>
    </dxf>
  </rfmt>
  <rfmt sheetId="1" sqref="AV341" start="0" length="0">
    <dxf>
      <font>
        <sz val="11"/>
        <color theme="1"/>
        <name val="Calibri"/>
        <scheme val="none"/>
      </font>
    </dxf>
  </rfmt>
  <rfmt sheetId="1" sqref="AW341" start="0" length="0">
    <dxf>
      <font>
        <sz val="11"/>
        <color theme="1"/>
        <name val="Calibri"/>
        <scheme val="none"/>
      </font>
    </dxf>
  </rfmt>
  <rfmt sheetId="1" sqref="AX341" start="0" length="0">
    <dxf>
      <font>
        <sz val="11"/>
        <color theme="1"/>
        <name val="Calibri"/>
        <scheme val="none"/>
      </font>
    </dxf>
  </rfmt>
  <rfmt sheetId="1" sqref="AY341" start="0" length="0">
    <dxf>
      <font>
        <sz val="11"/>
        <color theme="1"/>
        <name val="Calibri"/>
        <scheme val="none"/>
      </font>
    </dxf>
  </rfmt>
  <rfmt sheetId="1" sqref="A341:XFD341" start="0" length="0">
    <dxf>
      <font>
        <sz val="11"/>
        <color theme="1"/>
        <name val="Calibri"/>
        <scheme val="none"/>
      </font>
    </dxf>
  </rfmt>
  <rfmt sheetId="1" sqref="A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4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4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42" start="0" length="0">
    <dxf>
      <font>
        <sz val="11"/>
        <color theme="1"/>
        <name val="Calibri"/>
        <scheme val="none"/>
      </font>
    </dxf>
  </rfmt>
  <rfmt sheetId="1" sqref="AM342" start="0" length="0">
    <dxf>
      <font>
        <sz val="11"/>
        <color theme="1"/>
        <name val="Calibri"/>
        <scheme val="none"/>
      </font>
      <numFmt numFmtId="1" formatCode="0"/>
    </dxf>
  </rfmt>
  <rfmt sheetId="1" sqref="AN342" start="0" length="0">
    <dxf>
      <font>
        <sz val="11"/>
        <color theme="1"/>
        <name val="Calibri"/>
        <scheme val="none"/>
      </font>
      <numFmt numFmtId="1" formatCode="0"/>
    </dxf>
  </rfmt>
  <rfmt sheetId="1" sqref="AO342" start="0" length="0">
    <dxf>
      <font>
        <sz val="11"/>
        <color theme="1"/>
        <name val="Calibri"/>
        <scheme val="none"/>
      </font>
    </dxf>
  </rfmt>
  <rfmt sheetId="1" sqref="AP342" start="0" length="0">
    <dxf>
      <font>
        <sz val="11"/>
        <color theme="1"/>
        <name val="Calibri"/>
        <scheme val="none"/>
      </font>
    </dxf>
  </rfmt>
  <rfmt sheetId="1" sqref="AQ342" start="0" length="0">
    <dxf>
      <font>
        <sz val="11"/>
        <color theme="1"/>
        <name val="Calibri"/>
        <scheme val="none"/>
      </font>
      <numFmt numFmtId="164" formatCode="_-* #,##0_-;\-* #,##0_-;_-* &quot;-&quot;??_-;_-@_-"/>
    </dxf>
  </rfmt>
  <rfmt sheetId="1" sqref="AR342" start="0" length="0">
    <dxf>
      <font>
        <sz val="11"/>
        <color theme="1"/>
        <name val="Calibri"/>
        <scheme val="none"/>
      </font>
      <numFmt numFmtId="164" formatCode="_-* #,##0_-;\-* #,##0_-;_-* &quot;-&quot;??_-;_-@_-"/>
    </dxf>
  </rfmt>
  <rfmt sheetId="1" sqref="AS342" start="0" length="0">
    <dxf>
      <font>
        <sz val="11"/>
        <color theme="1"/>
        <name val="Calibri"/>
        <scheme val="none"/>
      </font>
      <numFmt numFmtId="164" formatCode="_-* #,##0_-;\-* #,##0_-;_-* &quot;-&quot;??_-;_-@_-"/>
    </dxf>
  </rfmt>
  <rfmt sheetId="1" sqref="AT342" start="0" length="0">
    <dxf>
      <font>
        <sz val="11"/>
        <color theme="1"/>
        <name val="Calibri"/>
        <scheme val="none"/>
      </font>
      <numFmt numFmtId="164" formatCode="_-* #,##0_-;\-* #,##0_-;_-* &quot;-&quot;??_-;_-@_-"/>
    </dxf>
  </rfmt>
  <rfmt sheetId="1" sqref="AU342" start="0" length="0">
    <dxf>
      <font>
        <sz val="11"/>
        <color theme="1"/>
        <name val="Calibri"/>
        <scheme val="none"/>
      </font>
    </dxf>
  </rfmt>
  <rfmt sheetId="1" sqref="AV342" start="0" length="0">
    <dxf>
      <font>
        <sz val="11"/>
        <color theme="1"/>
        <name val="Calibri"/>
        <scheme val="none"/>
      </font>
    </dxf>
  </rfmt>
  <rfmt sheetId="1" sqref="AW342" start="0" length="0">
    <dxf>
      <font>
        <sz val="11"/>
        <color theme="1"/>
        <name val="Calibri"/>
        <scheme val="none"/>
      </font>
    </dxf>
  </rfmt>
  <rfmt sheetId="1" sqref="AX342" start="0" length="0">
    <dxf>
      <font>
        <sz val="11"/>
        <color theme="1"/>
        <name val="Calibri"/>
        <scheme val="none"/>
      </font>
    </dxf>
  </rfmt>
  <rfmt sheetId="1" sqref="AY342" start="0" length="0">
    <dxf>
      <font>
        <sz val="11"/>
        <color theme="1"/>
        <name val="Calibri"/>
        <scheme val="none"/>
      </font>
    </dxf>
  </rfmt>
  <rfmt sheetId="1" sqref="A342:XFD342" start="0" length="0">
    <dxf>
      <font>
        <sz val="11"/>
        <color theme="1"/>
        <name val="Calibri"/>
        <scheme val="none"/>
      </font>
    </dxf>
  </rfmt>
  <rfmt sheetId="1" sqref="A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4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4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43" start="0" length="0">
    <dxf>
      <font>
        <sz val="11"/>
        <color theme="1"/>
        <name val="Calibri"/>
        <scheme val="none"/>
      </font>
    </dxf>
  </rfmt>
  <rfmt sheetId="1" sqref="AM343" start="0" length="0">
    <dxf>
      <font>
        <sz val="11"/>
        <color theme="1"/>
        <name val="Calibri"/>
        <scheme val="none"/>
      </font>
      <numFmt numFmtId="1" formatCode="0"/>
    </dxf>
  </rfmt>
  <rfmt sheetId="1" sqref="AN343" start="0" length="0">
    <dxf>
      <font>
        <sz val="11"/>
        <color theme="1"/>
        <name val="Calibri"/>
        <scheme val="none"/>
      </font>
      <numFmt numFmtId="1" formatCode="0"/>
    </dxf>
  </rfmt>
  <rfmt sheetId="1" sqref="AO343" start="0" length="0">
    <dxf>
      <font>
        <sz val="11"/>
        <color theme="1"/>
        <name val="Calibri"/>
        <scheme val="none"/>
      </font>
    </dxf>
  </rfmt>
  <rfmt sheetId="1" sqref="AP343" start="0" length="0">
    <dxf>
      <font>
        <sz val="11"/>
        <color theme="1"/>
        <name val="Calibri"/>
        <scheme val="none"/>
      </font>
    </dxf>
  </rfmt>
  <rfmt sheetId="1" sqref="AQ343" start="0" length="0">
    <dxf>
      <font>
        <sz val="11"/>
        <color theme="1"/>
        <name val="Calibri"/>
        <scheme val="none"/>
      </font>
      <numFmt numFmtId="164" formatCode="_-* #,##0_-;\-* #,##0_-;_-* &quot;-&quot;??_-;_-@_-"/>
    </dxf>
  </rfmt>
  <rfmt sheetId="1" sqref="AR343" start="0" length="0">
    <dxf>
      <font>
        <sz val="11"/>
        <color theme="1"/>
        <name val="Calibri"/>
        <scheme val="none"/>
      </font>
      <numFmt numFmtId="164" formatCode="_-* #,##0_-;\-* #,##0_-;_-* &quot;-&quot;??_-;_-@_-"/>
    </dxf>
  </rfmt>
  <rfmt sheetId="1" sqref="AS343" start="0" length="0">
    <dxf>
      <font>
        <sz val="11"/>
        <color theme="1"/>
        <name val="Calibri"/>
        <scheme val="none"/>
      </font>
      <numFmt numFmtId="164" formatCode="_-* #,##0_-;\-* #,##0_-;_-* &quot;-&quot;??_-;_-@_-"/>
    </dxf>
  </rfmt>
  <rfmt sheetId="1" sqref="AT343" start="0" length="0">
    <dxf>
      <font>
        <sz val="11"/>
        <color theme="1"/>
        <name val="Calibri"/>
        <scheme val="none"/>
      </font>
      <numFmt numFmtId="164" formatCode="_-* #,##0_-;\-* #,##0_-;_-* &quot;-&quot;??_-;_-@_-"/>
    </dxf>
  </rfmt>
  <rfmt sheetId="1" sqref="AU343" start="0" length="0">
    <dxf>
      <font>
        <sz val="11"/>
        <color theme="1"/>
        <name val="Calibri"/>
        <scheme val="none"/>
      </font>
    </dxf>
  </rfmt>
  <rfmt sheetId="1" sqref="AV343" start="0" length="0">
    <dxf>
      <font>
        <sz val="11"/>
        <color theme="1"/>
        <name val="Calibri"/>
        <scheme val="none"/>
      </font>
    </dxf>
  </rfmt>
  <rfmt sheetId="1" sqref="AW343" start="0" length="0">
    <dxf>
      <font>
        <sz val="11"/>
        <color theme="1"/>
        <name val="Calibri"/>
        <scheme val="none"/>
      </font>
    </dxf>
  </rfmt>
  <rfmt sheetId="1" sqref="AX343" start="0" length="0">
    <dxf>
      <font>
        <sz val="11"/>
        <color theme="1"/>
        <name val="Calibri"/>
        <scheme val="none"/>
      </font>
    </dxf>
  </rfmt>
  <rfmt sheetId="1" sqref="AY343" start="0" length="0">
    <dxf>
      <font>
        <sz val="11"/>
        <color theme="1"/>
        <name val="Calibri"/>
        <scheme val="none"/>
      </font>
    </dxf>
  </rfmt>
  <rfmt sheetId="1" sqref="A343:XFD343" start="0" length="0">
    <dxf>
      <font>
        <sz val="11"/>
        <color theme="1"/>
        <name val="Calibri"/>
        <scheme val="none"/>
      </font>
    </dxf>
  </rfmt>
  <rfmt sheetId="1" sqref="A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4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4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44" start="0" length="0">
    <dxf>
      <font>
        <sz val="11"/>
        <color theme="1"/>
        <name val="Calibri"/>
        <scheme val="none"/>
      </font>
    </dxf>
  </rfmt>
  <rfmt sheetId="1" sqref="AM344" start="0" length="0">
    <dxf>
      <font>
        <sz val="11"/>
        <color theme="1"/>
        <name val="Calibri"/>
        <scheme val="none"/>
      </font>
      <numFmt numFmtId="1" formatCode="0"/>
    </dxf>
  </rfmt>
  <rfmt sheetId="1" sqref="AN344" start="0" length="0">
    <dxf>
      <font>
        <sz val="11"/>
        <color theme="1"/>
        <name val="Calibri"/>
        <scheme val="none"/>
      </font>
      <numFmt numFmtId="1" formatCode="0"/>
    </dxf>
  </rfmt>
  <rfmt sheetId="1" sqref="AO344" start="0" length="0">
    <dxf>
      <font>
        <sz val="11"/>
        <color theme="1"/>
        <name val="Calibri"/>
        <scheme val="none"/>
      </font>
    </dxf>
  </rfmt>
  <rfmt sheetId="1" sqref="AP344" start="0" length="0">
    <dxf>
      <font>
        <sz val="11"/>
        <color theme="1"/>
        <name val="Calibri"/>
        <scheme val="none"/>
      </font>
    </dxf>
  </rfmt>
  <rfmt sheetId="1" sqref="AQ344" start="0" length="0">
    <dxf>
      <font>
        <sz val="11"/>
        <color theme="1"/>
        <name val="Calibri"/>
        <scheme val="none"/>
      </font>
      <numFmt numFmtId="164" formatCode="_-* #,##0_-;\-* #,##0_-;_-* &quot;-&quot;??_-;_-@_-"/>
    </dxf>
  </rfmt>
  <rfmt sheetId="1" sqref="AR344" start="0" length="0">
    <dxf>
      <font>
        <sz val="11"/>
        <color theme="1"/>
        <name val="Calibri"/>
        <scheme val="none"/>
      </font>
      <numFmt numFmtId="164" formatCode="_-* #,##0_-;\-* #,##0_-;_-* &quot;-&quot;??_-;_-@_-"/>
    </dxf>
  </rfmt>
  <rfmt sheetId="1" sqref="AS344" start="0" length="0">
    <dxf>
      <font>
        <sz val="11"/>
        <color theme="1"/>
        <name val="Calibri"/>
        <scheme val="none"/>
      </font>
      <numFmt numFmtId="164" formatCode="_-* #,##0_-;\-* #,##0_-;_-* &quot;-&quot;??_-;_-@_-"/>
    </dxf>
  </rfmt>
  <rfmt sheetId="1" sqref="AT344" start="0" length="0">
    <dxf>
      <font>
        <sz val="11"/>
        <color theme="1"/>
        <name val="Calibri"/>
        <scheme val="none"/>
      </font>
      <numFmt numFmtId="164" formatCode="_-* #,##0_-;\-* #,##0_-;_-* &quot;-&quot;??_-;_-@_-"/>
    </dxf>
  </rfmt>
  <rfmt sheetId="1" sqref="AU344" start="0" length="0">
    <dxf>
      <font>
        <sz val="11"/>
        <color theme="1"/>
        <name val="Calibri"/>
        <scheme val="none"/>
      </font>
    </dxf>
  </rfmt>
  <rfmt sheetId="1" sqref="AV344" start="0" length="0">
    <dxf>
      <font>
        <sz val="11"/>
        <color theme="1"/>
        <name val="Calibri"/>
        <scheme val="none"/>
      </font>
    </dxf>
  </rfmt>
  <rfmt sheetId="1" sqref="AW344" start="0" length="0">
    <dxf>
      <font>
        <sz val="11"/>
        <color theme="1"/>
        <name val="Calibri"/>
        <scheme val="none"/>
      </font>
    </dxf>
  </rfmt>
  <rfmt sheetId="1" sqref="AX344" start="0" length="0">
    <dxf>
      <font>
        <sz val="11"/>
        <color theme="1"/>
        <name val="Calibri"/>
        <scheme val="none"/>
      </font>
    </dxf>
  </rfmt>
  <rfmt sheetId="1" sqref="AY344" start="0" length="0">
    <dxf>
      <font>
        <sz val="11"/>
        <color theme="1"/>
        <name val="Calibri"/>
        <scheme val="none"/>
      </font>
    </dxf>
  </rfmt>
  <rfmt sheetId="1" sqref="A344:XFD344" start="0" length="0">
    <dxf>
      <font>
        <sz val="11"/>
        <color theme="1"/>
        <name val="Calibri"/>
        <scheme val="none"/>
      </font>
    </dxf>
  </rfmt>
  <rfmt sheetId="1" sqref="A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4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4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45" start="0" length="0">
    <dxf>
      <font>
        <sz val="11"/>
        <color theme="1"/>
        <name val="Calibri"/>
        <scheme val="none"/>
      </font>
    </dxf>
  </rfmt>
  <rfmt sheetId="1" sqref="AM345" start="0" length="0">
    <dxf>
      <font>
        <sz val="11"/>
        <color theme="1"/>
        <name val="Calibri"/>
        <scheme val="none"/>
      </font>
      <numFmt numFmtId="1" formatCode="0"/>
    </dxf>
  </rfmt>
  <rfmt sheetId="1" sqref="AN345" start="0" length="0">
    <dxf>
      <font>
        <sz val="11"/>
        <color theme="1"/>
        <name val="Calibri"/>
        <scheme val="none"/>
      </font>
      <numFmt numFmtId="1" formatCode="0"/>
    </dxf>
  </rfmt>
  <rfmt sheetId="1" sqref="AO345" start="0" length="0">
    <dxf>
      <font>
        <sz val="11"/>
        <color theme="1"/>
        <name val="Calibri"/>
        <scheme val="none"/>
      </font>
    </dxf>
  </rfmt>
  <rfmt sheetId="1" sqref="AP345" start="0" length="0">
    <dxf>
      <font>
        <sz val="11"/>
        <color theme="1"/>
        <name val="Calibri"/>
        <scheme val="none"/>
      </font>
    </dxf>
  </rfmt>
  <rfmt sheetId="1" sqref="AQ345" start="0" length="0">
    <dxf>
      <font>
        <sz val="11"/>
        <color theme="1"/>
        <name val="Calibri"/>
        <scheme val="none"/>
      </font>
      <numFmt numFmtId="164" formatCode="_-* #,##0_-;\-* #,##0_-;_-* &quot;-&quot;??_-;_-@_-"/>
    </dxf>
  </rfmt>
  <rfmt sheetId="1" sqref="AR345" start="0" length="0">
    <dxf>
      <font>
        <sz val="11"/>
        <color theme="1"/>
        <name val="Calibri"/>
        <scheme val="none"/>
      </font>
      <numFmt numFmtId="164" formatCode="_-* #,##0_-;\-* #,##0_-;_-* &quot;-&quot;??_-;_-@_-"/>
    </dxf>
  </rfmt>
  <rfmt sheetId="1" sqref="AS345" start="0" length="0">
    <dxf>
      <font>
        <sz val="11"/>
        <color theme="1"/>
        <name val="Calibri"/>
        <scheme val="none"/>
      </font>
      <numFmt numFmtId="164" formatCode="_-* #,##0_-;\-* #,##0_-;_-* &quot;-&quot;??_-;_-@_-"/>
    </dxf>
  </rfmt>
  <rfmt sheetId="1" sqref="AT345" start="0" length="0">
    <dxf>
      <font>
        <sz val="11"/>
        <color theme="1"/>
        <name val="Calibri"/>
        <scheme val="none"/>
      </font>
      <numFmt numFmtId="164" formatCode="_-* #,##0_-;\-* #,##0_-;_-* &quot;-&quot;??_-;_-@_-"/>
    </dxf>
  </rfmt>
  <rfmt sheetId="1" sqref="AU345" start="0" length="0">
    <dxf>
      <font>
        <sz val="11"/>
        <color theme="1"/>
        <name val="Calibri"/>
        <scheme val="none"/>
      </font>
    </dxf>
  </rfmt>
  <rfmt sheetId="1" sqref="AV345" start="0" length="0">
    <dxf>
      <font>
        <sz val="11"/>
        <color theme="1"/>
        <name val="Calibri"/>
        <scheme val="none"/>
      </font>
    </dxf>
  </rfmt>
  <rfmt sheetId="1" sqref="AW345" start="0" length="0">
    <dxf>
      <font>
        <sz val="11"/>
        <color theme="1"/>
        <name val="Calibri"/>
        <scheme val="none"/>
      </font>
    </dxf>
  </rfmt>
  <rfmt sheetId="1" sqref="AX345" start="0" length="0">
    <dxf>
      <font>
        <sz val="11"/>
        <color theme="1"/>
        <name val="Calibri"/>
        <scheme val="none"/>
      </font>
    </dxf>
  </rfmt>
  <rfmt sheetId="1" sqref="AY345" start="0" length="0">
    <dxf>
      <font>
        <sz val="11"/>
        <color theme="1"/>
        <name val="Calibri"/>
        <scheme val="none"/>
      </font>
    </dxf>
  </rfmt>
  <rfmt sheetId="1" sqref="A345:XFD345" start="0" length="0">
    <dxf>
      <font>
        <sz val="11"/>
        <color theme="1"/>
        <name val="Calibri"/>
        <scheme val="none"/>
      </font>
    </dxf>
  </rfmt>
  <rfmt sheetId="1" sqref="A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4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4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46" start="0" length="0">
    <dxf>
      <font>
        <sz val="11"/>
        <color theme="1"/>
        <name val="Calibri"/>
        <scheme val="none"/>
      </font>
    </dxf>
  </rfmt>
  <rfmt sheetId="1" sqref="AM346" start="0" length="0">
    <dxf>
      <font>
        <sz val="11"/>
        <color theme="1"/>
        <name val="Calibri"/>
        <scheme val="none"/>
      </font>
      <numFmt numFmtId="1" formatCode="0"/>
    </dxf>
  </rfmt>
  <rfmt sheetId="1" sqref="AN346" start="0" length="0">
    <dxf>
      <font>
        <sz val="11"/>
        <color theme="1"/>
        <name val="Calibri"/>
        <scheme val="none"/>
      </font>
      <numFmt numFmtId="1" formatCode="0"/>
    </dxf>
  </rfmt>
  <rfmt sheetId="1" sqref="AO346" start="0" length="0">
    <dxf>
      <font>
        <sz val="11"/>
        <color theme="1"/>
        <name val="Calibri"/>
        <scheme val="none"/>
      </font>
    </dxf>
  </rfmt>
  <rfmt sheetId="1" sqref="AP346" start="0" length="0">
    <dxf>
      <font>
        <sz val="11"/>
        <color theme="1"/>
        <name val="Calibri"/>
        <scheme val="none"/>
      </font>
    </dxf>
  </rfmt>
  <rfmt sheetId="1" sqref="AQ346" start="0" length="0">
    <dxf>
      <font>
        <sz val="11"/>
        <color theme="1"/>
        <name val="Calibri"/>
        <scheme val="none"/>
      </font>
      <numFmt numFmtId="164" formatCode="_-* #,##0_-;\-* #,##0_-;_-* &quot;-&quot;??_-;_-@_-"/>
    </dxf>
  </rfmt>
  <rfmt sheetId="1" sqref="AR346" start="0" length="0">
    <dxf>
      <font>
        <sz val="11"/>
        <color theme="1"/>
        <name val="Calibri"/>
        <scheme val="none"/>
      </font>
      <numFmt numFmtId="164" formatCode="_-* #,##0_-;\-* #,##0_-;_-* &quot;-&quot;??_-;_-@_-"/>
    </dxf>
  </rfmt>
  <rfmt sheetId="1" sqref="AS346" start="0" length="0">
    <dxf>
      <font>
        <sz val="11"/>
        <color theme="1"/>
        <name val="Calibri"/>
        <scheme val="none"/>
      </font>
      <numFmt numFmtId="164" formatCode="_-* #,##0_-;\-* #,##0_-;_-* &quot;-&quot;??_-;_-@_-"/>
    </dxf>
  </rfmt>
  <rfmt sheetId="1" sqref="AT346" start="0" length="0">
    <dxf>
      <font>
        <sz val="11"/>
        <color theme="1"/>
        <name val="Calibri"/>
        <scheme val="none"/>
      </font>
      <numFmt numFmtId="164" formatCode="_-* #,##0_-;\-* #,##0_-;_-* &quot;-&quot;??_-;_-@_-"/>
    </dxf>
  </rfmt>
  <rfmt sheetId="1" sqref="AU346" start="0" length="0">
    <dxf>
      <font>
        <sz val="11"/>
        <color theme="1"/>
        <name val="Calibri"/>
        <scheme val="none"/>
      </font>
    </dxf>
  </rfmt>
  <rfmt sheetId="1" sqref="AV346" start="0" length="0">
    <dxf>
      <font>
        <sz val="11"/>
        <color theme="1"/>
        <name val="Calibri"/>
        <scheme val="none"/>
      </font>
    </dxf>
  </rfmt>
  <rfmt sheetId="1" sqref="AW346" start="0" length="0">
    <dxf>
      <font>
        <sz val="11"/>
        <color theme="1"/>
        <name val="Calibri"/>
        <scheme val="none"/>
      </font>
    </dxf>
  </rfmt>
  <rfmt sheetId="1" sqref="AX346" start="0" length="0">
    <dxf>
      <font>
        <sz val="11"/>
        <color theme="1"/>
        <name val="Calibri"/>
        <scheme val="none"/>
      </font>
    </dxf>
  </rfmt>
  <rfmt sheetId="1" sqref="AY346" start="0" length="0">
    <dxf>
      <font>
        <sz val="11"/>
        <color theme="1"/>
        <name val="Calibri"/>
        <scheme val="none"/>
      </font>
    </dxf>
  </rfmt>
  <rfmt sheetId="1" sqref="A346:XFD346" start="0" length="0">
    <dxf>
      <font>
        <sz val="11"/>
        <color theme="1"/>
        <name val="Calibri"/>
        <scheme val="none"/>
      </font>
    </dxf>
  </rfmt>
  <rfmt sheetId="1" sqref="A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4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4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47" start="0" length="0">
    <dxf>
      <font>
        <sz val="11"/>
        <color theme="1"/>
        <name val="Calibri"/>
        <scheme val="none"/>
      </font>
    </dxf>
  </rfmt>
  <rfmt sheetId="1" sqref="AM347" start="0" length="0">
    <dxf>
      <font>
        <sz val="11"/>
        <color theme="1"/>
        <name val="Calibri"/>
        <scheme val="none"/>
      </font>
      <numFmt numFmtId="1" formatCode="0"/>
    </dxf>
  </rfmt>
  <rfmt sheetId="1" sqref="AN347" start="0" length="0">
    <dxf>
      <font>
        <sz val="11"/>
        <color theme="1"/>
        <name val="Calibri"/>
        <scheme val="none"/>
      </font>
      <numFmt numFmtId="1" formatCode="0"/>
    </dxf>
  </rfmt>
  <rfmt sheetId="1" sqref="AO347" start="0" length="0">
    <dxf>
      <font>
        <sz val="11"/>
        <color theme="1"/>
        <name val="Calibri"/>
        <scheme val="none"/>
      </font>
    </dxf>
  </rfmt>
  <rfmt sheetId="1" sqref="AP347" start="0" length="0">
    <dxf>
      <font>
        <sz val="11"/>
        <color theme="1"/>
        <name val="Calibri"/>
        <scheme val="none"/>
      </font>
    </dxf>
  </rfmt>
  <rfmt sheetId="1" sqref="AQ347" start="0" length="0">
    <dxf>
      <font>
        <sz val="11"/>
        <color theme="1"/>
        <name val="Calibri"/>
        <scheme val="none"/>
      </font>
      <numFmt numFmtId="164" formatCode="_-* #,##0_-;\-* #,##0_-;_-* &quot;-&quot;??_-;_-@_-"/>
    </dxf>
  </rfmt>
  <rfmt sheetId="1" sqref="AR347" start="0" length="0">
    <dxf>
      <font>
        <sz val="11"/>
        <color theme="1"/>
        <name val="Calibri"/>
        <scheme val="none"/>
      </font>
      <numFmt numFmtId="164" formatCode="_-* #,##0_-;\-* #,##0_-;_-* &quot;-&quot;??_-;_-@_-"/>
    </dxf>
  </rfmt>
  <rfmt sheetId="1" sqref="AS347" start="0" length="0">
    <dxf>
      <font>
        <sz val="11"/>
        <color theme="1"/>
        <name val="Calibri"/>
        <scheme val="none"/>
      </font>
      <numFmt numFmtId="164" formatCode="_-* #,##0_-;\-* #,##0_-;_-* &quot;-&quot;??_-;_-@_-"/>
    </dxf>
  </rfmt>
  <rfmt sheetId="1" sqref="AT347" start="0" length="0">
    <dxf>
      <font>
        <sz val="11"/>
        <color theme="1"/>
        <name val="Calibri"/>
        <scheme val="none"/>
      </font>
      <numFmt numFmtId="164" formatCode="_-* #,##0_-;\-* #,##0_-;_-* &quot;-&quot;??_-;_-@_-"/>
    </dxf>
  </rfmt>
  <rfmt sheetId="1" sqref="AU347" start="0" length="0">
    <dxf>
      <font>
        <sz val="11"/>
        <color theme="1"/>
        <name val="Calibri"/>
        <scheme val="none"/>
      </font>
    </dxf>
  </rfmt>
  <rfmt sheetId="1" sqref="AV347" start="0" length="0">
    <dxf>
      <font>
        <sz val="11"/>
        <color theme="1"/>
        <name val="Calibri"/>
        <scheme val="none"/>
      </font>
    </dxf>
  </rfmt>
  <rfmt sheetId="1" sqref="AW347" start="0" length="0">
    <dxf>
      <font>
        <sz val="11"/>
        <color theme="1"/>
        <name val="Calibri"/>
        <scheme val="none"/>
      </font>
    </dxf>
  </rfmt>
  <rfmt sheetId="1" sqref="AX347" start="0" length="0">
    <dxf>
      <font>
        <sz val="11"/>
        <color theme="1"/>
        <name val="Calibri"/>
        <scheme val="none"/>
      </font>
    </dxf>
  </rfmt>
  <rfmt sheetId="1" sqref="AY347" start="0" length="0">
    <dxf>
      <font>
        <sz val="11"/>
        <color theme="1"/>
        <name val="Calibri"/>
        <scheme val="none"/>
      </font>
    </dxf>
  </rfmt>
  <rfmt sheetId="1" sqref="A347:XFD347" start="0" length="0">
    <dxf>
      <font>
        <sz val="11"/>
        <color theme="1"/>
        <name val="Calibri"/>
        <scheme val="none"/>
      </font>
    </dxf>
  </rfmt>
  <rfmt sheetId="1" sqref="A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4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4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48" start="0" length="0">
    <dxf>
      <font>
        <sz val="11"/>
        <color theme="1"/>
        <name val="Calibri"/>
        <scheme val="none"/>
      </font>
    </dxf>
  </rfmt>
  <rfmt sheetId="1" sqref="AM348" start="0" length="0">
    <dxf>
      <font>
        <sz val="11"/>
        <color theme="1"/>
        <name val="Calibri"/>
        <scheme val="none"/>
      </font>
      <numFmt numFmtId="1" formatCode="0"/>
    </dxf>
  </rfmt>
  <rfmt sheetId="1" sqref="AN348" start="0" length="0">
    <dxf>
      <font>
        <sz val="11"/>
        <color theme="1"/>
        <name val="Calibri"/>
        <scheme val="none"/>
      </font>
      <numFmt numFmtId="1" formatCode="0"/>
    </dxf>
  </rfmt>
  <rfmt sheetId="1" sqref="AO348" start="0" length="0">
    <dxf>
      <font>
        <sz val="11"/>
        <color theme="1"/>
        <name val="Calibri"/>
        <scheme val="none"/>
      </font>
    </dxf>
  </rfmt>
  <rfmt sheetId="1" sqref="AP348" start="0" length="0">
    <dxf>
      <font>
        <sz val="11"/>
        <color theme="1"/>
        <name val="Calibri"/>
        <scheme val="none"/>
      </font>
    </dxf>
  </rfmt>
  <rfmt sheetId="1" sqref="AQ348" start="0" length="0">
    <dxf>
      <font>
        <sz val="11"/>
        <color theme="1"/>
        <name val="Calibri"/>
        <scheme val="none"/>
      </font>
      <numFmt numFmtId="164" formatCode="_-* #,##0_-;\-* #,##0_-;_-* &quot;-&quot;??_-;_-@_-"/>
    </dxf>
  </rfmt>
  <rfmt sheetId="1" sqref="AR348" start="0" length="0">
    <dxf>
      <font>
        <sz val="11"/>
        <color theme="1"/>
        <name val="Calibri"/>
        <scheme val="none"/>
      </font>
      <numFmt numFmtId="164" formatCode="_-* #,##0_-;\-* #,##0_-;_-* &quot;-&quot;??_-;_-@_-"/>
    </dxf>
  </rfmt>
  <rfmt sheetId="1" sqref="AS348" start="0" length="0">
    <dxf>
      <font>
        <sz val="11"/>
        <color theme="1"/>
        <name val="Calibri"/>
        <scheme val="none"/>
      </font>
      <numFmt numFmtId="164" formatCode="_-* #,##0_-;\-* #,##0_-;_-* &quot;-&quot;??_-;_-@_-"/>
    </dxf>
  </rfmt>
  <rfmt sheetId="1" sqref="AT348" start="0" length="0">
    <dxf>
      <font>
        <sz val="11"/>
        <color theme="1"/>
        <name val="Calibri"/>
        <scheme val="none"/>
      </font>
      <numFmt numFmtId="164" formatCode="_-* #,##0_-;\-* #,##0_-;_-* &quot;-&quot;??_-;_-@_-"/>
    </dxf>
  </rfmt>
  <rfmt sheetId="1" sqref="AU348" start="0" length="0">
    <dxf>
      <font>
        <sz val="11"/>
        <color theme="1"/>
        <name val="Calibri"/>
        <scheme val="none"/>
      </font>
    </dxf>
  </rfmt>
  <rfmt sheetId="1" sqref="AV348" start="0" length="0">
    <dxf>
      <font>
        <sz val="11"/>
        <color theme="1"/>
        <name val="Calibri"/>
        <scheme val="none"/>
      </font>
    </dxf>
  </rfmt>
  <rfmt sheetId="1" sqref="AW348" start="0" length="0">
    <dxf>
      <font>
        <sz val="11"/>
        <color theme="1"/>
        <name val="Calibri"/>
        <scheme val="none"/>
      </font>
    </dxf>
  </rfmt>
  <rfmt sheetId="1" sqref="AX348" start="0" length="0">
    <dxf>
      <font>
        <sz val="11"/>
        <color theme="1"/>
        <name val="Calibri"/>
        <scheme val="none"/>
      </font>
    </dxf>
  </rfmt>
  <rfmt sheetId="1" sqref="AY348" start="0" length="0">
    <dxf>
      <font>
        <sz val="11"/>
        <color theme="1"/>
        <name val="Calibri"/>
        <scheme val="none"/>
      </font>
    </dxf>
  </rfmt>
  <rfmt sheetId="1" sqref="A348:XFD348" start="0" length="0">
    <dxf>
      <font>
        <sz val="11"/>
        <color theme="1"/>
        <name val="Calibri"/>
        <scheme val="none"/>
      </font>
    </dxf>
  </rfmt>
  <rfmt sheetId="1" sqref="A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4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4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49" start="0" length="0">
    <dxf>
      <font>
        <sz val="11"/>
        <color theme="1"/>
        <name val="Calibri"/>
        <scheme val="none"/>
      </font>
    </dxf>
  </rfmt>
  <rfmt sheetId="1" sqref="AM349" start="0" length="0">
    <dxf>
      <font>
        <sz val="11"/>
        <color theme="1"/>
        <name val="Calibri"/>
        <scheme val="none"/>
      </font>
      <numFmt numFmtId="1" formatCode="0"/>
    </dxf>
  </rfmt>
  <rfmt sheetId="1" sqref="AN349" start="0" length="0">
    <dxf>
      <font>
        <sz val="11"/>
        <color theme="1"/>
        <name val="Calibri"/>
        <scheme val="none"/>
      </font>
      <numFmt numFmtId="1" formatCode="0"/>
    </dxf>
  </rfmt>
  <rfmt sheetId="1" sqref="AO349" start="0" length="0">
    <dxf>
      <font>
        <sz val="11"/>
        <color theme="1"/>
        <name val="Calibri"/>
        <scheme val="none"/>
      </font>
    </dxf>
  </rfmt>
  <rfmt sheetId="1" sqref="AP349" start="0" length="0">
    <dxf>
      <font>
        <sz val="11"/>
        <color theme="1"/>
        <name val="Calibri"/>
        <scheme val="none"/>
      </font>
    </dxf>
  </rfmt>
  <rfmt sheetId="1" sqref="AQ349" start="0" length="0">
    <dxf>
      <font>
        <sz val="11"/>
        <color theme="1"/>
        <name val="Calibri"/>
        <scheme val="none"/>
      </font>
      <numFmt numFmtId="164" formatCode="_-* #,##0_-;\-* #,##0_-;_-* &quot;-&quot;??_-;_-@_-"/>
    </dxf>
  </rfmt>
  <rfmt sheetId="1" sqref="AR349" start="0" length="0">
    <dxf>
      <font>
        <sz val="11"/>
        <color theme="1"/>
        <name val="Calibri"/>
        <scheme val="none"/>
      </font>
      <numFmt numFmtId="164" formatCode="_-* #,##0_-;\-* #,##0_-;_-* &quot;-&quot;??_-;_-@_-"/>
    </dxf>
  </rfmt>
  <rfmt sheetId="1" sqref="AS349" start="0" length="0">
    <dxf>
      <font>
        <sz val="11"/>
        <color theme="1"/>
        <name val="Calibri"/>
        <scheme val="none"/>
      </font>
      <numFmt numFmtId="164" formatCode="_-* #,##0_-;\-* #,##0_-;_-* &quot;-&quot;??_-;_-@_-"/>
    </dxf>
  </rfmt>
  <rfmt sheetId="1" sqref="AT349" start="0" length="0">
    <dxf>
      <font>
        <sz val="11"/>
        <color theme="1"/>
        <name val="Calibri"/>
        <scheme val="none"/>
      </font>
      <numFmt numFmtId="164" formatCode="_-* #,##0_-;\-* #,##0_-;_-* &quot;-&quot;??_-;_-@_-"/>
    </dxf>
  </rfmt>
  <rfmt sheetId="1" sqref="AU349" start="0" length="0">
    <dxf>
      <font>
        <sz val="11"/>
        <color theme="1"/>
        <name val="Calibri"/>
        <scheme val="none"/>
      </font>
    </dxf>
  </rfmt>
  <rfmt sheetId="1" sqref="AV349" start="0" length="0">
    <dxf>
      <font>
        <sz val="11"/>
        <color theme="1"/>
        <name val="Calibri"/>
        <scheme val="none"/>
      </font>
    </dxf>
  </rfmt>
  <rfmt sheetId="1" sqref="AW349" start="0" length="0">
    <dxf>
      <font>
        <sz val="11"/>
        <color theme="1"/>
        <name val="Calibri"/>
        <scheme val="none"/>
      </font>
    </dxf>
  </rfmt>
  <rfmt sheetId="1" sqref="AX349" start="0" length="0">
    <dxf>
      <font>
        <sz val="11"/>
        <color theme="1"/>
        <name val="Calibri"/>
        <scheme val="none"/>
      </font>
    </dxf>
  </rfmt>
  <rfmt sheetId="1" sqref="AY349" start="0" length="0">
    <dxf>
      <font>
        <sz val="11"/>
        <color theme="1"/>
        <name val="Calibri"/>
        <scheme val="none"/>
      </font>
    </dxf>
  </rfmt>
  <rfmt sheetId="1" sqref="A349:XFD349" start="0" length="0">
    <dxf>
      <font>
        <sz val="11"/>
        <color theme="1"/>
        <name val="Calibri"/>
        <scheme val="none"/>
      </font>
    </dxf>
  </rfmt>
  <rfmt sheetId="1" sqref="A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5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5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50" start="0" length="0">
    <dxf>
      <font>
        <sz val="11"/>
        <color theme="1"/>
        <name val="Calibri"/>
        <scheme val="none"/>
      </font>
    </dxf>
  </rfmt>
  <rfmt sheetId="1" sqref="AM350" start="0" length="0">
    <dxf>
      <font>
        <sz val="11"/>
        <color theme="1"/>
        <name val="Calibri"/>
        <scheme val="none"/>
      </font>
      <numFmt numFmtId="1" formatCode="0"/>
    </dxf>
  </rfmt>
  <rfmt sheetId="1" sqref="AN350" start="0" length="0">
    <dxf>
      <font>
        <sz val="11"/>
        <color theme="1"/>
        <name val="Calibri"/>
        <scheme val="none"/>
      </font>
      <numFmt numFmtId="1" formatCode="0"/>
    </dxf>
  </rfmt>
  <rfmt sheetId="1" sqref="AO350" start="0" length="0">
    <dxf>
      <font>
        <sz val="11"/>
        <color theme="1"/>
        <name val="Calibri"/>
        <scheme val="none"/>
      </font>
    </dxf>
  </rfmt>
  <rfmt sheetId="1" sqref="AP350" start="0" length="0">
    <dxf>
      <font>
        <sz val="11"/>
        <color theme="1"/>
        <name val="Calibri"/>
        <scheme val="none"/>
      </font>
    </dxf>
  </rfmt>
  <rfmt sheetId="1" sqref="AQ350" start="0" length="0">
    <dxf>
      <font>
        <sz val="11"/>
        <color theme="1"/>
        <name val="Calibri"/>
        <scheme val="none"/>
      </font>
      <numFmt numFmtId="164" formatCode="_-* #,##0_-;\-* #,##0_-;_-* &quot;-&quot;??_-;_-@_-"/>
    </dxf>
  </rfmt>
  <rfmt sheetId="1" sqref="AR350" start="0" length="0">
    <dxf>
      <font>
        <sz val="11"/>
        <color theme="1"/>
        <name val="Calibri"/>
        <scheme val="none"/>
      </font>
      <numFmt numFmtId="164" formatCode="_-* #,##0_-;\-* #,##0_-;_-* &quot;-&quot;??_-;_-@_-"/>
    </dxf>
  </rfmt>
  <rfmt sheetId="1" sqref="AS350" start="0" length="0">
    <dxf>
      <font>
        <sz val="11"/>
        <color theme="1"/>
        <name val="Calibri"/>
        <scheme val="none"/>
      </font>
      <numFmt numFmtId="164" formatCode="_-* #,##0_-;\-* #,##0_-;_-* &quot;-&quot;??_-;_-@_-"/>
    </dxf>
  </rfmt>
  <rfmt sheetId="1" sqref="AT350" start="0" length="0">
    <dxf>
      <font>
        <sz val="11"/>
        <color theme="1"/>
        <name val="Calibri"/>
        <scheme val="none"/>
      </font>
      <numFmt numFmtId="164" formatCode="_-* #,##0_-;\-* #,##0_-;_-* &quot;-&quot;??_-;_-@_-"/>
    </dxf>
  </rfmt>
  <rfmt sheetId="1" sqref="AU350" start="0" length="0">
    <dxf>
      <font>
        <sz val="11"/>
        <color theme="1"/>
        <name val="Calibri"/>
        <scheme val="none"/>
      </font>
    </dxf>
  </rfmt>
  <rfmt sheetId="1" sqref="AV350" start="0" length="0">
    <dxf>
      <font>
        <sz val="11"/>
        <color theme="1"/>
        <name val="Calibri"/>
        <scheme val="none"/>
      </font>
    </dxf>
  </rfmt>
  <rfmt sheetId="1" sqref="AW350" start="0" length="0">
    <dxf>
      <font>
        <sz val="11"/>
        <color theme="1"/>
        <name val="Calibri"/>
        <scheme val="none"/>
      </font>
    </dxf>
  </rfmt>
  <rfmt sheetId="1" sqref="AX350" start="0" length="0">
    <dxf>
      <font>
        <sz val="11"/>
        <color theme="1"/>
        <name val="Calibri"/>
        <scheme val="none"/>
      </font>
    </dxf>
  </rfmt>
  <rfmt sheetId="1" sqref="AY350" start="0" length="0">
    <dxf>
      <font>
        <sz val="11"/>
        <color theme="1"/>
        <name val="Calibri"/>
        <scheme val="none"/>
      </font>
    </dxf>
  </rfmt>
  <rfmt sheetId="1" sqref="A350:XFD350" start="0" length="0">
    <dxf>
      <font>
        <sz val="11"/>
        <color theme="1"/>
        <name val="Calibri"/>
        <scheme val="none"/>
      </font>
    </dxf>
  </rfmt>
  <rfmt sheetId="1" sqref="A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5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5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51" start="0" length="0">
    <dxf>
      <font>
        <sz val="11"/>
        <color theme="1"/>
        <name val="Calibri"/>
        <scheme val="none"/>
      </font>
    </dxf>
  </rfmt>
  <rfmt sheetId="1" sqref="AM351" start="0" length="0">
    <dxf>
      <font>
        <sz val="11"/>
        <color theme="1"/>
        <name val="Calibri"/>
        <scheme val="none"/>
      </font>
      <numFmt numFmtId="1" formatCode="0"/>
    </dxf>
  </rfmt>
  <rfmt sheetId="1" sqref="AN351" start="0" length="0">
    <dxf>
      <font>
        <sz val="11"/>
        <color theme="1"/>
        <name val="Calibri"/>
        <scheme val="none"/>
      </font>
      <numFmt numFmtId="1" formatCode="0"/>
    </dxf>
  </rfmt>
  <rfmt sheetId="1" sqref="AO351" start="0" length="0">
    <dxf>
      <font>
        <sz val="11"/>
        <color theme="1"/>
        <name val="Calibri"/>
        <scheme val="none"/>
      </font>
    </dxf>
  </rfmt>
  <rfmt sheetId="1" sqref="AP351" start="0" length="0">
    <dxf>
      <font>
        <sz val="11"/>
        <color theme="1"/>
        <name val="Calibri"/>
        <scheme val="none"/>
      </font>
    </dxf>
  </rfmt>
  <rfmt sheetId="1" sqref="AQ351" start="0" length="0">
    <dxf>
      <font>
        <sz val="11"/>
        <color theme="1"/>
        <name val="Calibri"/>
        <scheme val="none"/>
      </font>
      <numFmt numFmtId="164" formatCode="_-* #,##0_-;\-* #,##0_-;_-* &quot;-&quot;??_-;_-@_-"/>
    </dxf>
  </rfmt>
  <rfmt sheetId="1" sqref="AR351" start="0" length="0">
    <dxf>
      <font>
        <sz val="11"/>
        <color theme="1"/>
        <name val="Calibri"/>
        <scheme val="none"/>
      </font>
      <numFmt numFmtId="164" formatCode="_-* #,##0_-;\-* #,##0_-;_-* &quot;-&quot;??_-;_-@_-"/>
    </dxf>
  </rfmt>
  <rfmt sheetId="1" sqref="AS351" start="0" length="0">
    <dxf>
      <font>
        <sz val="11"/>
        <color theme="1"/>
        <name val="Calibri"/>
        <scheme val="none"/>
      </font>
      <numFmt numFmtId="164" formatCode="_-* #,##0_-;\-* #,##0_-;_-* &quot;-&quot;??_-;_-@_-"/>
    </dxf>
  </rfmt>
  <rfmt sheetId="1" sqref="AT351" start="0" length="0">
    <dxf>
      <font>
        <sz val="11"/>
        <color theme="1"/>
        <name val="Calibri"/>
        <scheme val="none"/>
      </font>
      <numFmt numFmtId="164" formatCode="_-* #,##0_-;\-* #,##0_-;_-* &quot;-&quot;??_-;_-@_-"/>
    </dxf>
  </rfmt>
  <rfmt sheetId="1" sqref="AU351" start="0" length="0">
    <dxf>
      <font>
        <sz val="11"/>
        <color theme="1"/>
        <name val="Calibri"/>
        <scheme val="none"/>
      </font>
    </dxf>
  </rfmt>
  <rfmt sheetId="1" sqref="AV351" start="0" length="0">
    <dxf>
      <font>
        <sz val="11"/>
        <color theme="1"/>
        <name val="Calibri"/>
        <scheme val="none"/>
      </font>
    </dxf>
  </rfmt>
  <rfmt sheetId="1" sqref="AW351" start="0" length="0">
    <dxf>
      <font>
        <sz val="11"/>
        <color theme="1"/>
        <name val="Calibri"/>
        <scheme val="none"/>
      </font>
    </dxf>
  </rfmt>
  <rfmt sheetId="1" sqref="AX351" start="0" length="0">
    <dxf>
      <font>
        <sz val="11"/>
        <color theme="1"/>
        <name val="Calibri"/>
        <scheme val="none"/>
      </font>
    </dxf>
  </rfmt>
  <rfmt sheetId="1" sqref="AY351" start="0" length="0">
    <dxf>
      <font>
        <sz val="11"/>
        <color theme="1"/>
        <name val="Calibri"/>
        <scheme val="none"/>
      </font>
    </dxf>
  </rfmt>
  <rfmt sheetId="1" sqref="A351:XFD351" start="0" length="0">
    <dxf>
      <font>
        <sz val="11"/>
        <color theme="1"/>
        <name val="Calibri"/>
        <scheme val="none"/>
      </font>
    </dxf>
  </rfmt>
  <rfmt sheetId="1" sqref="A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5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5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52" start="0" length="0">
    <dxf>
      <font>
        <sz val="11"/>
        <color theme="1"/>
        <name val="Calibri"/>
        <scheme val="none"/>
      </font>
    </dxf>
  </rfmt>
  <rfmt sheetId="1" sqref="AM352" start="0" length="0">
    <dxf>
      <font>
        <sz val="11"/>
        <color theme="1"/>
        <name val="Calibri"/>
        <scheme val="none"/>
      </font>
      <numFmt numFmtId="1" formatCode="0"/>
    </dxf>
  </rfmt>
  <rfmt sheetId="1" sqref="AN352" start="0" length="0">
    <dxf>
      <font>
        <sz val="11"/>
        <color theme="1"/>
        <name val="Calibri"/>
        <scheme val="none"/>
      </font>
      <numFmt numFmtId="1" formatCode="0"/>
    </dxf>
  </rfmt>
  <rfmt sheetId="1" sqref="AO352" start="0" length="0">
    <dxf>
      <font>
        <sz val="11"/>
        <color theme="1"/>
        <name val="Calibri"/>
        <scheme val="none"/>
      </font>
    </dxf>
  </rfmt>
  <rfmt sheetId="1" sqref="AP352" start="0" length="0">
    <dxf>
      <font>
        <sz val="11"/>
        <color theme="1"/>
        <name val="Calibri"/>
        <scheme val="none"/>
      </font>
    </dxf>
  </rfmt>
  <rfmt sheetId="1" sqref="AQ352" start="0" length="0">
    <dxf>
      <font>
        <sz val="11"/>
        <color theme="1"/>
        <name val="Calibri"/>
        <scheme val="none"/>
      </font>
      <numFmt numFmtId="164" formatCode="_-* #,##0_-;\-* #,##0_-;_-* &quot;-&quot;??_-;_-@_-"/>
    </dxf>
  </rfmt>
  <rfmt sheetId="1" sqref="AR352" start="0" length="0">
    <dxf>
      <font>
        <sz val="11"/>
        <color theme="1"/>
        <name val="Calibri"/>
        <scheme val="none"/>
      </font>
      <numFmt numFmtId="164" formatCode="_-* #,##0_-;\-* #,##0_-;_-* &quot;-&quot;??_-;_-@_-"/>
    </dxf>
  </rfmt>
  <rfmt sheetId="1" sqref="AS352" start="0" length="0">
    <dxf>
      <font>
        <sz val="11"/>
        <color theme="1"/>
        <name val="Calibri"/>
        <scheme val="none"/>
      </font>
      <numFmt numFmtId="164" formatCode="_-* #,##0_-;\-* #,##0_-;_-* &quot;-&quot;??_-;_-@_-"/>
    </dxf>
  </rfmt>
  <rfmt sheetId="1" sqref="AT352" start="0" length="0">
    <dxf>
      <font>
        <sz val="11"/>
        <color theme="1"/>
        <name val="Calibri"/>
        <scheme val="none"/>
      </font>
      <numFmt numFmtId="164" formatCode="_-* #,##0_-;\-* #,##0_-;_-* &quot;-&quot;??_-;_-@_-"/>
    </dxf>
  </rfmt>
  <rfmt sheetId="1" sqref="AU352" start="0" length="0">
    <dxf>
      <font>
        <sz val="11"/>
        <color theme="1"/>
        <name val="Calibri"/>
        <scheme val="none"/>
      </font>
    </dxf>
  </rfmt>
  <rfmt sheetId="1" sqref="AV352" start="0" length="0">
    <dxf>
      <font>
        <sz val="11"/>
        <color theme="1"/>
        <name val="Calibri"/>
        <scheme val="none"/>
      </font>
    </dxf>
  </rfmt>
  <rfmt sheetId="1" sqref="AW352" start="0" length="0">
    <dxf>
      <font>
        <sz val="11"/>
        <color theme="1"/>
        <name val="Calibri"/>
        <scheme val="none"/>
      </font>
    </dxf>
  </rfmt>
  <rfmt sheetId="1" sqref="AX352" start="0" length="0">
    <dxf>
      <font>
        <sz val="11"/>
        <color theme="1"/>
        <name val="Calibri"/>
        <scheme val="none"/>
      </font>
    </dxf>
  </rfmt>
  <rfmt sheetId="1" sqref="AY352" start="0" length="0">
    <dxf>
      <font>
        <sz val="11"/>
        <color theme="1"/>
        <name val="Calibri"/>
        <scheme val="none"/>
      </font>
    </dxf>
  </rfmt>
  <rfmt sheetId="1" sqref="A352:XFD352" start="0" length="0">
    <dxf>
      <font>
        <sz val="11"/>
        <color theme="1"/>
        <name val="Calibri"/>
        <scheme val="none"/>
      </font>
    </dxf>
  </rfmt>
  <rfmt sheetId="1" sqref="A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5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5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53" start="0" length="0">
    <dxf>
      <font>
        <sz val="11"/>
        <color theme="1"/>
        <name val="Calibri"/>
        <scheme val="none"/>
      </font>
    </dxf>
  </rfmt>
  <rfmt sheetId="1" sqref="AM353" start="0" length="0">
    <dxf>
      <font>
        <sz val="11"/>
        <color theme="1"/>
        <name val="Calibri"/>
        <scheme val="none"/>
      </font>
      <numFmt numFmtId="1" formatCode="0"/>
    </dxf>
  </rfmt>
  <rfmt sheetId="1" sqref="AN353" start="0" length="0">
    <dxf>
      <font>
        <sz val="11"/>
        <color theme="1"/>
        <name val="Calibri"/>
        <scheme val="none"/>
      </font>
      <numFmt numFmtId="1" formatCode="0"/>
    </dxf>
  </rfmt>
  <rfmt sheetId="1" sqref="AO353" start="0" length="0">
    <dxf>
      <font>
        <sz val="11"/>
        <color theme="1"/>
        <name val="Calibri"/>
        <scheme val="none"/>
      </font>
    </dxf>
  </rfmt>
  <rfmt sheetId="1" sqref="AP353" start="0" length="0">
    <dxf>
      <font>
        <sz val="11"/>
        <color theme="1"/>
        <name val="Calibri"/>
        <scheme val="none"/>
      </font>
    </dxf>
  </rfmt>
  <rfmt sheetId="1" sqref="AQ353" start="0" length="0">
    <dxf>
      <font>
        <sz val="11"/>
        <color theme="1"/>
        <name val="Calibri"/>
        <scheme val="none"/>
      </font>
      <numFmt numFmtId="164" formatCode="_-* #,##0_-;\-* #,##0_-;_-* &quot;-&quot;??_-;_-@_-"/>
    </dxf>
  </rfmt>
  <rfmt sheetId="1" sqref="AR353" start="0" length="0">
    <dxf>
      <font>
        <sz val="11"/>
        <color theme="1"/>
        <name val="Calibri"/>
        <scheme val="none"/>
      </font>
      <numFmt numFmtId="164" formatCode="_-* #,##0_-;\-* #,##0_-;_-* &quot;-&quot;??_-;_-@_-"/>
    </dxf>
  </rfmt>
  <rfmt sheetId="1" sqref="AS353" start="0" length="0">
    <dxf>
      <font>
        <sz val="11"/>
        <color theme="1"/>
        <name val="Calibri"/>
        <scheme val="none"/>
      </font>
      <numFmt numFmtId="164" formatCode="_-* #,##0_-;\-* #,##0_-;_-* &quot;-&quot;??_-;_-@_-"/>
    </dxf>
  </rfmt>
  <rfmt sheetId="1" sqref="AT353" start="0" length="0">
    <dxf>
      <font>
        <sz val="11"/>
        <color theme="1"/>
        <name val="Calibri"/>
        <scheme val="none"/>
      </font>
      <numFmt numFmtId="164" formatCode="_-* #,##0_-;\-* #,##0_-;_-* &quot;-&quot;??_-;_-@_-"/>
    </dxf>
  </rfmt>
  <rfmt sheetId="1" sqref="AU353" start="0" length="0">
    <dxf>
      <font>
        <sz val="11"/>
        <color theme="1"/>
        <name val="Calibri"/>
        <scheme val="none"/>
      </font>
    </dxf>
  </rfmt>
  <rfmt sheetId="1" sqref="AV353" start="0" length="0">
    <dxf>
      <font>
        <sz val="11"/>
        <color theme="1"/>
        <name val="Calibri"/>
        <scheme val="none"/>
      </font>
    </dxf>
  </rfmt>
  <rfmt sheetId="1" sqref="AW353" start="0" length="0">
    <dxf>
      <font>
        <sz val="11"/>
        <color theme="1"/>
        <name val="Calibri"/>
        <scheme val="none"/>
      </font>
    </dxf>
  </rfmt>
  <rfmt sheetId="1" sqref="AX353" start="0" length="0">
    <dxf>
      <font>
        <sz val="11"/>
        <color theme="1"/>
        <name val="Calibri"/>
        <scheme val="none"/>
      </font>
    </dxf>
  </rfmt>
  <rfmt sheetId="1" sqref="AY353" start="0" length="0">
    <dxf>
      <font>
        <sz val="11"/>
        <color theme="1"/>
        <name val="Calibri"/>
        <scheme val="none"/>
      </font>
    </dxf>
  </rfmt>
  <rfmt sheetId="1" sqref="A353:XFD353" start="0" length="0">
    <dxf>
      <font>
        <sz val="11"/>
        <color theme="1"/>
        <name val="Calibri"/>
        <scheme val="none"/>
      </font>
    </dxf>
  </rfmt>
  <rfmt sheetId="1" sqref="A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5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5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54" start="0" length="0">
    <dxf>
      <font>
        <sz val="11"/>
        <color theme="1"/>
        <name val="Calibri"/>
        <scheme val="none"/>
      </font>
    </dxf>
  </rfmt>
  <rfmt sheetId="1" sqref="AM354" start="0" length="0">
    <dxf>
      <font>
        <sz val="11"/>
        <color theme="1"/>
        <name val="Calibri"/>
        <scheme val="none"/>
      </font>
      <numFmt numFmtId="1" formatCode="0"/>
    </dxf>
  </rfmt>
  <rfmt sheetId="1" sqref="AN354" start="0" length="0">
    <dxf>
      <font>
        <sz val="11"/>
        <color theme="1"/>
        <name val="Calibri"/>
        <scheme val="none"/>
      </font>
      <numFmt numFmtId="1" formatCode="0"/>
    </dxf>
  </rfmt>
  <rfmt sheetId="1" sqref="AO354" start="0" length="0">
    <dxf>
      <font>
        <sz val="11"/>
        <color theme="1"/>
        <name val="Calibri"/>
        <scheme val="none"/>
      </font>
    </dxf>
  </rfmt>
  <rfmt sheetId="1" sqref="AP354" start="0" length="0">
    <dxf>
      <font>
        <sz val="11"/>
        <color theme="1"/>
        <name val="Calibri"/>
        <scheme val="none"/>
      </font>
    </dxf>
  </rfmt>
  <rfmt sheetId="1" sqref="AQ354" start="0" length="0">
    <dxf>
      <font>
        <sz val="11"/>
        <color theme="1"/>
        <name val="Calibri"/>
        <scheme val="none"/>
      </font>
      <numFmt numFmtId="164" formatCode="_-* #,##0_-;\-* #,##0_-;_-* &quot;-&quot;??_-;_-@_-"/>
    </dxf>
  </rfmt>
  <rfmt sheetId="1" sqref="AR354" start="0" length="0">
    <dxf>
      <font>
        <sz val="11"/>
        <color theme="1"/>
        <name val="Calibri"/>
        <scheme val="none"/>
      </font>
      <numFmt numFmtId="164" formatCode="_-* #,##0_-;\-* #,##0_-;_-* &quot;-&quot;??_-;_-@_-"/>
    </dxf>
  </rfmt>
  <rfmt sheetId="1" sqref="AS354" start="0" length="0">
    <dxf>
      <font>
        <sz val="11"/>
        <color theme="1"/>
        <name val="Calibri"/>
        <scheme val="none"/>
      </font>
      <numFmt numFmtId="164" formatCode="_-* #,##0_-;\-* #,##0_-;_-* &quot;-&quot;??_-;_-@_-"/>
    </dxf>
  </rfmt>
  <rfmt sheetId="1" sqref="AT354" start="0" length="0">
    <dxf>
      <font>
        <sz val="11"/>
        <color theme="1"/>
        <name val="Calibri"/>
        <scheme val="none"/>
      </font>
      <numFmt numFmtId="164" formatCode="_-* #,##0_-;\-* #,##0_-;_-* &quot;-&quot;??_-;_-@_-"/>
    </dxf>
  </rfmt>
  <rfmt sheetId="1" sqref="AU354" start="0" length="0">
    <dxf>
      <font>
        <sz val="11"/>
        <color theme="1"/>
        <name val="Calibri"/>
        <scheme val="none"/>
      </font>
    </dxf>
  </rfmt>
  <rfmt sheetId="1" sqref="AV354" start="0" length="0">
    <dxf>
      <font>
        <sz val="11"/>
        <color theme="1"/>
        <name val="Calibri"/>
        <scheme val="none"/>
      </font>
    </dxf>
  </rfmt>
  <rfmt sheetId="1" sqref="AW354" start="0" length="0">
    <dxf>
      <font>
        <sz val="11"/>
        <color theme="1"/>
        <name val="Calibri"/>
        <scheme val="none"/>
      </font>
    </dxf>
  </rfmt>
  <rfmt sheetId="1" sqref="AX354" start="0" length="0">
    <dxf>
      <font>
        <sz val="11"/>
        <color theme="1"/>
        <name val="Calibri"/>
        <scheme val="none"/>
      </font>
    </dxf>
  </rfmt>
  <rfmt sheetId="1" sqref="AY354" start="0" length="0">
    <dxf>
      <font>
        <sz val="11"/>
        <color theme="1"/>
        <name val="Calibri"/>
        <scheme val="none"/>
      </font>
    </dxf>
  </rfmt>
  <rfmt sheetId="1" sqref="A354:XFD354" start="0" length="0">
    <dxf>
      <font>
        <sz val="11"/>
        <color theme="1"/>
        <name val="Calibri"/>
        <scheme val="none"/>
      </font>
    </dxf>
  </rfmt>
  <rfmt sheetId="1" sqref="A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5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5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55" start="0" length="0">
    <dxf>
      <font>
        <sz val="11"/>
        <color theme="1"/>
        <name val="Calibri"/>
        <scheme val="none"/>
      </font>
    </dxf>
  </rfmt>
  <rfmt sheetId="1" sqref="AM355" start="0" length="0">
    <dxf>
      <font>
        <sz val="11"/>
        <color theme="1"/>
        <name val="Calibri"/>
        <scheme val="none"/>
      </font>
      <numFmt numFmtId="1" formatCode="0"/>
    </dxf>
  </rfmt>
  <rfmt sheetId="1" sqref="AN355" start="0" length="0">
    <dxf>
      <font>
        <sz val="11"/>
        <color theme="1"/>
        <name val="Calibri"/>
        <scheme val="none"/>
      </font>
      <numFmt numFmtId="1" formatCode="0"/>
    </dxf>
  </rfmt>
  <rfmt sheetId="1" sqref="AO355" start="0" length="0">
    <dxf>
      <font>
        <sz val="11"/>
        <color theme="1"/>
        <name val="Calibri"/>
        <scheme val="none"/>
      </font>
    </dxf>
  </rfmt>
  <rfmt sheetId="1" sqref="AP355" start="0" length="0">
    <dxf>
      <font>
        <sz val="11"/>
        <color theme="1"/>
        <name val="Calibri"/>
        <scheme val="none"/>
      </font>
    </dxf>
  </rfmt>
  <rfmt sheetId="1" sqref="AQ355" start="0" length="0">
    <dxf>
      <font>
        <sz val="11"/>
        <color theme="1"/>
        <name val="Calibri"/>
        <scheme val="none"/>
      </font>
      <numFmt numFmtId="164" formatCode="_-* #,##0_-;\-* #,##0_-;_-* &quot;-&quot;??_-;_-@_-"/>
    </dxf>
  </rfmt>
  <rfmt sheetId="1" sqref="AR355" start="0" length="0">
    <dxf>
      <font>
        <sz val="11"/>
        <color theme="1"/>
        <name val="Calibri"/>
        <scheme val="none"/>
      </font>
      <numFmt numFmtId="164" formatCode="_-* #,##0_-;\-* #,##0_-;_-* &quot;-&quot;??_-;_-@_-"/>
    </dxf>
  </rfmt>
  <rfmt sheetId="1" sqref="AS355" start="0" length="0">
    <dxf>
      <font>
        <sz val="11"/>
        <color theme="1"/>
        <name val="Calibri"/>
        <scheme val="none"/>
      </font>
      <numFmt numFmtId="164" formatCode="_-* #,##0_-;\-* #,##0_-;_-* &quot;-&quot;??_-;_-@_-"/>
    </dxf>
  </rfmt>
  <rfmt sheetId="1" sqref="AT355" start="0" length="0">
    <dxf>
      <font>
        <sz val="11"/>
        <color theme="1"/>
        <name val="Calibri"/>
        <scheme val="none"/>
      </font>
      <numFmt numFmtId="164" formatCode="_-* #,##0_-;\-* #,##0_-;_-* &quot;-&quot;??_-;_-@_-"/>
    </dxf>
  </rfmt>
  <rfmt sheetId="1" sqref="AU355" start="0" length="0">
    <dxf>
      <font>
        <sz val="11"/>
        <color theme="1"/>
        <name val="Calibri"/>
        <scheme val="none"/>
      </font>
    </dxf>
  </rfmt>
  <rfmt sheetId="1" sqref="AV355" start="0" length="0">
    <dxf>
      <font>
        <sz val="11"/>
        <color theme="1"/>
        <name val="Calibri"/>
        <scheme val="none"/>
      </font>
    </dxf>
  </rfmt>
  <rfmt sheetId="1" sqref="AW355" start="0" length="0">
    <dxf>
      <font>
        <sz val="11"/>
        <color theme="1"/>
        <name val="Calibri"/>
        <scheme val="none"/>
      </font>
    </dxf>
  </rfmt>
  <rfmt sheetId="1" sqref="AX355" start="0" length="0">
    <dxf>
      <font>
        <sz val="11"/>
        <color theme="1"/>
        <name val="Calibri"/>
        <scheme val="none"/>
      </font>
    </dxf>
  </rfmt>
  <rfmt sheetId="1" sqref="AY355" start="0" length="0">
    <dxf>
      <font>
        <sz val="11"/>
        <color theme="1"/>
        <name val="Calibri"/>
        <scheme val="none"/>
      </font>
    </dxf>
  </rfmt>
  <rfmt sheetId="1" sqref="A355:XFD355" start="0" length="0">
    <dxf>
      <font>
        <sz val="11"/>
        <color theme="1"/>
        <name val="Calibri"/>
        <scheme val="none"/>
      </font>
    </dxf>
  </rfmt>
  <rfmt sheetId="1" sqref="A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5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5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56" start="0" length="0">
    <dxf>
      <font>
        <sz val="11"/>
        <color theme="1"/>
        <name val="Calibri"/>
        <scheme val="none"/>
      </font>
    </dxf>
  </rfmt>
  <rfmt sheetId="1" sqref="AM356" start="0" length="0">
    <dxf>
      <font>
        <sz val="11"/>
        <color theme="1"/>
        <name val="Calibri"/>
        <scheme val="none"/>
      </font>
      <numFmt numFmtId="1" formatCode="0"/>
    </dxf>
  </rfmt>
  <rfmt sheetId="1" sqref="AN356" start="0" length="0">
    <dxf>
      <font>
        <sz val="11"/>
        <color theme="1"/>
        <name val="Calibri"/>
        <scheme val="none"/>
      </font>
      <numFmt numFmtId="1" formatCode="0"/>
    </dxf>
  </rfmt>
  <rfmt sheetId="1" sqref="AO356" start="0" length="0">
    <dxf>
      <font>
        <sz val="11"/>
        <color theme="1"/>
        <name val="Calibri"/>
        <scheme val="none"/>
      </font>
    </dxf>
  </rfmt>
  <rfmt sheetId="1" sqref="AP356" start="0" length="0">
    <dxf>
      <font>
        <sz val="11"/>
        <color theme="1"/>
        <name val="Calibri"/>
        <scheme val="none"/>
      </font>
    </dxf>
  </rfmt>
  <rfmt sheetId="1" sqref="AQ356" start="0" length="0">
    <dxf>
      <font>
        <sz val="11"/>
        <color theme="1"/>
        <name val="Calibri"/>
        <scheme val="none"/>
      </font>
      <numFmt numFmtId="164" formatCode="_-* #,##0_-;\-* #,##0_-;_-* &quot;-&quot;??_-;_-@_-"/>
    </dxf>
  </rfmt>
  <rfmt sheetId="1" sqref="AR356" start="0" length="0">
    <dxf>
      <font>
        <sz val="11"/>
        <color theme="1"/>
        <name val="Calibri"/>
        <scheme val="none"/>
      </font>
      <numFmt numFmtId="164" formatCode="_-* #,##0_-;\-* #,##0_-;_-* &quot;-&quot;??_-;_-@_-"/>
    </dxf>
  </rfmt>
  <rfmt sheetId="1" sqref="AS356" start="0" length="0">
    <dxf>
      <font>
        <sz val="11"/>
        <color theme="1"/>
        <name val="Calibri"/>
        <scheme val="none"/>
      </font>
      <numFmt numFmtId="164" formatCode="_-* #,##0_-;\-* #,##0_-;_-* &quot;-&quot;??_-;_-@_-"/>
    </dxf>
  </rfmt>
  <rfmt sheetId="1" sqref="AT356" start="0" length="0">
    <dxf>
      <font>
        <sz val="11"/>
        <color theme="1"/>
        <name val="Calibri"/>
        <scheme val="none"/>
      </font>
      <numFmt numFmtId="164" formatCode="_-* #,##0_-;\-* #,##0_-;_-* &quot;-&quot;??_-;_-@_-"/>
    </dxf>
  </rfmt>
  <rfmt sheetId="1" sqref="AU356" start="0" length="0">
    <dxf>
      <font>
        <sz val="11"/>
        <color theme="1"/>
        <name val="Calibri"/>
        <scheme val="none"/>
      </font>
    </dxf>
  </rfmt>
  <rfmt sheetId="1" sqref="AV356" start="0" length="0">
    <dxf>
      <font>
        <sz val="11"/>
        <color theme="1"/>
        <name val="Calibri"/>
        <scheme val="none"/>
      </font>
    </dxf>
  </rfmt>
  <rfmt sheetId="1" sqref="AW356" start="0" length="0">
    <dxf>
      <font>
        <sz val="11"/>
        <color theme="1"/>
        <name val="Calibri"/>
        <scheme val="none"/>
      </font>
    </dxf>
  </rfmt>
  <rfmt sheetId="1" sqref="AX356" start="0" length="0">
    <dxf>
      <font>
        <sz val="11"/>
        <color theme="1"/>
        <name val="Calibri"/>
        <scheme val="none"/>
      </font>
    </dxf>
  </rfmt>
  <rfmt sheetId="1" sqref="AY356" start="0" length="0">
    <dxf>
      <font>
        <sz val="11"/>
        <color theme="1"/>
        <name val="Calibri"/>
        <scheme val="none"/>
      </font>
    </dxf>
  </rfmt>
  <rfmt sheetId="1" sqref="A356:XFD356" start="0" length="0">
    <dxf>
      <font>
        <sz val="11"/>
        <color theme="1"/>
        <name val="Calibri"/>
        <scheme val="none"/>
      </font>
    </dxf>
  </rfmt>
  <rfmt sheetId="1" sqref="A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5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5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57" start="0" length="0">
    <dxf>
      <font>
        <sz val="11"/>
        <color theme="1"/>
        <name val="Calibri"/>
        <scheme val="none"/>
      </font>
    </dxf>
  </rfmt>
  <rfmt sheetId="1" sqref="AM357" start="0" length="0">
    <dxf>
      <font>
        <sz val="11"/>
        <color theme="1"/>
        <name val="Calibri"/>
        <scheme val="none"/>
      </font>
      <numFmt numFmtId="1" formatCode="0"/>
    </dxf>
  </rfmt>
  <rfmt sheetId="1" sqref="AN357" start="0" length="0">
    <dxf>
      <font>
        <sz val="11"/>
        <color theme="1"/>
        <name val="Calibri"/>
        <scheme val="none"/>
      </font>
      <numFmt numFmtId="1" formatCode="0"/>
    </dxf>
  </rfmt>
  <rfmt sheetId="1" sqref="AO357" start="0" length="0">
    <dxf>
      <font>
        <sz val="11"/>
        <color theme="1"/>
        <name val="Calibri"/>
        <scheme val="none"/>
      </font>
    </dxf>
  </rfmt>
  <rfmt sheetId="1" sqref="AP357" start="0" length="0">
    <dxf>
      <font>
        <sz val="11"/>
        <color theme="1"/>
        <name val="Calibri"/>
        <scheme val="none"/>
      </font>
    </dxf>
  </rfmt>
  <rfmt sheetId="1" sqref="AQ357" start="0" length="0">
    <dxf>
      <font>
        <sz val="11"/>
        <color theme="1"/>
        <name val="Calibri"/>
        <scheme val="none"/>
      </font>
      <numFmt numFmtId="164" formatCode="_-* #,##0_-;\-* #,##0_-;_-* &quot;-&quot;??_-;_-@_-"/>
    </dxf>
  </rfmt>
  <rfmt sheetId="1" sqref="AR357" start="0" length="0">
    <dxf>
      <font>
        <sz val="11"/>
        <color theme="1"/>
        <name val="Calibri"/>
        <scheme val="none"/>
      </font>
      <numFmt numFmtId="164" formatCode="_-* #,##0_-;\-* #,##0_-;_-* &quot;-&quot;??_-;_-@_-"/>
    </dxf>
  </rfmt>
  <rfmt sheetId="1" sqref="AS357" start="0" length="0">
    <dxf>
      <font>
        <sz val="11"/>
        <color theme="1"/>
        <name val="Calibri"/>
        <scheme val="none"/>
      </font>
      <numFmt numFmtId="164" formatCode="_-* #,##0_-;\-* #,##0_-;_-* &quot;-&quot;??_-;_-@_-"/>
    </dxf>
  </rfmt>
  <rfmt sheetId="1" sqref="AT357" start="0" length="0">
    <dxf>
      <font>
        <sz val="11"/>
        <color theme="1"/>
        <name val="Calibri"/>
        <scheme val="none"/>
      </font>
      <numFmt numFmtId="164" formatCode="_-* #,##0_-;\-* #,##0_-;_-* &quot;-&quot;??_-;_-@_-"/>
    </dxf>
  </rfmt>
  <rfmt sheetId="1" sqref="AU357" start="0" length="0">
    <dxf>
      <font>
        <sz val="11"/>
        <color theme="1"/>
        <name val="Calibri"/>
        <scheme val="none"/>
      </font>
    </dxf>
  </rfmt>
  <rfmt sheetId="1" sqref="AV357" start="0" length="0">
    <dxf>
      <font>
        <sz val="11"/>
        <color theme="1"/>
        <name val="Calibri"/>
        <scheme val="none"/>
      </font>
    </dxf>
  </rfmt>
  <rfmt sheetId="1" sqref="AW357" start="0" length="0">
    <dxf>
      <font>
        <sz val="11"/>
        <color theme="1"/>
        <name val="Calibri"/>
        <scheme val="none"/>
      </font>
    </dxf>
  </rfmt>
  <rfmt sheetId="1" sqref="AX357" start="0" length="0">
    <dxf>
      <font>
        <sz val="11"/>
        <color theme="1"/>
        <name val="Calibri"/>
        <scheme val="none"/>
      </font>
    </dxf>
  </rfmt>
  <rfmt sheetId="1" sqref="AY357" start="0" length="0">
    <dxf>
      <font>
        <sz val="11"/>
        <color theme="1"/>
        <name val="Calibri"/>
        <scheme val="none"/>
      </font>
    </dxf>
  </rfmt>
  <rfmt sheetId="1" sqref="A357:XFD357" start="0" length="0">
    <dxf>
      <font>
        <sz val="11"/>
        <color theme="1"/>
        <name val="Calibri"/>
        <scheme val="none"/>
      </font>
    </dxf>
  </rfmt>
  <rfmt sheetId="1" sqref="A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5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5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58" start="0" length="0">
    <dxf>
      <font>
        <sz val="11"/>
        <color theme="1"/>
        <name val="Calibri"/>
        <scheme val="none"/>
      </font>
    </dxf>
  </rfmt>
  <rfmt sheetId="1" sqref="AM358" start="0" length="0">
    <dxf>
      <font>
        <sz val="11"/>
        <color theme="1"/>
        <name val="Calibri"/>
        <scheme val="none"/>
      </font>
      <numFmt numFmtId="1" formatCode="0"/>
    </dxf>
  </rfmt>
  <rfmt sheetId="1" sqref="AN358" start="0" length="0">
    <dxf>
      <font>
        <sz val="11"/>
        <color theme="1"/>
        <name val="Calibri"/>
        <scheme val="none"/>
      </font>
      <numFmt numFmtId="1" formatCode="0"/>
    </dxf>
  </rfmt>
  <rfmt sheetId="1" sqref="AO358" start="0" length="0">
    <dxf>
      <font>
        <sz val="11"/>
        <color theme="1"/>
        <name val="Calibri"/>
        <scheme val="none"/>
      </font>
    </dxf>
  </rfmt>
  <rfmt sheetId="1" sqref="AP358" start="0" length="0">
    <dxf>
      <font>
        <sz val="11"/>
        <color theme="1"/>
        <name val="Calibri"/>
        <scheme val="none"/>
      </font>
    </dxf>
  </rfmt>
  <rfmt sheetId="1" sqref="AQ358" start="0" length="0">
    <dxf>
      <font>
        <sz val="11"/>
        <color theme="1"/>
        <name val="Calibri"/>
        <scheme val="none"/>
      </font>
      <numFmt numFmtId="164" formatCode="_-* #,##0_-;\-* #,##0_-;_-* &quot;-&quot;??_-;_-@_-"/>
    </dxf>
  </rfmt>
  <rfmt sheetId="1" sqref="AR358" start="0" length="0">
    <dxf>
      <font>
        <sz val="11"/>
        <color theme="1"/>
        <name val="Calibri"/>
        <scheme val="none"/>
      </font>
      <numFmt numFmtId="164" formatCode="_-* #,##0_-;\-* #,##0_-;_-* &quot;-&quot;??_-;_-@_-"/>
    </dxf>
  </rfmt>
  <rfmt sheetId="1" sqref="AS358" start="0" length="0">
    <dxf>
      <font>
        <sz val="11"/>
        <color theme="1"/>
        <name val="Calibri"/>
        <scheme val="none"/>
      </font>
      <numFmt numFmtId="164" formatCode="_-* #,##0_-;\-* #,##0_-;_-* &quot;-&quot;??_-;_-@_-"/>
    </dxf>
  </rfmt>
  <rfmt sheetId="1" sqref="AT358" start="0" length="0">
    <dxf>
      <font>
        <sz val="11"/>
        <color theme="1"/>
        <name val="Calibri"/>
        <scheme val="none"/>
      </font>
      <numFmt numFmtId="164" formatCode="_-* #,##0_-;\-* #,##0_-;_-* &quot;-&quot;??_-;_-@_-"/>
    </dxf>
  </rfmt>
  <rfmt sheetId="1" sqref="AU358" start="0" length="0">
    <dxf>
      <font>
        <sz val="11"/>
        <color theme="1"/>
        <name val="Calibri"/>
        <scheme val="none"/>
      </font>
    </dxf>
  </rfmt>
  <rfmt sheetId="1" sqref="AV358" start="0" length="0">
    <dxf>
      <font>
        <sz val="11"/>
        <color theme="1"/>
        <name val="Calibri"/>
        <scheme val="none"/>
      </font>
    </dxf>
  </rfmt>
  <rfmt sheetId="1" sqref="AW358" start="0" length="0">
    <dxf>
      <font>
        <sz val="11"/>
        <color theme="1"/>
        <name val="Calibri"/>
        <scheme val="none"/>
      </font>
    </dxf>
  </rfmt>
  <rfmt sheetId="1" sqref="AX358" start="0" length="0">
    <dxf>
      <font>
        <sz val="11"/>
        <color theme="1"/>
        <name val="Calibri"/>
        <scheme val="none"/>
      </font>
    </dxf>
  </rfmt>
  <rfmt sheetId="1" sqref="AY358" start="0" length="0">
    <dxf>
      <font>
        <sz val="11"/>
        <color theme="1"/>
        <name val="Calibri"/>
        <scheme val="none"/>
      </font>
    </dxf>
  </rfmt>
  <rfmt sheetId="1" sqref="A358:XFD358" start="0" length="0">
    <dxf>
      <font>
        <sz val="11"/>
        <color theme="1"/>
        <name val="Calibri"/>
        <scheme val="none"/>
      </font>
    </dxf>
  </rfmt>
  <rfmt sheetId="1" sqref="A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5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5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59" start="0" length="0">
    <dxf>
      <font>
        <sz val="11"/>
        <color theme="1"/>
        <name val="Calibri"/>
        <scheme val="none"/>
      </font>
    </dxf>
  </rfmt>
  <rfmt sheetId="1" sqref="AM359" start="0" length="0">
    <dxf>
      <font>
        <sz val="11"/>
        <color theme="1"/>
        <name val="Calibri"/>
        <scheme val="none"/>
      </font>
      <numFmt numFmtId="1" formatCode="0"/>
    </dxf>
  </rfmt>
  <rfmt sheetId="1" sqref="AN359" start="0" length="0">
    <dxf>
      <font>
        <sz val="11"/>
        <color theme="1"/>
        <name val="Calibri"/>
        <scheme val="none"/>
      </font>
      <numFmt numFmtId="1" formatCode="0"/>
    </dxf>
  </rfmt>
  <rfmt sheetId="1" sqref="AO359" start="0" length="0">
    <dxf>
      <font>
        <sz val="11"/>
        <color theme="1"/>
        <name val="Calibri"/>
        <scheme val="none"/>
      </font>
    </dxf>
  </rfmt>
  <rfmt sheetId="1" sqref="AP359" start="0" length="0">
    <dxf>
      <font>
        <sz val="11"/>
        <color theme="1"/>
        <name val="Calibri"/>
        <scheme val="none"/>
      </font>
    </dxf>
  </rfmt>
  <rfmt sheetId="1" sqref="AQ359" start="0" length="0">
    <dxf>
      <font>
        <sz val="11"/>
        <color theme="1"/>
        <name val="Calibri"/>
        <scheme val="none"/>
      </font>
      <numFmt numFmtId="164" formatCode="_-* #,##0_-;\-* #,##0_-;_-* &quot;-&quot;??_-;_-@_-"/>
    </dxf>
  </rfmt>
  <rfmt sheetId="1" sqref="AR359" start="0" length="0">
    <dxf>
      <font>
        <sz val="11"/>
        <color theme="1"/>
        <name val="Calibri"/>
        <scheme val="none"/>
      </font>
      <numFmt numFmtId="164" formatCode="_-* #,##0_-;\-* #,##0_-;_-* &quot;-&quot;??_-;_-@_-"/>
    </dxf>
  </rfmt>
  <rfmt sheetId="1" sqref="AS359" start="0" length="0">
    <dxf>
      <font>
        <sz val="11"/>
        <color theme="1"/>
        <name val="Calibri"/>
        <scheme val="none"/>
      </font>
      <numFmt numFmtId="164" formatCode="_-* #,##0_-;\-* #,##0_-;_-* &quot;-&quot;??_-;_-@_-"/>
    </dxf>
  </rfmt>
  <rfmt sheetId="1" sqref="AT359" start="0" length="0">
    <dxf>
      <font>
        <sz val="11"/>
        <color theme="1"/>
        <name val="Calibri"/>
        <scheme val="none"/>
      </font>
      <numFmt numFmtId="164" formatCode="_-* #,##0_-;\-* #,##0_-;_-* &quot;-&quot;??_-;_-@_-"/>
    </dxf>
  </rfmt>
  <rfmt sheetId="1" sqref="AU359" start="0" length="0">
    <dxf>
      <font>
        <sz val="11"/>
        <color theme="1"/>
        <name val="Calibri"/>
        <scheme val="none"/>
      </font>
    </dxf>
  </rfmt>
  <rfmt sheetId="1" sqref="AV359" start="0" length="0">
    <dxf>
      <font>
        <sz val="11"/>
        <color theme="1"/>
        <name val="Calibri"/>
        <scheme val="none"/>
      </font>
    </dxf>
  </rfmt>
  <rfmt sheetId="1" sqref="AW359" start="0" length="0">
    <dxf>
      <font>
        <sz val="11"/>
        <color theme="1"/>
        <name val="Calibri"/>
        <scheme val="none"/>
      </font>
    </dxf>
  </rfmt>
  <rfmt sheetId="1" sqref="AX359" start="0" length="0">
    <dxf>
      <font>
        <sz val="11"/>
        <color theme="1"/>
        <name val="Calibri"/>
        <scheme val="none"/>
      </font>
    </dxf>
  </rfmt>
  <rfmt sheetId="1" sqref="AY359" start="0" length="0">
    <dxf>
      <font>
        <sz val="11"/>
        <color theme="1"/>
        <name val="Calibri"/>
        <scheme val="none"/>
      </font>
    </dxf>
  </rfmt>
  <rfmt sheetId="1" sqref="A359:XFD359" start="0" length="0">
    <dxf>
      <font>
        <sz val="11"/>
        <color theme="1"/>
        <name val="Calibri"/>
        <scheme val="none"/>
      </font>
    </dxf>
  </rfmt>
  <rfmt sheetId="1" sqref="A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6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6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60" start="0" length="0">
    <dxf>
      <font>
        <sz val="11"/>
        <color theme="1"/>
        <name val="Calibri"/>
        <scheme val="none"/>
      </font>
    </dxf>
  </rfmt>
  <rfmt sheetId="1" sqref="AM360" start="0" length="0">
    <dxf>
      <font>
        <sz val="11"/>
        <color theme="1"/>
        <name val="Calibri"/>
        <scheme val="none"/>
      </font>
      <numFmt numFmtId="1" formatCode="0"/>
    </dxf>
  </rfmt>
  <rfmt sheetId="1" sqref="AN360" start="0" length="0">
    <dxf>
      <font>
        <sz val="11"/>
        <color theme="1"/>
        <name val="Calibri"/>
        <scheme val="none"/>
      </font>
      <numFmt numFmtId="1" formatCode="0"/>
    </dxf>
  </rfmt>
  <rfmt sheetId="1" sqref="AO360" start="0" length="0">
    <dxf>
      <font>
        <sz val="11"/>
        <color theme="1"/>
        <name val="Calibri"/>
        <scheme val="none"/>
      </font>
    </dxf>
  </rfmt>
  <rfmt sheetId="1" sqref="AP360" start="0" length="0">
    <dxf>
      <font>
        <sz val="11"/>
        <color theme="1"/>
        <name val="Calibri"/>
        <scheme val="none"/>
      </font>
    </dxf>
  </rfmt>
  <rfmt sheetId="1" sqref="AQ360" start="0" length="0">
    <dxf>
      <font>
        <sz val="11"/>
        <color theme="1"/>
        <name val="Calibri"/>
        <scheme val="none"/>
      </font>
      <numFmt numFmtId="164" formatCode="_-* #,##0_-;\-* #,##0_-;_-* &quot;-&quot;??_-;_-@_-"/>
    </dxf>
  </rfmt>
  <rfmt sheetId="1" sqref="AR360" start="0" length="0">
    <dxf>
      <font>
        <sz val="11"/>
        <color theme="1"/>
        <name val="Calibri"/>
        <scheme val="none"/>
      </font>
      <numFmt numFmtId="164" formatCode="_-* #,##0_-;\-* #,##0_-;_-* &quot;-&quot;??_-;_-@_-"/>
    </dxf>
  </rfmt>
  <rfmt sheetId="1" sqref="AS360" start="0" length="0">
    <dxf>
      <font>
        <sz val="11"/>
        <color theme="1"/>
        <name val="Calibri"/>
        <scheme val="none"/>
      </font>
      <numFmt numFmtId="164" formatCode="_-* #,##0_-;\-* #,##0_-;_-* &quot;-&quot;??_-;_-@_-"/>
    </dxf>
  </rfmt>
  <rfmt sheetId="1" sqref="AT360" start="0" length="0">
    <dxf>
      <font>
        <sz val="11"/>
        <color theme="1"/>
        <name val="Calibri"/>
        <scheme val="none"/>
      </font>
      <numFmt numFmtId="164" formatCode="_-* #,##0_-;\-* #,##0_-;_-* &quot;-&quot;??_-;_-@_-"/>
    </dxf>
  </rfmt>
  <rfmt sheetId="1" sqref="AU360" start="0" length="0">
    <dxf>
      <font>
        <sz val="11"/>
        <color theme="1"/>
        <name val="Calibri"/>
        <scheme val="none"/>
      </font>
    </dxf>
  </rfmt>
  <rfmt sheetId="1" sqref="AV360" start="0" length="0">
    <dxf>
      <font>
        <sz val="11"/>
        <color theme="1"/>
        <name val="Calibri"/>
        <scheme val="none"/>
      </font>
    </dxf>
  </rfmt>
  <rfmt sheetId="1" sqref="AW360" start="0" length="0">
    <dxf>
      <font>
        <sz val="11"/>
        <color theme="1"/>
        <name val="Calibri"/>
        <scheme val="none"/>
      </font>
    </dxf>
  </rfmt>
  <rfmt sheetId="1" sqref="AX360" start="0" length="0">
    <dxf>
      <font>
        <sz val="11"/>
        <color theme="1"/>
        <name val="Calibri"/>
        <scheme val="none"/>
      </font>
    </dxf>
  </rfmt>
  <rfmt sheetId="1" sqref="AY360" start="0" length="0">
    <dxf>
      <font>
        <sz val="11"/>
        <color theme="1"/>
        <name val="Calibri"/>
        <scheme val="none"/>
      </font>
    </dxf>
  </rfmt>
  <rfmt sheetId="1" sqref="A360:XFD360" start="0" length="0">
    <dxf>
      <font>
        <sz val="11"/>
        <color theme="1"/>
        <name val="Calibri"/>
        <scheme val="none"/>
      </font>
    </dxf>
  </rfmt>
  <rfmt sheetId="1" sqref="A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6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6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61" start="0" length="0">
    <dxf>
      <font>
        <sz val="11"/>
        <color theme="1"/>
        <name val="Calibri"/>
        <scheme val="none"/>
      </font>
    </dxf>
  </rfmt>
  <rfmt sheetId="1" sqref="AM361" start="0" length="0">
    <dxf>
      <font>
        <sz val="11"/>
        <color theme="1"/>
        <name val="Calibri"/>
        <scheme val="none"/>
      </font>
      <numFmt numFmtId="1" formatCode="0"/>
    </dxf>
  </rfmt>
  <rfmt sheetId="1" sqref="AN361" start="0" length="0">
    <dxf>
      <font>
        <sz val="11"/>
        <color theme="1"/>
        <name val="Calibri"/>
        <scheme val="none"/>
      </font>
      <numFmt numFmtId="1" formatCode="0"/>
    </dxf>
  </rfmt>
  <rfmt sheetId="1" sqref="AO361" start="0" length="0">
    <dxf>
      <font>
        <sz val="11"/>
        <color theme="1"/>
        <name val="Calibri"/>
        <scheme val="none"/>
      </font>
    </dxf>
  </rfmt>
  <rfmt sheetId="1" sqref="AP361" start="0" length="0">
    <dxf>
      <font>
        <sz val="11"/>
        <color theme="1"/>
        <name val="Calibri"/>
        <scheme val="none"/>
      </font>
    </dxf>
  </rfmt>
  <rfmt sheetId="1" sqref="AQ361" start="0" length="0">
    <dxf>
      <font>
        <sz val="11"/>
        <color theme="1"/>
        <name val="Calibri"/>
        <scheme val="none"/>
      </font>
      <numFmt numFmtId="164" formatCode="_-* #,##0_-;\-* #,##0_-;_-* &quot;-&quot;??_-;_-@_-"/>
    </dxf>
  </rfmt>
  <rfmt sheetId="1" sqref="AR361" start="0" length="0">
    <dxf>
      <font>
        <sz val="11"/>
        <color theme="1"/>
        <name val="Calibri"/>
        <scheme val="none"/>
      </font>
      <numFmt numFmtId="164" formatCode="_-* #,##0_-;\-* #,##0_-;_-* &quot;-&quot;??_-;_-@_-"/>
    </dxf>
  </rfmt>
  <rfmt sheetId="1" sqref="AS361" start="0" length="0">
    <dxf>
      <font>
        <sz val="11"/>
        <color theme="1"/>
        <name val="Calibri"/>
        <scheme val="none"/>
      </font>
      <numFmt numFmtId="164" formatCode="_-* #,##0_-;\-* #,##0_-;_-* &quot;-&quot;??_-;_-@_-"/>
    </dxf>
  </rfmt>
  <rfmt sheetId="1" sqref="AT361" start="0" length="0">
    <dxf>
      <font>
        <sz val="11"/>
        <color theme="1"/>
        <name val="Calibri"/>
        <scheme val="none"/>
      </font>
      <numFmt numFmtId="164" formatCode="_-* #,##0_-;\-* #,##0_-;_-* &quot;-&quot;??_-;_-@_-"/>
    </dxf>
  </rfmt>
  <rfmt sheetId="1" sqref="AU361" start="0" length="0">
    <dxf>
      <font>
        <sz val="11"/>
        <color theme="1"/>
        <name val="Calibri"/>
        <scheme val="none"/>
      </font>
    </dxf>
  </rfmt>
  <rfmt sheetId="1" sqref="AV361" start="0" length="0">
    <dxf>
      <font>
        <sz val="11"/>
        <color theme="1"/>
        <name val="Calibri"/>
        <scheme val="none"/>
      </font>
    </dxf>
  </rfmt>
  <rfmt sheetId="1" sqref="AW361" start="0" length="0">
    <dxf>
      <font>
        <sz val="11"/>
        <color theme="1"/>
        <name val="Calibri"/>
        <scheme val="none"/>
      </font>
    </dxf>
  </rfmt>
  <rfmt sheetId="1" sqref="AX361" start="0" length="0">
    <dxf>
      <font>
        <sz val="11"/>
        <color theme="1"/>
        <name val="Calibri"/>
        <scheme val="none"/>
      </font>
    </dxf>
  </rfmt>
  <rfmt sheetId="1" sqref="AY361" start="0" length="0">
    <dxf>
      <font>
        <sz val="11"/>
        <color theme="1"/>
        <name val="Calibri"/>
        <scheme val="none"/>
      </font>
    </dxf>
  </rfmt>
  <rfmt sheetId="1" sqref="A361:XFD361" start="0" length="0">
    <dxf>
      <font>
        <sz val="11"/>
        <color theme="1"/>
        <name val="Calibri"/>
        <scheme val="none"/>
      </font>
    </dxf>
  </rfmt>
  <rfmt sheetId="1" sqref="A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6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6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62" start="0" length="0">
    <dxf>
      <font>
        <sz val="11"/>
        <color theme="1"/>
        <name val="Calibri"/>
        <scheme val="none"/>
      </font>
    </dxf>
  </rfmt>
  <rfmt sheetId="1" sqref="AM362" start="0" length="0">
    <dxf>
      <font>
        <sz val="11"/>
        <color theme="1"/>
        <name val="Calibri"/>
        <scheme val="none"/>
      </font>
      <numFmt numFmtId="1" formatCode="0"/>
    </dxf>
  </rfmt>
  <rfmt sheetId="1" sqref="AN362" start="0" length="0">
    <dxf>
      <font>
        <sz val="11"/>
        <color theme="1"/>
        <name val="Calibri"/>
        <scheme val="none"/>
      </font>
      <numFmt numFmtId="1" formatCode="0"/>
    </dxf>
  </rfmt>
  <rfmt sheetId="1" sqref="AO362" start="0" length="0">
    <dxf>
      <font>
        <sz val="11"/>
        <color theme="1"/>
        <name val="Calibri"/>
        <scheme val="none"/>
      </font>
    </dxf>
  </rfmt>
  <rfmt sheetId="1" sqref="AP362" start="0" length="0">
    <dxf>
      <font>
        <sz val="11"/>
        <color theme="1"/>
        <name val="Calibri"/>
        <scheme val="none"/>
      </font>
    </dxf>
  </rfmt>
  <rfmt sheetId="1" sqref="AQ362" start="0" length="0">
    <dxf>
      <font>
        <sz val="11"/>
        <color theme="1"/>
        <name val="Calibri"/>
        <scheme val="none"/>
      </font>
      <numFmt numFmtId="164" formatCode="_-* #,##0_-;\-* #,##0_-;_-* &quot;-&quot;??_-;_-@_-"/>
    </dxf>
  </rfmt>
  <rfmt sheetId="1" sqref="AR362" start="0" length="0">
    <dxf>
      <font>
        <sz val="11"/>
        <color theme="1"/>
        <name val="Calibri"/>
        <scheme val="none"/>
      </font>
      <numFmt numFmtId="164" formatCode="_-* #,##0_-;\-* #,##0_-;_-* &quot;-&quot;??_-;_-@_-"/>
    </dxf>
  </rfmt>
  <rfmt sheetId="1" sqref="AS362" start="0" length="0">
    <dxf>
      <font>
        <sz val="11"/>
        <color theme="1"/>
        <name val="Calibri"/>
        <scheme val="none"/>
      </font>
      <numFmt numFmtId="164" formatCode="_-* #,##0_-;\-* #,##0_-;_-* &quot;-&quot;??_-;_-@_-"/>
    </dxf>
  </rfmt>
  <rfmt sheetId="1" sqref="AT362" start="0" length="0">
    <dxf>
      <font>
        <sz val="11"/>
        <color theme="1"/>
        <name val="Calibri"/>
        <scheme val="none"/>
      </font>
      <numFmt numFmtId="164" formatCode="_-* #,##0_-;\-* #,##0_-;_-* &quot;-&quot;??_-;_-@_-"/>
    </dxf>
  </rfmt>
  <rfmt sheetId="1" sqref="AU362" start="0" length="0">
    <dxf>
      <font>
        <sz val="11"/>
        <color theme="1"/>
        <name val="Calibri"/>
        <scheme val="none"/>
      </font>
    </dxf>
  </rfmt>
  <rfmt sheetId="1" sqref="AV362" start="0" length="0">
    <dxf>
      <font>
        <sz val="11"/>
        <color theme="1"/>
        <name val="Calibri"/>
        <scheme val="none"/>
      </font>
    </dxf>
  </rfmt>
  <rfmt sheetId="1" sqref="AW362" start="0" length="0">
    <dxf>
      <font>
        <sz val="11"/>
        <color theme="1"/>
        <name val="Calibri"/>
        <scheme val="none"/>
      </font>
    </dxf>
  </rfmt>
  <rfmt sheetId="1" sqref="AX362" start="0" length="0">
    <dxf>
      <font>
        <sz val="11"/>
        <color theme="1"/>
        <name val="Calibri"/>
        <scheme val="none"/>
      </font>
    </dxf>
  </rfmt>
  <rfmt sheetId="1" sqref="AY362" start="0" length="0">
    <dxf>
      <font>
        <sz val="11"/>
        <color theme="1"/>
        <name val="Calibri"/>
        <scheme val="none"/>
      </font>
    </dxf>
  </rfmt>
  <rfmt sheetId="1" sqref="A362:XFD362" start="0" length="0">
    <dxf>
      <font>
        <sz val="11"/>
        <color theme="1"/>
        <name val="Calibri"/>
        <scheme val="none"/>
      </font>
    </dxf>
  </rfmt>
  <rfmt sheetId="1" sqref="A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6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6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63" start="0" length="0">
    <dxf>
      <font>
        <sz val="11"/>
        <color theme="1"/>
        <name val="Calibri"/>
        <scheme val="none"/>
      </font>
    </dxf>
  </rfmt>
  <rfmt sheetId="1" sqref="AM363" start="0" length="0">
    <dxf>
      <font>
        <sz val="11"/>
        <color theme="1"/>
        <name val="Calibri"/>
        <scheme val="none"/>
      </font>
      <numFmt numFmtId="1" formatCode="0"/>
    </dxf>
  </rfmt>
  <rfmt sheetId="1" sqref="AN363" start="0" length="0">
    <dxf>
      <font>
        <sz val="11"/>
        <color theme="1"/>
        <name val="Calibri"/>
        <scheme val="none"/>
      </font>
      <numFmt numFmtId="1" formatCode="0"/>
    </dxf>
  </rfmt>
  <rfmt sheetId="1" sqref="AO363" start="0" length="0">
    <dxf>
      <font>
        <sz val="11"/>
        <color theme="1"/>
        <name val="Calibri"/>
        <scheme val="none"/>
      </font>
    </dxf>
  </rfmt>
  <rfmt sheetId="1" sqref="AP363" start="0" length="0">
    <dxf>
      <font>
        <sz val="11"/>
        <color theme="1"/>
        <name val="Calibri"/>
        <scheme val="none"/>
      </font>
    </dxf>
  </rfmt>
  <rfmt sheetId="1" sqref="AQ363" start="0" length="0">
    <dxf>
      <font>
        <sz val="11"/>
        <color theme="1"/>
        <name val="Calibri"/>
        <scheme val="none"/>
      </font>
      <numFmt numFmtId="164" formatCode="_-* #,##0_-;\-* #,##0_-;_-* &quot;-&quot;??_-;_-@_-"/>
    </dxf>
  </rfmt>
  <rfmt sheetId="1" sqref="AR363" start="0" length="0">
    <dxf>
      <font>
        <sz val="11"/>
        <color theme="1"/>
        <name val="Calibri"/>
        <scheme val="none"/>
      </font>
      <numFmt numFmtId="164" formatCode="_-* #,##0_-;\-* #,##0_-;_-* &quot;-&quot;??_-;_-@_-"/>
    </dxf>
  </rfmt>
  <rfmt sheetId="1" sqref="AS363" start="0" length="0">
    <dxf>
      <font>
        <sz val="11"/>
        <color theme="1"/>
        <name val="Calibri"/>
        <scheme val="none"/>
      </font>
      <numFmt numFmtId="164" formatCode="_-* #,##0_-;\-* #,##0_-;_-* &quot;-&quot;??_-;_-@_-"/>
    </dxf>
  </rfmt>
  <rfmt sheetId="1" sqref="AT363" start="0" length="0">
    <dxf>
      <font>
        <sz val="11"/>
        <color theme="1"/>
        <name val="Calibri"/>
        <scheme val="none"/>
      </font>
      <numFmt numFmtId="164" formatCode="_-* #,##0_-;\-* #,##0_-;_-* &quot;-&quot;??_-;_-@_-"/>
    </dxf>
  </rfmt>
  <rfmt sheetId="1" sqref="AU363" start="0" length="0">
    <dxf>
      <font>
        <sz val="11"/>
        <color theme="1"/>
        <name val="Calibri"/>
        <scheme val="none"/>
      </font>
    </dxf>
  </rfmt>
  <rfmt sheetId="1" sqref="AV363" start="0" length="0">
    <dxf>
      <font>
        <sz val="11"/>
        <color theme="1"/>
        <name val="Calibri"/>
        <scheme val="none"/>
      </font>
    </dxf>
  </rfmt>
  <rfmt sheetId="1" sqref="AW363" start="0" length="0">
    <dxf>
      <font>
        <sz val="11"/>
        <color theme="1"/>
        <name val="Calibri"/>
        <scheme val="none"/>
      </font>
    </dxf>
  </rfmt>
  <rfmt sheetId="1" sqref="AX363" start="0" length="0">
    <dxf>
      <font>
        <sz val="11"/>
        <color theme="1"/>
        <name val="Calibri"/>
        <scheme val="none"/>
      </font>
    </dxf>
  </rfmt>
  <rfmt sheetId="1" sqref="AY363" start="0" length="0">
    <dxf>
      <font>
        <sz val="11"/>
        <color theme="1"/>
        <name val="Calibri"/>
        <scheme val="none"/>
      </font>
    </dxf>
  </rfmt>
  <rfmt sheetId="1" sqref="A363:XFD363" start="0" length="0">
    <dxf>
      <font>
        <sz val="11"/>
        <color theme="1"/>
        <name val="Calibri"/>
        <scheme val="none"/>
      </font>
    </dxf>
  </rfmt>
  <rfmt sheetId="1" sqref="A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6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6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64" start="0" length="0">
    <dxf>
      <font>
        <sz val="11"/>
        <color theme="1"/>
        <name val="Calibri"/>
        <scheme val="none"/>
      </font>
    </dxf>
  </rfmt>
  <rfmt sheetId="1" sqref="AM364" start="0" length="0">
    <dxf>
      <font>
        <sz val="11"/>
        <color theme="1"/>
        <name val="Calibri"/>
        <scheme val="none"/>
      </font>
      <numFmt numFmtId="1" formatCode="0"/>
    </dxf>
  </rfmt>
  <rfmt sheetId="1" sqref="AN364" start="0" length="0">
    <dxf>
      <font>
        <sz val="11"/>
        <color theme="1"/>
        <name val="Calibri"/>
        <scheme val="none"/>
      </font>
      <numFmt numFmtId="1" formatCode="0"/>
    </dxf>
  </rfmt>
  <rfmt sheetId="1" sqref="AO364" start="0" length="0">
    <dxf>
      <font>
        <sz val="11"/>
        <color theme="1"/>
        <name val="Calibri"/>
        <scheme val="none"/>
      </font>
    </dxf>
  </rfmt>
  <rfmt sheetId="1" sqref="AP364" start="0" length="0">
    <dxf>
      <font>
        <sz val="11"/>
        <color theme="1"/>
        <name val="Calibri"/>
        <scheme val="none"/>
      </font>
    </dxf>
  </rfmt>
  <rfmt sheetId="1" sqref="AQ364" start="0" length="0">
    <dxf>
      <font>
        <sz val="11"/>
        <color theme="1"/>
        <name val="Calibri"/>
        <scheme val="none"/>
      </font>
      <numFmt numFmtId="164" formatCode="_-* #,##0_-;\-* #,##0_-;_-* &quot;-&quot;??_-;_-@_-"/>
    </dxf>
  </rfmt>
  <rfmt sheetId="1" sqref="AR364" start="0" length="0">
    <dxf>
      <font>
        <sz val="11"/>
        <color theme="1"/>
        <name val="Calibri"/>
        <scheme val="none"/>
      </font>
      <numFmt numFmtId="164" formatCode="_-* #,##0_-;\-* #,##0_-;_-* &quot;-&quot;??_-;_-@_-"/>
    </dxf>
  </rfmt>
  <rfmt sheetId="1" sqref="AS364" start="0" length="0">
    <dxf>
      <font>
        <sz val="11"/>
        <color theme="1"/>
        <name val="Calibri"/>
        <scheme val="none"/>
      </font>
      <numFmt numFmtId="164" formatCode="_-* #,##0_-;\-* #,##0_-;_-* &quot;-&quot;??_-;_-@_-"/>
    </dxf>
  </rfmt>
  <rfmt sheetId="1" sqref="AT364" start="0" length="0">
    <dxf>
      <font>
        <sz val="11"/>
        <color theme="1"/>
        <name val="Calibri"/>
        <scheme val="none"/>
      </font>
      <numFmt numFmtId="164" formatCode="_-* #,##0_-;\-* #,##0_-;_-* &quot;-&quot;??_-;_-@_-"/>
    </dxf>
  </rfmt>
  <rfmt sheetId="1" sqref="AU364" start="0" length="0">
    <dxf>
      <font>
        <sz val="11"/>
        <color theme="1"/>
        <name val="Calibri"/>
        <scheme val="none"/>
      </font>
    </dxf>
  </rfmt>
  <rfmt sheetId="1" sqref="AV364" start="0" length="0">
    <dxf>
      <font>
        <sz val="11"/>
        <color theme="1"/>
        <name val="Calibri"/>
        <scheme val="none"/>
      </font>
    </dxf>
  </rfmt>
  <rfmt sheetId="1" sqref="AW364" start="0" length="0">
    <dxf>
      <font>
        <sz val="11"/>
        <color theme="1"/>
        <name val="Calibri"/>
        <scheme val="none"/>
      </font>
    </dxf>
  </rfmt>
  <rfmt sheetId="1" sqref="AX364" start="0" length="0">
    <dxf>
      <font>
        <sz val="11"/>
        <color theme="1"/>
        <name val="Calibri"/>
        <scheme val="none"/>
      </font>
    </dxf>
  </rfmt>
  <rfmt sheetId="1" sqref="AY364" start="0" length="0">
    <dxf>
      <font>
        <sz val="11"/>
        <color theme="1"/>
        <name val="Calibri"/>
        <scheme val="none"/>
      </font>
    </dxf>
  </rfmt>
  <rfmt sheetId="1" sqref="A364:XFD364" start="0" length="0">
    <dxf>
      <font>
        <sz val="11"/>
        <color theme="1"/>
        <name val="Calibri"/>
        <scheme val="none"/>
      </font>
    </dxf>
  </rfmt>
  <rfmt sheetId="1" sqref="A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6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6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65" start="0" length="0">
    <dxf>
      <font>
        <sz val="11"/>
        <color theme="1"/>
        <name val="Calibri"/>
        <scheme val="none"/>
      </font>
    </dxf>
  </rfmt>
  <rfmt sheetId="1" sqref="AM365" start="0" length="0">
    <dxf>
      <font>
        <sz val="11"/>
        <color theme="1"/>
        <name val="Calibri"/>
        <scheme val="none"/>
      </font>
      <numFmt numFmtId="1" formatCode="0"/>
    </dxf>
  </rfmt>
  <rfmt sheetId="1" sqref="AN365" start="0" length="0">
    <dxf>
      <font>
        <sz val="11"/>
        <color theme="1"/>
        <name val="Calibri"/>
        <scheme val="none"/>
      </font>
      <numFmt numFmtId="1" formatCode="0"/>
    </dxf>
  </rfmt>
  <rfmt sheetId="1" sqref="AO365" start="0" length="0">
    <dxf>
      <font>
        <sz val="11"/>
        <color theme="1"/>
        <name val="Calibri"/>
        <scheme val="none"/>
      </font>
    </dxf>
  </rfmt>
  <rfmt sheetId="1" sqref="AP365" start="0" length="0">
    <dxf>
      <font>
        <sz val="11"/>
        <color theme="1"/>
        <name val="Calibri"/>
        <scheme val="none"/>
      </font>
    </dxf>
  </rfmt>
  <rfmt sheetId="1" sqref="AQ365" start="0" length="0">
    <dxf>
      <font>
        <sz val="11"/>
        <color theme="1"/>
        <name val="Calibri"/>
        <scheme val="none"/>
      </font>
      <numFmt numFmtId="164" formatCode="_-* #,##0_-;\-* #,##0_-;_-* &quot;-&quot;??_-;_-@_-"/>
    </dxf>
  </rfmt>
  <rfmt sheetId="1" sqref="AR365" start="0" length="0">
    <dxf>
      <font>
        <sz val="11"/>
        <color theme="1"/>
        <name val="Calibri"/>
        <scheme val="none"/>
      </font>
      <numFmt numFmtId="164" formatCode="_-* #,##0_-;\-* #,##0_-;_-* &quot;-&quot;??_-;_-@_-"/>
    </dxf>
  </rfmt>
  <rfmt sheetId="1" sqref="AS365" start="0" length="0">
    <dxf>
      <font>
        <sz val="11"/>
        <color theme="1"/>
        <name val="Calibri"/>
        <scheme val="none"/>
      </font>
      <numFmt numFmtId="164" formatCode="_-* #,##0_-;\-* #,##0_-;_-* &quot;-&quot;??_-;_-@_-"/>
    </dxf>
  </rfmt>
  <rfmt sheetId="1" sqref="AT365" start="0" length="0">
    <dxf>
      <font>
        <sz val="11"/>
        <color theme="1"/>
        <name val="Calibri"/>
        <scheme val="none"/>
      </font>
      <numFmt numFmtId="164" formatCode="_-* #,##0_-;\-* #,##0_-;_-* &quot;-&quot;??_-;_-@_-"/>
    </dxf>
  </rfmt>
  <rfmt sheetId="1" sqref="AU365" start="0" length="0">
    <dxf>
      <font>
        <sz val="11"/>
        <color theme="1"/>
        <name val="Calibri"/>
        <scheme val="none"/>
      </font>
    </dxf>
  </rfmt>
  <rfmt sheetId="1" sqref="AV365" start="0" length="0">
    <dxf>
      <font>
        <sz val="11"/>
        <color theme="1"/>
        <name val="Calibri"/>
        <scheme val="none"/>
      </font>
    </dxf>
  </rfmt>
  <rfmt sheetId="1" sqref="AW365" start="0" length="0">
    <dxf>
      <font>
        <sz val="11"/>
        <color theme="1"/>
        <name val="Calibri"/>
        <scheme val="none"/>
      </font>
    </dxf>
  </rfmt>
  <rfmt sheetId="1" sqref="AX365" start="0" length="0">
    <dxf>
      <font>
        <sz val="11"/>
        <color theme="1"/>
        <name val="Calibri"/>
        <scheme val="none"/>
      </font>
    </dxf>
  </rfmt>
  <rfmt sheetId="1" sqref="AY365" start="0" length="0">
    <dxf>
      <font>
        <sz val="11"/>
        <color theme="1"/>
        <name val="Calibri"/>
        <scheme val="none"/>
      </font>
    </dxf>
  </rfmt>
  <rfmt sheetId="1" sqref="A365:XFD365" start="0" length="0">
    <dxf>
      <font>
        <sz val="11"/>
        <color theme="1"/>
        <name val="Calibri"/>
        <scheme val="none"/>
      </font>
    </dxf>
  </rfmt>
  <rfmt sheetId="1" sqref="A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6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6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66" start="0" length="0">
    <dxf>
      <font>
        <sz val="11"/>
        <color theme="1"/>
        <name val="Calibri"/>
        <scheme val="none"/>
      </font>
    </dxf>
  </rfmt>
  <rfmt sheetId="1" sqref="AM366" start="0" length="0">
    <dxf>
      <font>
        <sz val="11"/>
        <color theme="1"/>
        <name val="Calibri"/>
        <scheme val="none"/>
      </font>
      <numFmt numFmtId="1" formatCode="0"/>
    </dxf>
  </rfmt>
  <rfmt sheetId="1" sqref="AN366" start="0" length="0">
    <dxf>
      <font>
        <sz val="11"/>
        <color theme="1"/>
        <name val="Calibri"/>
        <scheme val="none"/>
      </font>
      <numFmt numFmtId="1" formatCode="0"/>
    </dxf>
  </rfmt>
  <rfmt sheetId="1" sqref="AO366" start="0" length="0">
    <dxf>
      <font>
        <sz val="11"/>
        <color theme="1"/>
        <name val="Calibri"/>
        <scheme val="none"/>
      </font>
    </dxf>
  </rfmt>
  <rfmt sheetId="1" sqref="AP366" start="0" length="0">
    <dxf>
      <font>
        <sz val="11"/>
        <color theme="1"/>
        <name val="Calibri"/>
        <scheme val="none"/>
      </font>
    </dxf>
  </rfmt>
  <rfmt sheetId="1" sqref="AQ366" start="0" length="0">
    <dxf>
      <font>
        <sz val="11"/>
        <color theme="1"/>
        <name val="Calibri"/>
        <scheme val="none"/>
      </font>
      <numFmt numFmtId="164" formatCode="_-* #,##0_-;\-* #,##0_-;_-* &quot;-&quot;??_-;_-@_-"/>
    </dxf>
  </rfmt>
  <rfmt sheetId="1" sqref="AR366" start="0" length="0">
    <dxf>
      <font>
        <sz val="11"/>
        <color theme="1"/>
        <name val="Calibri"/>
        <scheme val="none"/>
      </font>
      <numFmt numFmtId="164" formatCode="_-* #,##0_-;\-* #,##0_-;_-* &quot;-&quot;??_-;_-@_-"/>
    </dxf>
  </rfmt>
  <rfmt sheetId="1" sqref="AS366" start="0" length="0">
    <dxf>
      <font>
        <sz val="11"/>
        <color theme="1"/>
        <name val="Calibri"/>
        <scheme val="none"/>
      </font>
      <numFmt numFmtId="164" formatCode="_-* #,##0_-;\-* #,##0_-;_-* &quot;-&quot;??_-;_-@_-"/>
    </dxf>
  </rfmt>
  <rfmt sheetId="1" sqref="AT366" start="0" length="0">
    <dxf>
      <font>
        <sz val="11"/>
        <color theme="1"/>
        <name val="Calibri"/>
        <scheme val="none"/>
      </font>
      <numFmt numFmtId="164" formatCode="_-* #,##0_-;\-* #,##0_-;_-* &quot;-&quot;??_-;_-@_-"/>
    </dxf>
  </rfmt>
  <rfmt sheetId="1" sqref="AU366" start="0" length="0">
    <dxf>
      <font>
        <sz val="11"/>
        <color theme="1"/>
        <name val="Calibri"/>
        <scheme val="none"/>
      </font>
    </dxf>
  </rfmt>
  <rfmt sheetId="1" sqref="AV366" start="0" length="0">
    <dxf>
      <font>
        <sz val="11"/>
        <color theme="1"/>
        <name val="Calibri"/>
        <scheme val="none"/>
      </font>
    </dxf>
  </rfmt>
  <rfmt sheetId="1" sqref="AW366" start="0" length="0">
    <dxf>
      <font>
        <sz val="11"/>
        <color theme="1"/>
        <name val="Calibri"/>
        <scheme val="none"/>
      </font>
    </dxf>
  </rfmt>
  <rfmt sheetId="1" sqref="AX366" start="0" length="0">
    <dxf>
      <font>
        <sz val="11"/>
        <color theme="1"/>
        <name val="Calibri"/>
        <scheme val="none"/>
      </font>
    </dxf>
  </rfmt>
  <rfmt sheetId="1" sqref="AY366" start="0" length="0">
    <dxf>
      <font>
        <sz val="11"/>
        <color theme="1"/>
        <name val="Calibri"/>
        <scheme val="none"/>
      </font>
    </dxf>
  </rfmt>
  <rfmt sheetId="1" sqref="A366:XFD366" start="0" length="0">
    <dxf>
      <font>
        <sz val="11"/>
        <color theme="1"/>
        <name val="Calibri"/>
        <scheme val="none"/>
      </font>
    </dxf>
  </rfmt>
  <rfmt sheetId="1" sqref="A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6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6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67" start="0" length="0">
    <dxf>
      <font>
        <sz val="11"/>
        <color theme="1"/>
        <name val="Calibri"/>
        <scheme val="none"/>
      </font>
    </dxf>
  </rfmt>
  <rfmt sheetId="1" sqref="AM367" start="0" length="0">
    <dxf>
      <font>
        <sz val="11"/>
        <color theme="1"/>
        <name val="Calibri"/>
        <scheme val="none"/>
      </font>
      <numFmt numFmtId="1" formatCode="0"/>
    </dxf>
  </rfmt>
  <rfmt sheetId="1" sqref="AN367" start="0" length="0">
    <dxf>
      <font>
        <sz val="11"/>
        <color theme="1"/>
        <name val="Calibri"/>
        <scheme val="none"/>
      </font>
      <numFmt numFmtId="1" formatCode="0"/>
    </dxf>
  </rfmt>
  <rfmt sheetId="1" sqref="AO367" start="0" length="0">
    <dxf>
      <font>
        <sz val="11"/>
        <color theme="1"/>
        <name val="Calibri"/>
        <scheme val="none"/>
      </font>
    </dxf>
  </rfmt>
  <rfmt sheetId="1" sqref="AP367" start="0" length="0">
    <dxf>
      <font>
        <sz val="11"/>
        <color theme="1"/>
        <name val="Calibri"/>
        <scheme val="none"/>
      </font>
    </dxf>
  </rfmt>
  <rfmt sheetId="1" sqref="AQ367" start="0" length="0">
    <dxf>
      <font>
        <sz val="11"/>
        <color theme="1"/>
        <name val="Calibri"/>
        <scheme val="none"/>
      </font>
      <numFmt numFmtId="164" formatCode="_-* #,##0_-;\-* #,##0_-;_-* &quot;-&quot;??_-;_-@_-"/>
    </dxf>
  </rfmt>
  <rfmt sheetId="1" sqref="AR367" start="0" length="0">
    <dxf>
      <font>
        <sz val="11"/>
        <color theme="1"/>
        <name val="Calibri"/>
        <scheme val="none"/>
      </font>
      <numFmt numFmtId="164" formatCode="_-* #,##0_-;\-* #,##0_-;_-* &quot;-&quot;??_-;_-@_-"/>
    </dxf>
  </rfmt>
  <rfmt sheetId="1" sqref="AS367" start="0" length="0">
    <dxf>
      <font>
        <sz val="11"/>
        <color theme="1"/>
        <name val="Calibri"/>
        <scheme val="none"/>
      </font>
      <numFmt numFmtId="164" formatCode="_-* #,##0_-;\-* #,##0_-;_-* &quot;-&quot;??_-;_-@_-"/>
    </dxf>
  </rfmt>
  <rfmt sheetId="1" sqref="AT367" start="0" length="0">
    <dxf>
      <font>
        <sz val="11"/>
        <color theme="1"/>
        <name val="Calibri"/>
        <scheme val="none"/>
      </font>
      <numFmt numFmtId="164" formatCode="_-* #,##0_-;\-* #,##0_-;_-* &quot;-&quot;??_-;_-@_-"/>
    </dxf>
  </rfmt>
  <rfmt sheetId="1" sqref="AU367" start="0" length="0">
    <dxf>
      <font>
        <sz val="11"/>
        <color theme="1"/>
        <name val="Calibri"/>
        <scheme val="none"/>
      </font>
    </dxf>
  </rfmt>
  <rfmt sheetId="1" sqref="AV367" start="0" length="0">
    <dxf>
      <font>
        <sz val="11"/>
        <color theme="1"/>
        <name val="Calibri"/>
        <scheme val="none"/>
      </font>
    </dxf>
  </rfmt>
  <rfmt sheetId="1" sqref="AW367" start="0" length="0">
    <dxf>
      <font>
        <sz val="11"/>
        <color theme="1"/>
        <name val="Calibri"/>
        <scheme val="none"/>
      </font>
    </dxf>
  </rfmt>
  <rfmt sheetId="1" sqref="AX367" start="0" length="0">
    <dxf>
      <font>
        <sz val="11"/>
        <color theme="1"/>
        <name val="Calibri"/>
        <scheme val="none"/>
      </font>
    </dxf>
  </rfmt>
  <rfmt sheetId="1" sqref="AY367" start="0" length="0">
    <dxf>
      <font>
        <sz val="11"/>
        <color theme="1"/>
        <name val="Calibri"/>
        <scheme val="none"/>
      </font>
    </dxf>
  </rfmt>
  <rfmt sheetId="1" sqref="A367:XFD367" start="0" length="0">
    <dxf>
      <font>
        <sz val="11"/>
        <color theme="1"/>
        <name val="Calibri"/>
        <scheme val="none"/>
      </font>
    </dxf>
  </rfmt>
  <rfmt sheetId="1" sqref="A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6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6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68" start="0" length="0">
    <dxf>
      <font>
        <sz val="11"/>
        <color theme="1"/>
        <name val="Calibri"/>
        <scheme val="none"/>
      </font>
    </dxf>
  </rfmt>
  <rfmt sheetId="1" sqref="AM368" start="0" length="0">
    <dxf>
      <font>
        <sz val="11"/>
        <color theme="1"/>
        <name val="Calibri"/>
        <scheme val="none"/>
      </font>
      <numFmt numFmtId="1" formatCode="0"/>
    </dxf>
  </rfmt>
  <rfmt sheetId="1" sqref="AN368" start="0" length="0">
    <dxf>
      <font>
        <sz val="11"/>
        <color theme="1"/>
        <name val="Calibri"/>
        <scheme val="none"/>
      </font>
      <numFmt numFmtId="1" formatCode="0"/>
    </dxf>
  </rfmt>
  <rfmt sheetId="1" sqref="AO368" start="0" length="0">
    <dxf>
      <font>
        <sz val="11"/>
        <color theme="1"/>
        <name val="Calibri"/>
        <scheme val="none"/>
      </font>
    </dxf>
  </rfmt>
  <rfmt sheetId="1" sqref="AP368" start="0" length="0">
    <dxf>
      <font>
        <sz val="11"/>
        <color theme="1"/>
        <name val="Calibri"/>
        <scheme val="none"/>
      </font>
    </dxf>
  </rfmt>
  <rfmt sheetId="1" sqref="AQ368" start="0" length="0">
    <dxf>
      <font>
        <sz val="11"/>
        <color theme="1"/>
        <name val="Calibri"/>
        <scheme val="none"/>
      </font>
      <numFmt numFmtId="164" formatCode="_-* #,##0_-;\-* #,##0_-;_-* &quot;-&quot;??_-;_-@_-"/>
    </dxf>
  </rfmt>
  <rfmt sheetId="1" sqref="AR368" start="0" length="0">
    <dxf>
      <font>
        <sz val="11"/>
        <color theme="1"/>
        <name val="Calibri"/>
        <scheme val="none"/>
      </font>
      <numFmt numFmtId="164" formatCode="_-* #,##0_-;\-* #,##0_-;_-* &quot;-&quot;??_-;_-@_-"/>
    </dxf>
  </rfmt>
  <rfmt sheetId="1" sqref="AS368" start="0" length="0">
    <dxf>
      <font>
        <sz val="11"/>
        <color theme="1"/>
        <name val="Calibri"/>
        <scheme val="none"/>
      </font>
      <numFmt numFmtId="164" formatCode="_-* #,##0_-;\-* #,##0_-;_-* &quot;-&quot;??_-;_-@_-"/>
    </dxf>
  </rfmt>
  <rfmt sheetId="1" sqref="AT368" start="0" length="0">
    <dxf>
      <font>
        <sz val="11"/>
        <color theme="1"/>
        <name val="Calibri"/>
        <scheme val="none"/>
      </font>
      <numFmt numFmtId="164" formatCode="_-* #,##0_-;\-* #,##0_-;_-* &quot;-&quot;??_-;_-@_-"/>
    </dxf>
  </rfmt>
  <rfmt sheetId="1" sqref="AU368" start="0" length="0">
    <dxf>
      <font>
        <sz val="11"/>
        <color theme="1"/>
        <name val="Calibri"/>
        <scheme val="none"/>
      </font>
    </dxf>
  </rfmt>
  <rfmt sheetId="1" sqref="AV368" start="0" length="0">
    <dxf>
      <font>
        <sz val="11"/>
        <color theme="1"/>
        <name val="Calibri"/>
        <scheme val="none"/>
      </font>
    </dxf>
  </rfmt>
  <rfmt sheetId="1" sqref="AW368" start="0" length="0">
    <dxf>
      <font>
        <sz val="11"/>
        <color theme="1"/>
        <name val="Calibri"/>
        <scheme val="none"/>
      </font>
    </dxf>
  </rfmt>
  <rfmt sheetId="1" sqref="AX368" start="0" length="0">
    <dxf>
      <font>
        <sz val="11"/>
        <color theme="1"/>
        <name val="Calibri"/>
        <scheme val="none"/>
      </font>
    </dxf>
  </rfmt>
  <rfmt sheetId="1" sqref="AY368" start="0" length="0">
    <dxf>
      <font>
        <sz val="11"/>
        <color theme="1"/>
        <name val="Calibri"/>
        <scheme val="none"/>
      </font>
    </dxf>
  </rfmt>
  <rfmt sheetId="1" sqref="A368:XFD368" start="0" length="0">
    <dxf>
      <font>
        <sz val="11"/>
        <color theme="1"/>
        <name val="Calibri"/>
        <scheme val="none"/>
      </font>
    </dxf>
  </rfmt>
  <rfmt sheetId="1" sqref="A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6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6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69" start="0" length="0">
    <dxf>
      <font>
        <sz val="11"/>
        <color theme="1"/>
        <name val="Calibri"/>
        <scheme val="none"/>
      </font>
    </dxf>
  </rfmt>
  <rfmt sheetId="1" sqref="AM369" start="0" length="0">
    <dxf>
      <font>
        <sz val="11"/>
        <color theme="1"/>
        <name val="Calibri"/>
        <scheme val="none"/>
      </font>
      <numFmt numFmtId="1" formatCode="0"/>
    </dxf>
  </rfmt>
  <rfmt sheetId="1" sqref="AN369" start="0" length="0">
    <dxf>
      <font>
        <sz val="11"/>
        <color theme="1"/>
        <name val="Calibri"/>
        <scheme val="none"/>
      </font>
      <numFmt numFmtId="1" formatCode="0"/>
    </dxf>
  </rfmt>
  <rfmt sheetId="1" sqref="AO369" start="0" length="0">
    <dxf>
      <font>
        <sz val="11"/>
        <color theme="1"/>
        <name val="Calibri"/>
        <scheme val="none"/>
      </font>
    </dxf>
  </rfmt>
  <rfmt sheetId="1" sqref="AP369" start="0" length="0">
    <dxf>
      <font>
        <sz val="11"/>
        <color theme="1"/>
        <name val="Calibri"/>
        <scheme val="none"/>
      </font>
    </dxf>
  </rfmt>
  <rfmt sheetId="1" sqref="AQ369" start="0" length="0">
    <dxf>
      <font>
        <sz val="11"/>
        <color theme="1"/>
        <name val="Calibri"/>
        <scheme val="none"/>
      </font>
      <numFmt numFmtId="164" formatCode="_-* #,##0_-;\-* #,##0_-;_-* &quot;-&quot;??_-;_-@_-"/>
    </dxf>
  </rfmt>
  <rfmt sheetId="1" sqref="AR369" start="0" length="0">
    <dxf>
      <font>
        <sz val="11"/>
        <color theme="1"/>
        <name val="Calibri"/>
        <scheme val="none"/>
      </font>
      <numFmt numFmtId="164" formatCode="_-* #,##0_-;\-* #,##0_-;_-* &quot;-&quot;??_-;_-@_-"/>
    </dxf>
  </rfmt>
  <rfmt sheetId="1" sqref="AS369" start="0" length="0">
    <dxf>
      <font>
        <sz val="11"/>
        <color theme="1"/>
        <name val="Calibri"/>
        <scheme val="none"/>
      </font>
      <numFmt numFmtId="164" formatCode="_-* #,##0_-;\-* #,##0_-;_-* &quot;-&quot;??_-;_-@_-"/>
    </dxf>
  </rfmt>
  <rfmt sheetId="1" sqref="AT369" start="0" length="0">
    <dxf>
      <font>
        <sz val="11"/>
        <color theme="1"/>
        <name val="Calibri"/>
        <scheme val="none"/>
      </font>
      <numFmt numFmtId="164" formatCode="_-* #,##0_-;\-* #,##0_-;_-* &quot;-&quot;??_-;_-@_-"/>
    </dxf>
  </rfmt>
  <rfmt sheetId="1" sqref="AU369" start="0" length="0">
    <dxf>
      <font>
        <sz val="11"/>
        <color theme="1"/>
        <name val="Calibri"/>
        <scheme val="none"/>
      </font>
    </dxf>
  </rfmt>
  <rfmt sheetId="1" sqref="AV369" start="0" length="0">
    <dxf>
      <font>
        <sz val="11"/>
        <color theme="1"/>
        <name val="Calibri"/>
        <scheme val="none"/>
      </font>
    </dxf>
  </rfmt>
  <rfmt sheetId="1" sqref="AW369" start="0" length="0">
    <dxf>
      <font>
        <sz val="11"/>
        <color theme="1"/>
        <name val="Calibri"/>
        <scheme val="none"/>
      </font>
    </dxf>
  </rfmt>
  <rfmt sheetId="1" sqref="AX369" start="0" length="0">
    <dxf>
      <font>
        <sz val="11"/>
        <color theme="1"/>
        <name val="Calibri"/>
        <scheme val="none"/>
      </font>
    </dxf>
  </rfmt>
  <rfmt sheetId="1" sqref="AY369" start="0" length="0">
    <dxf>
      <font>
        <sz val="11"/>
        <color theme="1"/>
        <name val="Calibri"/>
        <scheme val="none"/>
      </font>
    </dxf>
  </rfmt>
  <rfmt sheetId="1" sqref="A369:XFD369" start="0" length="0">
    <dxf>
      <font>
        <sz val="11"/>
        <color theme="1"/>
        <name val="Calibri"/>
        <scheme val="none"/>
      </font>
    </dxf>
  </rfmt>
  <rfmt sheetId="1" sqref="A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7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7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70" start="0" length="0">
    <dxf>
      <font>
        <sz val="11"/>
        <color theme="1"/>
        <name val="Calibri"/>
        <scheme val="none"/>
      </font>
    </dxf>
  </rfmt>
  <rfmt sheetId="1" sqref="AM370" start="0" length="0">
    <dxf>
      <font>
        <sz val="11"/>
        <color theme="1"/>
        <name val="Calibri"/>
        <scheme val="none"/>
      </font>
      <numFmt numFmtId="1" formatCode="0"/>
    </dxf>
  </rfmt>
  <rfmt sheetId="1" sqref="AN370" start="0" length="0">
    <dxf>
      <font>
        <sz val="11"/>
        <color theme="1"/>
        <name val="Calibri"/>
        <scheme val="none"/>
      </font>
      <numFmt numFmtId="1" formatCode="0"/>
    </dxf>
  </rfmt>
  <rfmt sheetId="1" sqref="AO370" start="0" length="0">
    <dxf>
      <font>
        <sz val="11"/>
        <color theme="1"/>
        <name val="Calibri"/>
        <scheme val="none"/>
      </font>
    </dxf>
  </rfmt>
  <rfmt sheetId="1" sqref="AP370" start="0" length="0">
    <dxf>
      <font>
        <sz val="11"/>
        <color theme="1"/>
        <name val="Calibri"/>
        <scheme val="none"/>
      </font>
    </dxf>
  </rfmt>
  <rfmt sheetId="1" sqref="AQ370" start="0" length="0">
    <dxf>
      <font>
        <sz val="11"/>
        <color theme="1"/>
        <name val="Calibri"/>
        <scheme val="none"/>
      </font>
      <numFmt numFmtId="164" formatCode="_-* #,##0_-;\-* #,##0_-;_-* &quot;-&quot;??_-;_-@_-"/>
    </dxf>
  </rfmt>
  <rfmt sheetId="1" sqref="AR370" start="0" length="0">
    <dxf>
      <font>
        <sz val="11"/>
        <color theme="1"/>
        <name val="Calibri"/>
        <scheme val="none"/>
      </font>
      <numFmt numFmtId="164" formatCode="_-* #,##0_-;\-* #,##0_-;_-* &quot;-&quot;??_-;_-@_-"/>
    </dxf>
  </rfmt>
  <rfmt sheetId="1" sqref="AS370" start="0" length="0">
    <dxf>
      <font>
        <sz val="11"/>
        <color theme="1"/>
        <name val="Calibri"/>
        <scheme val="none"/>
      </font>
      <numFmt numFmtId="164" formatCode="_-* #,##0_-;\-* #,##0_-;_-* &quot;-&quot;??_-;_-@_-"/>
    </dxf>
  </rfmt>
  <rfmt sheetId="1" sqref="AT370" start="0" length="0">
    <dxf>
      <font>
        <sz val="11"/>
        <color theme="1"/>
        <name val="Calibri"/>
        <scheme val="none"/>
      </font>
      <numFmt numFmtId="164" formatCode="_-* #,##0_-;\-* #,##0_-;_-* &quot;-&quot;??_-;_-@_-"/>
    </dxf>
  </rfmt>
  <rfmt sheetId="1" sqref="AU370" start="0" length="0">
    <dxf>
      <font>
        <sz val="11"/>
        <color theme="1"/>
        <name val="Calibri"/>
        <scheme val="none"/>
      </font>
    </dxf>
  </rfmt>
  <rfmt sheetId="1" sqref="AV370" start="0" length="0">
    <dxf>
      <font>
        <sz val="11"/>
        <color theme="1"/>
        <name val="Calibri"/>
        <scheme val="none"/>
      </font>
    </dxf>
  </rfmt>
  <rfmt sheetId="1" sqref="AW370" start="0" length="0">
    <dxf>
      <font>
        <sz val="11"/>
        <color theme="1"/>
        <name val="Calibri"/>
        <scheme val="none"/>
      </font>
    </dxf>
  </rfmt>
  <rfmt sheetId="1" sqref="AX370" start="0" length="0">
    <dxf>
      <font>
        <sz val="11"/>
        <color theme="1"/>
        <name val="Calibri"/>
        <scheme val="none"/>
      </font>
    </dxf>
  </rfmt>
  <rfmt sheetId="1" sqref="AY370" start="0" length="0">
    <dxf>
      <font>
        <sz val="11"/>
        <color theme="1"/>
        <name val="Calibri"/>
        <scheme val="none"/>
      </font>
    </dxf>
  </rfmt>
  <rfmt sheetId="1" sqref="A370:XFD370" start="0" length="0">
    <dxf>
      <font>
        <sz val="11"/>
        <color theme="1"/>
        <name val="Calibri"/>
        <scheme val="none"/>
      </font>
    </dxf>
  </rfmt>
  <rfmt sheetId="1" sqref="A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7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7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71" start="0" length="0">
    <dxf>
      <font>
        <sz val="11"/>
        <color theme="1"/>
        <name val="Calibri"/>
        <scheme val="none"/>
      </font>
    </dxf>
  </rfmt>
  <rfmt sheetId="1" sqref="AM371" start="0" length="0">
    <dxf>
      <font>
        <sz val="11"/>
        <color theme="1"/>
        <name val="Calibri"/>
        <scheme val="none"/>
      </font>
      <numFmt numFmtId="1" formatCode="0"/>
    </dxf>
  </rfmt>
  <rfmt sheetId="1" sqref="AN371" start="0" length="0">
    <dxf>
      <font>
        <sz val="11"/>
        <color theme="1"/>
        <name val="Calibri"/>
        <scheme val="none"/>
      </font>
      <numFmt numFmtId="1" formatCode="0"/>
    </dxf>
  </rfmt>
  <rfmt sheetId="1" sqref="AO371" start="0" length="0">
    <dxf>
      <font>
        <sz val="11"/>
        <color theme="1"/>
        <name val="Calibri"/>
        <scheme val="none"/>
      </font>
    </dxf>
  </rfmt>
  <rfmt sheetId="1" sqref="AP371" start="0" length="0">
    <dxf>
      <font>
        <sz val="11"/>
        <color theme="1"/>
        <name val="Calibri"/>
        <scheme val="none"/>
      </font>
    </dxf>
  </rfmt>
  <rfmt sheetId="1" sqref="AQ371" start="0" length="0">
    <dxf>
      <font>
        <sz val="11"/>
        <color theme="1"/>
        <name val="Calibri"/>
        <scheme val="none"/>
      </font>
      <numFmt numFmtId="164" formatCode="_-* #,##0_-;\-* #,##0_-;_-* &quot;-&quot;??_-;_-@_-"/>
    </dxf>
  </rfmt>
  <rfmt sheetId="1" sqref="AR371" start="0" length="0">
    <dxf>
      <font>
        <sz val="11"/>
        <color theme="1"/>
        <name val="Calibri"/>
        <scheme val="none"/>
      </font>
      <numFmt numFmtId="164" formatCode="_-* #,##0_-;\-* #,##0_-;_-* &quot;-&quot;??_-;_-@_-"/>
    </dxf>
  </rfmt>
  <rfmt sheetId="1" sqref="AS371" start="0" length="0">
    <dxf>
      <font>
        <sz val="11"/>
        <color theme="1"/>
        <name val="Calibri"/>
        <scheme val="none"/>
      </font>
      <numFmt numFmtId="164" formatCode="_-* #,##0_-;\-* #,##0_-;_-* &quot;-&quot;??_-;_-@_-"/>
    </dxf>
  </rfmt>
  <rfmt sheetId="1" sqref="AT371" start="0" length="0">
    <dxf>
      <font>
        <sz val="11"/>
        <color theme="1"/>
        <name val="Calibri"/>
        <scheme val="none"/>
      </font>
      <numFmt numFmtId="164" formatCode="_-* #,##0_-;\-* #,##0_-;_-* &quot;-&quot;??_-;_-@_-"/>
    </dxf>
  </rfmt>
  <rfmt sheetId="1" sqref="AU371" start="0" length="0">
    <dxf>
      <font>
        <sz val="11"/>
        <color theme="1"/>
        <name val="Calibri"/>
        <scheme val="none"/>
      </font>
    </dxf>
  </rfmt>
  <rfmt sheetId="1" sqref="AV371" start="0" length="0">
    <dxf>
      <font>
        <sz val="11"/>
        <color theme="1"/>
        <name val="Calibri"/>
        <scheme val="none"/>
      </font>
    </dxf>
  </rfmt>
  <rfmt sheetId="1" sqref="AW371" start="0" length="0">
    <dxf>
      <font>
        <sz val="11"/>
        <color theme="1"/>
        <name val="Calibri"/>
        <scheme val="none"/>
      </font>
    </dxf>
  </rfmt>
  <rfmt sheetId="1" sqref="AX371" start="0" length="0">
    <dxf>
      <font>
        <sz val="11"/>
        <color theme="1"/>
        <name val="Calibri"/>
        <scheme val="none"/>
      </font>
    </dxf>
  </rfmt>
  <rfmt sheetId="1" sqref="AY371" start="0" length="0">
    <dxf>
      <font>
        <sz val="11"/>
        <color theme="1"/>
        <name val="Calibri"/>
        <scheme val="none"/>
      </font>
    </dxf>
  </rfmt>
  <rfmt sheetId="1" sqref="A371:XFD371" start="0" length="0">
    <dxf>
      <font>
        <sz val="11"/>
        <color theme="1"/>
        <name val="Calibri"/>
        <scheme val="none"/>
      </font>
    </dxf>
  </rfmt>
  <rfmt sheetId="1" sqref="A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7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7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72" start="0" length="0">
    <dxf>
      <font>
        <sz val="11"/>
        <color theme="1"/>
        <name val="Calibri"/>
        <scheme val="none"/>
      </font>
    </dxf>
  </rfmt>
  <rfmt sheetId="1" sqref="AM372" start="0" length="0">
    <dxf>
      <font>
        <sz val="11"/>
        <color theme="1"/>
        <name val="Calibri"/>
        <scheme val="none"/>
      </font>
      <numFmt numFmtId="1" formatCode="0"/>
    </dxf>
  </rfmt>
  <rfmt sheetId="1" sqref="AN372" start="0" length="0">
    <dxf>
      <font>
        <sz val="11"/>
        <color theme="1"/>
        <name val="Calibri"/>
        <scheme val="none"/>
      </font>
      <numFmt numFmtId="1" formatCode="0"/>
    </dxf>
  </rfmt>
  <rfmt sheetId="1" sqref="AO372" start="0" length="0">
    <dxf>
      <font>
        <sz val="11"/>
        <color theme="1"/>
        <name val="Calibri"/>
        <scheme val="none"/>
      </font>
    </dxf>
  </rfmt>
  <rfmt sheetId="1" sqref="AP372" start="0" length="0">
    <dxf>
      <font>
        <sz val="11"/>
        <color theme="1"/>
        <name val="Calibri"/>
        <scheme val="none"/>
      </font>
    </dxf>
  </rfmt>
  <rfmt sheetId="1" sqref="AQ372" start="0" length="0">
    <dxf>
      <font>
        <sz val="11"/>
        <color theme="1"/>
        <name val="Calibri"/>
        <scheme val="none"/>
      </font>
      <numFmt numFmtId="164" formatCode="_-* #,##0_-;\-* #,##0_-;_-* &quot;-&quot;??_-;_-@_-"/>
    </dxf>
  </rfmt>
  <rfmt sheetId="1" sqref="AR372" start="0" length="0">
    <dxf>
      <font>
        <sz val="11"/>
        <color theme="1"/>
        <name val="Calibri"/>
        <scheme val="none"/>
      </font>
      <numFmt numFmtId="164" formatCode="_-* #,##0_-;\-* #,##0_-;_-* &quot;-&quot;??_-;_-@_-"/>
    </dxf>
  </rfmt>
  <rfmt sheetId="1" sqref="AS372" start="0" length="0">
    <dxf>
      <font>
        <sz val="11"/>
        <color theme="1"/>
        <name val="Calibri"/>
        <scheme val="none"/>
      </font>
      <numFmt numFmtId="164" formatCode="_-* #,##0_-;\-* #,##0_-;_-* &quot;-&quot;??_-;_-@_-"/>
    </dxf>
  </rfmt>
  <rfmt sheetId="1" sqref="AT372" start="0" length="0">
    <dxf>
      <font>
        <sz val="11"/>
        <color theme="1"/>
        <name val="Calibri"/>
        <scheme val="none"/>
      </font>
      <numFmt numFmtId="164" formatCode="_-* #,##0_-;\-* #,##0_-;_-* &quot;-&quot;??_-;_-@_-"/>
    </dxf>
  </rfmt>
  <rfmt sheetId="1" sqref="AU372" start="0" length="0">
    <dxf>
      <font>
        <sz val="11"/>
        <color theme="1"/>
        <name val="Calibri"/>
        <scheme val="none"/>
      </font>
    </dxf>
  </rfmt>
  <rfmt sheetId="1" sqref="AV372" start="0" length="0">
    <dxf>
      <font>
        <sz val="11"/>
        <color theme="1"/>
        <name val="Calibri"/>
        <scheme val="none"/>
      </font>
    </dxf>
  </rfmt>
  <rfmt sheetId="1" sqref="AW372" start="0" length="0">
    <dxf>
      <font>
        <sz val="11"/>
        <color theme="1"/>
        <name val="Calibri"/>
        <scheme val="none"/>
      </font>
    </dxf>
  </rfmt>
  <rfmt sheetId="1" sqref="AX372" start="0" length="0">
    <dxf>
      <font>
        <sz val="11"/>
        <color theme="1"/>
        <name val="Calibri"/>
        <scheme val="none"/>
      </font>
    </dxf>
  </rfmt>
  <rfmt sheetId="1" sqref="AY372" start="0" length="0">
    <dxf>
      <font>
        <sz val="11"/>
        <color theme="1"/>
        <name val="Calibri"/>
        <scheme val="none"/>
      </font>
    </dxf>
  </rfmt>
  <rfmt sheetId="1" sqref="A372:XFD372" start="0" length="0">
    <dxf>
      <font>
        <sz val="11"/>
        <color theme="1"/>
        <name val="Calibri"/>
        <scheme val="none"/>
      </font>
    </dxf>
  </rfmt>
  <rfmt sheetId="1" sqref="A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7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7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73" start="0" length="0">
    <dxf>
      <font>
        <sz val="11"/>
        <color theme="1"/>
        <name val="Calibri"/>
        <scheme val="none"/>
      </font>
    </dxf>
  </rfmt>
  <rfmt sheetId="1" sqref="AM373" start="0" length="0">
    <dxf>
      <font>
        <sz val="11"/>
        <color theme="1"/>
        <name val="Calibri"/>
        <scheme val="none"/>
      </font>
      <numFmt numFmtId="1" formatCode="0"/>
    </dxf>
  </rfmt>
  <rfmt sheetId="1" sqref="AN373" start="0" length="0">
    <dxf>
      <font>
        <sz val="11"/>
        <color theme="1"/>
        <name val="Calibri"/>
        <scheme val="none"/>
      </font>
      <numFmt numFmtId="1" formatCode="0"/>
    </dxf>
  </rfmt>
  <rfmt sheetId="1" sqref="AO373" start="0" length="0">
    <dxf>
      <font>
        <sz val="11"/>
        <color theme="1"/>
        <name val="Calibri"/>
        <scheme val="none"/>
      </font>
    </dxf>
  </rfmt>
  <rfmt sheetId="1" sqref="AP373" start="0" length="0">
    <dxf>
      <font>
        <sz val="11"/>
        <color theme="1"/>
        <name val="Calibri"/>
        <scheme val="none"/>
      </font>
    </dxf>
  </rfmt>
  <rfmt sheetId="1" sqref="AQ373" start="0" length="0">
    <dxf>
      <font>
        <sz val="11"/>
        <color theme="1"/>
        <name val="Calibri"/>
        <scheme val="none"/>
      </font>
      <numFmt numFmtId="164" formatCode="_-* #,##0_-;\-* #,##0_-;_-* &quot;-&quot;??_-;_-@_-"/>
    </dxf>
  </rfmt>
  <rfmt sheetId="1" sqref="AR373" start="0" length="0">
    <dxf>
      <font>
        <sz val="11"/>
        <color theme="1"/>
        <name val="Calibri"/>
        <scheme val="none"/>
      </font>
      <numFmt numFmtId="164" formatCode="_-* #,##0_-;\-* #,##0_-;_-* &quot;-&quot;??_-;_-@_-"/>
    </dxf>
  </rfmt>
  <rfmt sheetId="1" sqref="AS373" start="0" length="0">
    <dxf>
      <font>
        <sz val="11"/>
        <color theme="1"/>
        <name val="Calibri"/>
        <scheme val="none"/>
      </font>
      <numFmt numFmtId="164" formatCode="_-* #,##0_-;\-* #,##0_-;_-* &quot;-&quot;??_-;_-@_-"/>
    </dxf>
  </rfmt>
  <rfmt sheetId="1" sqref="AT373" start="0" length="0">
    <dxf>
      <font>
        <sz val="11"/>
        <color theme="1"/>
        <name val="Calibri"/>
        <scheme val="none"/>
      </font>
      <numFmt numFmtId="164" formatCode="_-* #,##0_-;\-* #,##0_-;_-* &quot;-&quot;??_-;_-@_-"/>
    </dxf>
  </rfmt>
  <rfmt sheetId="1" sqref="AU373" start="0" length="0">
    <dxf>
      <font>
        <sz val="11"/>
        <color theme="1"/>
        <name val="Calibri"/>
        <scheme val="none"/>
      </font>
    </dxf>
  </rfmt>
  <rfmt sheetId="1" sqref="AV373" start="0" length="0">
    <dxf>
      <font>
        <sz val="11"/>
        <color theme="1"/>
        <name val="Calibri"/>
        <scheme val="none"/>
      </font>
    </dxf>
  </rfmt>
  <rfmt sheetId="1" sqref="AW373" start="0" length="0">
    <dxf>
      <font>
        <sz val="11"/>
        <color theme="1"/>
        <name val="Calibri"/>
        <scheme val="none"/>
      </font>
    </dxf>
  </rfmt>
  <rfmt sheetId="1" sqref="AX373" start="0" length="0">
    <dxf>
      <font>
        <sz val="11"/>
        <color theme="1"/>
        <name val="Calibri"/>
        <scheme val="none"/>
      </font>
    </dxf>
  </rfmt>
  <rfmt sheetId="1" sqref="AY373" start="0" length="0">
    <dxf>
      <font>
        <sz val="11"/>
        <color theme="1"/>
        <name val="Calibri"/>
        <scheme val="none"/>
      </font>
    </dxf>
  </rfmt>
  <rfmt sheetId="1" sqref="A373:XFD373" start="0" length="0">
    <dxf>
      <font>
        <sz val="11"/>
        <color theme="1"/>
        <name val="Calibri"/>
        <scheme val="none"/>
      </font>
    </dxf>
  </rfmt>
  <rfmt sheetId="1" sqref="A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7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7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74" start="0" length="0">
    <dxf>
      <font>
        <sz val="11"/>
        <color theme="1"/>
        <name val="Calibri"/>
        <scheme val="none"/>
      </font>
    </dxf>
  </rfmt>
  <rfmt sheetId="1" sqref="AM374" start="0" length="0">
    <dxf>
      <font>
        <sz val="11"/>
        <color theme="1"/>
        <name val="Calibri"/>
        <scheme val="none"/>
      </font>
      <numFmt numFmtId="1" formatCode="0"/>
    </dxf>
  </rfmt>
  <rfmt sheetId="1" sqref="AN374" start="0" length="0">
    <dxf>
      <font>
        <sz val="11"/>
        <color theme="1"/>
        <name val="Calibri"/>
        <scheme val="none"/>
      </font>
      <numFmt numFmtId="1" formatCode="0"/>
    </dxf>
  </rfmt>
  <rfmt sheetId="1" sqref="AO374" start="0" length="0">
    <dxf>
      <font>
        <sz val="11"/>
        <color theme="1"/>
        <name val="Calibri"/>
        <scheme val="none"/>
      </font>
    </dxf>
  </rfmt>
  <rfmt sheetId="1" sqref="AP374" start="0" length="0">
    <dxf>
      <font>
        <sz val="11"/>
        <color theme="1"/>
        <name val="Calibri"/>
        <scheme val="none"/>
      </font>
    </dxf>
  </rfmt>
  <rfmt sheetId="1" sqref="AQ374" start="0" length="0">
    <dxf>
      <font>
        <sz val="11"/>
        <color theme="1"/>
        <name val="Calibri"/>
        <scheme val="none"/>
      </font>
      <numFmt numFmtId="164" formatCode="_-* #,##0_-;\-* #,##0_-;_-* &quot;-&quot;??_-;_-@_-"/>
    </dxf>
  </rfmt>
  <rfmt sheetId="1" sqref="AR374" start="0" length="0">
    <dxf>
      <font>
        <sz val="11"/>
        <color theme="1"/>
        <name val="Calibri"/>
        <scheme val="none"/>
      </font>
      <numFmt numFmtId="164" formatCode="_-* #,##0_-;\-* #,##0_-;_-* &quot;-&quot;??_-;_-@_-"/>
    </dxf>
  </rfmt>
  <rfmt sheetId="1" sqref="AS374" start="0" length="0">
    <dxf>
      <font>
        <sz val="11"/>
        <color theme="1"/>
        <name val="Calibri"/>
        <scheme val="none"/>
      </font>
      <numFmt numFmtId="164" formatCode="_-* #,##0_-;\-* #,##0_-;_-* &quot;-&quot;??_-;_-@_-"/>
    </dxf>
  </rfmt>
  <rfmt sheetId="1" sqref="AT374" start="0" length="0">
    <dxf>
      <font>
        <sz val="11"/>
        <color theme="1"/>
        <name val="Calibri"/>
        <scheme val="none"/>
      </font>
      <numFmt numFmtId="164" formatCode="_-* #,##0_-;\-* #,##0_-;_-* &quot;-&quot;??_-;_-@_-"/>
    </dxf>
  </rfmt>
  <rfmt sheetId="1" sqref="AU374" start="0" length="0">
    <dxf>
      <font>
        <sz val="11"/>
        <color theme="1"/>
        <name val="Calibri"/>
        <scheme val="none"/>
      </font>
    </dxf>
  </rfmt>
  <rfmt sheetId="1" sqref="AV374" start="0" length="0">
    <dxf>
      <font>
        <sz val="11"/>
        <color theme="1"/>
        <name val="Calibri"/>
        <scheme val="none"/>
      </font>
    </dxf>
  </rfmt>
  <rfmt sheetId="1" sqref="AW374" start="0" length="0">
    <dxf>
      <font>
        <sz val="11"/>
        <color theme="1"/>
        <name val="Calibri"/>
        <scheme val="none"/>
      </font>
    </dxf>
  </rfmt>
  <rfmt sheetId="1" sqref="AX374" start="0" length="0">
    <dxf>
      <font>
        <sz val="11"/>
        <color theme="1"/>
        <name val="Calibri"/>
        <scheme val="none"/>
      </font>
    </dxf>
  </rfmt>
  <rfmt sheetId="1" sqref="AY374" start="0" length="0">
    <dxf>
      <font>
        <sz val="11"/>
        <color theme="1"/>
        <name val="Calibri"/>
        <scheme val="none"/>
      </font>
    </dxf>
  </rfmt>
  <rfmt sheetId="1" sqref="A374:XFD374" start="0" length="0">
    <dxf>
      <font>
        <sz val="11"/>
        <color theme="1"/>
        <name val="Calibri"/>
        <scheme val="none"/>
      </font>
    </dxf>
  </rfmt>
  <rfmt sheetId="1" sqref="A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7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7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75" start="0" length="0">
    <dxf>
      <font>
        <sz val="11"/>
        <color theme="1"/>
        <name val="Calibri"/>
        <scheme val="none"/>
      </font>
    </dxf>
  </rfmt>
  <rfmt sheetId="1" sqref="AM375" start="0" length="0">
    <dxf>
      <font>
        <sz val="11"/>
        <color theme="1"/>
        <name val="Calibri"/>
        <scheme val="none"/>
      </font>
      <numFmt numFmtId="1" formatCode="0"/>
    </dxf>
  </rfmt>
  <rfmt sheetId="1" sqref="AN375" start="0" length="0">
    <dxf>
      <font>
        <sz val="11"/>
        <color theme="1"/>
        <name val="Calibri"/>
        <scheme val="none"/>
      </font>
      <numFmt numFmtId="1" formatCode="0"/>
    </dxf>
  </rfmt>
  <rfmt sheetId="1" sqref="AO375" start="0" length="0">
    <dxf>
      <font>
        <sz val="11"/>
        <color theme="1"/>
        <name val="Calibri"/>
        <scheme val="none"/>
      </font>
    </dxf>
  </rfmt>
  <rfmt sheetId="1" sqref="AP375" start="0" length="0">
    <dxf>
      <font>
        <sz val="11"/>
        <color theme="1"/>
        <name val="Calibri"/>
        <scheme val="none"/>
      </font>
    </dxf>
  </rfmt>
  <rfmt sheetId="1" sqref="AQ375" start="0" length="0">
    <dxf>
      <font>
        <sz val="11"/>
        <color theme="1"/>
        <name val="Calibri"/>
        <scheme val="none"/>
      </font>
      <numFmt numFmtId="164" formatCode="_-* #,##0_-;\-* #,##0_-;_-* &quot;-&quot;??_-;_-@_-"/>
    </dxf>
  </rfmt>
  <rfmt sheetId="1" sqref="AR375" start="0" length="0">
    <dxf>
      <font>
        <sz val="11"/>
        <color theme="1"/>
        <name val="Calibri"/>
        <scheme val="none"/>
      </font>
      <numFmt numFmtId="164" formatCode="_-* #,##0_-;\-* #,##0_-;_-* &quot;-&quot;??_-;_-@_-"/>
    </dxf>
  </rfmt>
  <rfmt sheetId="1" sqref="AS375" start="0" length="0">
    <dxf>
      <font>
        <sz val="11"/>
        <color theme="1"/>
        <name val="Calibri"/>
        <scheme val="none"/>
      </font>
      <numFmt numFmtId="164" formatCode="_-* #,##0_-;\-* #,##0_-;_-* &quot;-&quot;??_-;_-@_-"/>
    </dxf>
  </rfmt>
  <rfmt sheetId="1" sqref="AT375" start="0" length="0">
    <dxf>
      <font>
        <sz val="11"/>
        <color theme="1"/>
        <name val="Calibri"/>
        <scheme val="none"/>
      </font>
      <numFmt numFmtId="164" formatCode="_-* #,##0_-;\-* #,##0_-;_-* &quot;-&quot;??_-;_-@_-"/>
    </dxf>
  </rfmt>
  <rfmt sheetId="1" sqref="AU375" start="0" length="0">
    <dxf>
      <font>
        <sz val="11"/>
        <color theme="1"/>
        <name val="Calibri"/>
        <scheme val="none"/>
      </font>
    </dxf>
  </rfmt>
  <rfmt sheetId="1" sqref="AV375" start="0" length="0">
    <dxf>
      <font>
        <sz val="11"/>
        <color theme="1"/>
        <name val="Calibri"/>
        <scheme val="none"/>
      </font>
    </dxf>
  </rfmt>
  <rfmt sheetId="1" sqref="AW375" start="0" length="0">
    <dxf>
      <font>
        <sz val="11"/>
        <color theme="1"/>
        <name val="Calibri"/>
        <scheme val="none"/>
      </font>
    </dxf>
  </rfmt>
  <rfmt sheetId="1" sqref="AX375" start="0" length="0">
    <dxf>
      <font>
        <sz val="11"/>
        <color theme="1"/>
        <name val="Calibri"/>
        <scheme val="none"/>
      </font>
    </dxf>
  </rfmt>
  <rfmt sheetId="1" sqref="AY375" start="0" length="0">
    <dxf>
      <font>
        <sz val="11"/>
        <color theme="1"/>
        <name val="Calibri"/>
        <scheme val="none"/>
      </font>
    </dxf>
  </rfmt>
  <rfmt sheetId="1" sqref="A375:XFD375" start="0" length="0">
    <dxf>
      <font>
        <sz val="11"/>
        <color theme="1"/>
        <name val="Calibri"/>
        <scheme val="none"/>
      </font>
    </dxf>
  </rfmt>
  <rfmt sheetId="1" sqref="A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7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7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76" start="0" length="0">
    <dxf>
      <font>
        <sz val="11"/>
        <color theme="1"/>
        <name val="Calibri"/>
        <scheme val="none"/>
      </font>
    </dxf>
  </rfmt>
  <rfmt sheetId="1" sqref="AM376" start="0" length="0">
    <dxf>
      <font>
        <sz val="11"/>
        <color theme="1"/>
        <name val="Calibri"/>
        <scheme val="none"/>
      </font>
      <numFmt numFmtId="1" formatCode="0"/>
    </dxf>
  </rfmt>
  <rfmt sheetId="1" sqref="AN376" start="0" length="0">
    <dxf>
      <font>
        <sz val="11"/>
        <color theme="1"/>
        <name val="Calibri"/>
        <scheme val="none"/>
      </font>
      <numFmt numFmtId="1" formatCode="0"/>
    </dxf>
  </rfmt>
  <rfmt sheetId="1" sqref="AO376" start="0" length="0">
    <dxf>
      <font>
        <sz val="11"/>
        <color theme="1"/>
        <name val="Calibri"/>
        <scheme val="none"/>
      </font>
    </dxf>
  </rfmt>
  <rfmt sheetId="1" sqref="AP376" start="0" length="0">
    <dxf>
      <font>
        <sz val="11"/>
        <color theme="1"/>
        <name val="Calibri"/>
        <scheme val="none"/>
      </font>
    </dxf>
  </rfmt>
  <rfmt sheetId="1" sqref="AQ376" start="0" length="0">
    <dxf>
      <font>
        <sz val="11"/>
        <color theme="1"/>
        <name val="Calibri"/>
        <scheme val="none"/>
      </font>
      <numFmt numFmtId="164" formatCode="_-* #,##0_-;\-* #,##0_-;_-* &quot;-&quot;??_-;_-@_-"/>
    </dxf>
  </rfmt>
  <rfmt sheetId="1" sqref="AR376" start="0" length="0">
    <dxf>
      <font>
        <sz val="11"/>
        <color theme="1"/>
        <name val="Calibri"/>
        <scheme val="none"/>
      </font>
      <numFmt numFmtId="164" formatCode="_-* #,##0_-;\-* #,##0_-;_-* &quot;-&quot;??_-;_-@_-"/>
    </dxf>
  </rfmt>
  <rfmt sheetId="1" sqref="AS376" start="0" length="0">
    <dxf>
      <font>
        <sz val="11"/>
        <color theme="1"/>
        <name val="Calibri"/>
        <scheme val="none"/>
      </font>
      <numFmt numFmtId="164" formatCode="_-* #,##0_-;\-* #,##0_-;_-* &quot;-&quot;??_-;_-@_-"/>
    </dxf>
  </rfmt>
  <rfmt sheetId="1" sqref="AT376" start="0" length="0">
    <dxf>
      <font>
        <sz val="11"/>
        <color theme="1"/>
        <name val="Calibri"/>
        <scheme val="none"/>
      </font>
      <numFmt numFmtId="164" formatCode="_-* #,##0_-;\-* #,##0_-;_-* &quot;-&quot;??_-;_-@_-"/>
    </dxf>
  </rfmt>
  <rfmt sheetId="1" sqref="AU376" start="0" length="0">
    <dxf>
      <font>
        <sz val="11"/>
        <color theme="1"/>
        <name val="Calibri"/>
        <scheme val="none"/>
      </font>
    </dxf>
  </rfmt>
  <rfmt sheetId="1" sqref="AV376" start="0" length="0">
    <dxf>
      <font>
        <sz val="11"/>
        <color theme="1"/>
        <name val="Calibri"/>
        <scheme val="none"/>
      </font>
    </dxf>
  </rfmt>
  <rfmt sheetId="1" sqref="AW376" start="0" length="0">
    <dxf>
      <font>
        <sz val="11"/>
        <color theme="1"/>
        <name val="Calibri"/>
        <scheme val="none"/>
      </font>
    </dxf>
  </rfmt>
  <rfmt sheetId="1" sqref="AX376" start="0" length="0">
    <dxf>
      <font>
        <sz val="11"/>
        <color theme="1"/>
        <name val="Calibri"/>
        <scheme val="none"/>
      </font>
    </dxf>
  </rfmt>
  <rfmt sheetId="1" sqref="AY376" start="0" length="0">
    <dxf>
      <font>
        <sz val="11"/>
        <color theme="1"/>
        <name val="Calibri"/>
        <scheme val="none"/>
      </font>
    </dxf>
  </rfmt>
  <rfmt sheetId="1" sqref="A376:XFD376" start="0" length="0">
    <dxf>
      <font>
        <sz val="11"/>
        <color theme="1"/>
        <name val="Calibri"/>
        <scheme val="none"/>
      </font>
    </dxf>
  </rfmt>
  <rfmt sheetId="1" sqref="A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7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7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77" start="0" length="0">
    <dxf>
      <font>
        <sz val="11"/>
        <color theme="1"/>
        <name val="Calibri"/>
        <scheme val="none"/>
      </font>
    </dxf>
  </rfmt>
  <rfmt sheetId="1" sqref="AM377" start="0" length="0">
    <dxf>
      <font>
        <sz val="11"/>
        <color theme="1"/>
        <name val="Calibri"/>
        <scheme val="none"/>
      </font>
      <numFmt numFmtId="1" formatCode="0"/>
    </dxf>
  </rfmt>
  <rfmt sheetId="1" sqref="AN377" start="0" length="0">
    <dxf>
      <font>
        <sz val="11"/>
        <color theme="1"/>
        <name val="Calibri"/>
        <scheme val="none"/>
      </font>
      <numFmt numFmtId="1" formatCode="0"/>
    </dxf>
  </rfmt>
  <rfmt sheetId="1" sqref="AO377" start="0" length="0">
    <dxf>
      <font>
        <sz val="11"/>
        <color theme="1"/>
        <name val="Calibri"/>
        <scheme val="none"/>
      </font>
    </dxf>
  </rfmt>
  <rfmt sheetId="1" sqref="AP377" start="0" length="0">
    <dxf>
      <font>
        <sz val="11"/>
        <color theme="1"/>
        <name val="Calibri"/>
        <scheme val="none"/>
      </font>
    </dxf>
  </rfmt>
  <rfmt sheetId="1" sqref="AQ377" start="0" length="0">
    <dxf>
      <font>
        <sz val="11"/>
        <color theme="1"/>
        <name val="Calibri"/>
        <scheme val="none"/>
      </font>
      <numFmt numFmtId="164" formatCode="_-* #,##0_-;\-* #,##0_-;_-* &quot;-&quot;??_-;_-@_-"/>
    </dxf>
  </rfmt>
  <rfmt sheetId="1" sqref="AR377" start="0" length="0">
    <dxf>
      <font>
        <sz val="11"/>
        <color theme="1"/>
        <name val="Calibri"/>
        <scheme val="none"/>
      </font>
      <numFmt numFmtId="164" formatCode="_-* #,##0_-;\-* #,##0_-;_-* &quot;-&quot;??_-;_-@_-"/>
    </dxf>
  </rfmt>
  <rfmt sheetId="1" sqref="AS377" start="0" length="0">
    <dxf>
      <font>
        <sz val="11"/>
        <color theme="1"/>
        <name val="Calibri"/>
        <scheme val="none"/>
      </font>
      <numFmt numFmtId="164" formatCode="_-* #,##0_-;\-* #,##0_-;_-* &quot;-&quot;??_-;_-@_-"/>
    </dxf>
  </rfmt>
  <rfmt sheetId="1" sqref="AT377" start="0" length="0">
    <dxf>
      <font>
        <sz val="11"/>
        <color theme="1"/>
        <name val="Calibri"/>
        <scheme val="none"/>
      </font>
      <numFmt numFmtId="164" formatCode="_-* #,##0_-;\-* #,##0_-;_-* &quot;-&quot;??_-;_-@_-"/>
    </dxf>
  </rfmt>
  <rfmt sheetId="1" sqref="AU377" start="0" length="0">
    <dxf>
      <font>
        <sz val="11"/>
        <color theme="1"/>
        <name val="Calibri"/>
        <scheme val="none"/>
      </font>
    </dxf>
  </rfmt>
  <rfmt sheetId="1" sqref="AV377" start="0" length="0">
    <dxf>
      <font>
        <sz val="11"/>
        <color theme="1"/>
        <name val="Calibri"/>
        <scheme val="none"/>
      </font>
    </dxf>
  </rfmt>
  <rfmt sheetId="1" sqref="AW377" start="0" length="0">
    <dxf>
      <font>
        <sz val="11"/>
        <color theme="1"/>
        <name val="Calibri"/>
        <scheme val="none"/>
      </font>
    </dxf>
  </rfmt>
  <rfmt sheetId="1" sqref="AX377" start="0" length="0">
    <dxf>
      <font>
        <sz val="11"/>
        <color theme="1"/>
        <name val="Calibri"/>
        <scheme val="none"/>
      </font>
    </dxf>
  </rfmt>
  <rfmt sheetId="1" sqref="AY377" start="0" length="0">
    <dxf>
      <font>
        <sz val="11"/>
        <color theme="1"/>
        <name val="Calibri"/>
        <scheme val="none"/>
      </font>
    </dxf>
  </rfmt>
  <rfmt sheetId="1" sqref="A377:XFD377" start="0" length="0">
    <dxf>
      <font>
        <sz val="11"/>
        <color theme="1"/>
        <name val="Calibri"/>
        <scheme val="none"/>
      </font>
    </dxf>
  </rfmt>
  <rfmt sheetId="1" sqref="A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7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7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78" start="0" length="0">
    <dxf>
      <font>
        <sz val="11"/>
        <color theme="1"/>
        <name val="Calibri"/>
        <scheme val="none"/>
      </font>
    </dxf>
  </rfmt>
  <rfmt sheetId="1" sqref="AM378" start="0" length="0">
    <dxf>
      <font>
        <sz val="11"/>
        <color theme="1"/>
        <name val="Calibri"/>
        <scheme val="none"/>
      </font>
      <numFmt numFmtId="1" formatCode="0"/>
    </dxf>
  </rfmt>
  <rfmt sheetId="1" sqref="AN378" start="0" length="0">
    <dxf>
      <font>
        <sz val="11"/>
        <color theme="1"/>
        <name val="Calibri"/>
        <scheme val="none"/>
      </font>
      <numFmt numFmtId="1" formatCode="0"/>
    </dxf>
  </rfmt>
  <rfmt sheetId="1" sqref="AO378" start="0" length="0">
    <dxf>
      <font>
        <sz val="11"/>
        <color theme="1"/>
        <name val="Calibri"/>
        <scheme val="none"/>
      </font>
    </dxf>
  </rfmt>
  <rfmt sheetId="1" sqref="AP378" start="0" length="0">
    <dxf>
      <font>
        <sz val="11"/>
        <color theme="1"/>
        <name val="Calibri"/>
        <scheme val="none"/>
      </font>
    </dxf>
  </rfmt>
  <rfmt sheetId="1" sqref="AQ378" start="0" length="0">
    <dxf>
      <font>
        <sz val="11"/>
        <color theme="1"/>
        <name val="Calibri"/>
        <scheme val="none"/>
      </font>
      <numFmt numFmtId="164" formatCode="_-* #,##0_-;\-* #,##0_-;_-* &quot;-&quot;??_-;_-@_-"/>
    </dxf>
  </rfmt>
  <rfmt sheetId="1" sqref="AR378" start="0" length="0">
    <dxf>
      <font>
        <sz val="11"/>
        <color theme="1"/>
        <name val="Calibri"/>
        <scheme val="none"/>
      </font>
      <numFmt numFmtId="164" formatCode="_-* #,##0_-;\-* #,##0_-;_-* &quot;-&quot;??_-;_-@_-"/>
    </dxf>
  </rfmt>
  <rfmt sheetId="1" sqref="AS378" start="0" length="0">
    <dxf>
      <font>
        <sz val="11"/>
        <color theme="1"/>
        <name val="Calibri"/>
        <scheme val="none"/>
      </font>
      <numFmt numFmtId="164" formatCode="_-* #,##0_-;\-* #,##0_-;_-* &quot;-&quot;??_-;_-@_-"/>
    </dxf>
  </rfmt>
  <rfmt sheetId="1" sqref="AT378" start="0" length="0">
    <dxf>
      <font>
        <sz val="11"/>
        <color theme="1"/>
        <name val="Calibri"/>
        <scheme val="none"/>
      </font>
      <numFmt numFmtId="164" formatCode="_-* #,##0_-;\-* #,##0_-;_-* &quot;-&quot;??_-;_-@_-"/>
    </dxf>
  </rfmt>
  <rfmt sheetId="1" sqref="AU378" start="0" length="0">
    <dxf>
      <font>
        <sz val="11"/>
        <color theme="1"/>
        <name val="Calibri"/>
        <scheme val="none"/>
      </font>
    </dxf>
  </rfmt>
  <rfmt sheetId="1" sqref="AV378" start="0" length="0">
    <dxf>
      <font>
        <sz val="11"/>
        <color theme="1"/>
        <name val="Calibri"/>
        <scheme val="none"/>
      </font>
    </dxf>
  </rfmt>
  <rfmt sheetId="1" sqref="AW378" start="0" length="0">
    <dxf>
      <font>
        <sz val="11"/>
        <color theme="1"/>
        <name val="Calibri"/>
        <scheme val="none"/>
      </font>
    </dxf>
  </rfmt>
  <rfmt sheetId="1" sqref="AX378" start="0" length="0">
    <dxf>
      <font>
        <sz val="11"/>
        <color theme="1"/>
        <name val="Calibri"/>
        <scheme val="none"/>
      </font>
    </dxf>
  </rfmt>
  <rfmt sheetId="1" sqref="AY378" start="0" length="0">
    <dxf>
      <font>
        <sz val="11"/>
        <color theme="1"/>
        <name val="Calibri"/>
        <scheme val="none"/>
      </font>
    </dxf>
  </rfmt>
  <rfmt sheetId="1" sqref="A378:XFD378" start="0" length="0">
    <dxf>
      <font>
        <sz val="11"/>
        <color theme="1"/>
        <name val="Calibri"/>
        <scheme val="none"/>
      </font>
    </dxf>
  </rfmt>
  <rfmt sheetId="1" sqref="A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7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7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79" start="0" length="0">
    <dxf>
      <font>
        <sz val="11"/>
        <color theme="1"/>
        <name val="Calibri"/>
        <scheme val="none"/>
      </font>
    </dxf>
  </rfmt>
  <rfmt sheetId="1" sqref="AM379" start="0" length="0">
    <dxf>
      <font>
        <sz val="11"/>
        <color theme="1"/>
        <name val="Calibri"/>
        <scheme val="none"/>
      </font>
      <numFmt numFmtId="1" formatCode="0"/>
    </dxf>
  </rfmt>
  <rfmt sheetId="1" sqref="AN379" start="0" length="0">
    <dxf>
      <font>
        <sz val="11"/>
        <color theme="1"/>
        <name val="Calibri"/>
        <scheme val="none"/>
      </font>
      <numFmt numFmtId="1" formatCode="0"/>
    </dxf>
  </rfmt>
  <rfmt sheetId="1" sqref="AO379" start="0" length="0">
    <dxf>
      <font>
        <sz val="11"/>
        <color theme="1"/>
        <name val="Calibri"/>
        <scheme val="none"/>
      </font>
    </dxf>
  </rfmt>
  <rfmt sheetId="1" sqref="AP379" start="0" length="0">
    <dxf>
      <font>
        <sz val="11"/>
        <color theme="1"/>
        <name val="Calibri"/>
        <scheme val="none"/>
      </font>
    </dxf>
  </rfmt>
  <rfmt sheetId="1" sqref="AQ379" start="0" length="0">
    <dxf>
      <font>
        <sz val="11"/>
        <color theme="1"/>
        <name val="Calibri"/>
        <scheme val="none"/>
      </font>
      <numFmt numFmtId="164" formatCode="_-* #,##0_-;\-* #,##0_-;_-* &quot;-&quot;??_-;_-@_-"/>
    </dxf>
  </rfmt>
  <rfmt sheetId="1" sqref="AR379" start="0" length="0">
    <dxf>
      <font>
        <sz val="11"/>
        <color theme="1"/>
        <name val="Calibri"/>
        <scheme val="none"/>
      </font>
      <numFmt numFmtId="164" formatCode="_-* #,##0_-;\-* #,##0_-;_-* &quot;-&quot;??_-;_-@_-"/>
    </dxf>
  </rfmt>
  <rfmt sheetId="1" sqref="AS379" start="0" length="0">
    <dxf>
      <font>
        <sz val="11"/>
        <color theme="1"/>
        <name val="Calibri"/>
        <scheme val="none"/>
      </font>
      <numFmt numFmtId="164" formatCode="_-* #,##0_-;\-* #,##0_-;_-* &quot;-&quot;??_-;_-@_-"/>
    </dxf>
  </rfmt>
  <rfmt sheetId="1" sqref="AT379" start="0" length="0">
    <dxf>
      <font>
        <sz val="11"/>
        <color theme="1"/>
        <name val="Calibri"/>
        <scheme val="none"/>
      </font>
      <numFmt numFmtId="164" formatCode="_-* #,##0_-;\-* #,##0_-;_-* &quot;-&quot;??_-;_-@_-"/>
    </dxf>
  </rfmt>
  <rfmt sheetId="1" sqref="AU379" start="0" length="0">
    <dxf>
      <font>
        <sz val="11"/>
        <color theme="1"/>
        <name val="Calibri"/>
        <scheme val="none"/>
      </font>
    </dxf>
  </rfmt>
  <rfmt sheetId="1" sqref="AV379" start="0" length="0">
    <dxf>
      <font>
        <sz val="11"/>
        <color theme="1"/>
        <name val="Calibri"/>
        <scheme val="none"/>
      </font>
    </dxf>
  </rfmt>
  <rfmt sheetId="1" sqref="AW379" start="0" length="0">
    <dxf>
      <font>
        <sz val="11"/>
        <color theme="1"/>
        <name val="Calibri"/>
        <scheme val="none"/>
      </font>
    </dxf>
  </rfmt>
  <rfmt sheetId="1" sqref="AX379" start="0" length="0">
    <dxf>
      <font>
        <sz val="11"/>
        <color theme="1"/>
        <name val="Calibri"/>
        <scheme val="none"/>
      </font>
    </dxf>
  </rfmt>
  <rfmt sheetId="1" sqref="AY379" start="0" length="0">
    <dxf>
      <font>
        <sz val="11"/>
        <color theme="1"/>
        <name val="Calibri"/>
        <scheme val="none"/>
      </font>
    </dxf>
  </rfmt>
  <rfmt sheetId="1" sqref="A379:XFD379" start="0" length="0">
    <dxf>
      <font>
        <sz val="11"/>
        <color theme="1"/>
        <name val="Calibri"/>
        <scheme val="none"/>
      </font>
    </dxf>
  </rfmt>
  <rfmt sheetId="1" sqref="A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8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8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80" start="0" length="0">
    <dxf>
      <font>
        <sz val="11"/>
        <color theme="1"/>
        <name val="Calibri"/>
        <scheme val="none"/>
      </font>
    </dxf>
  </rfmt>
  <rfmt sheetId="1" sqref="AM380" start="0" length="0">
    <dxf>
      <font>
        <sz val="11"/>
        <color theme="1"/>
        <name val="Calibri"/>
        <scheme val="none"/>
      </font>
      <numFmt numFmtId="1" formatCode="0"/>
    </dxf>
  </rfmt>
  <rfmt sheetId="1" sqref="AN380" start="0" length="0">
    <dxf>
      <font>
        <sz val="11"/>
        <color theme="1"/>
        <name val="Calibri"/>
        <scheme val="none"/>
      </font>
      <numFmt numFmtId="1" formatCode="0"/>
    </dxf>
  </rfmt>
  <rfmt sheetId="1" sqref="AO380" start="0" length="0">
    <dxf>
      <font>
        <sz val="11"/>
        <color theme="1"/>
        <name val="Calibri"/>
        <scheme val="none"/>
      </font>
    </dxf>
  </rfmt>
  <rfmt sheetId="1" sqref="AP380" start="0" length="0">
    <dxf>
      <font>
        <sz val="11"/>
        <color theme="1"/>
        <name val="Calibri"/>
        <scheme val="none"/>
      </font>
    </dxf>
  </rfmt>
  <rfmt sheetId="1" sqref="AQ380" start="0" length="0">
    <dxf>
      <font>
        <sz val="11"/>
        <color theme="1"/>
        <name val="Calibri"/>
        <scheme val="none"/>
      </font>
      <numFmt numFmtId="164" formatCode="_-* #,##0_-;\-* #,##0_-;_-* &quot;-&quot;??_-;_-@_-"/>
    </dxf>
  </rfmt>
  <rfmt sheetId="1" sqref="AR380" start="0" length="0">
    <dxf>
      <font>
        <sz val="11"/>
        <color theme="1"/>
        <name val="Calibri"/>
        <scheme val="none"/>
      </font>
      <numFmt numFmtId="164" formatCode="_-* #,##0_-;\-* #,##0_-;_-* &quot;-&quot;??_-;_-@_-"/>
    </dxf>
  </rfmt>
  <rfmt sheetId="1" sqref="AS380" start="0" length="0">
    <dxf>
      <font>
        <sz val="11"/>
        <color theme="1"/>
        <name val="Calibri"/>
        <scheme val="none"/>
      </font>
      <numFmt numFmtId="164" formatCode="_-* #,##0_-;\-* #,##0_-;_-* &quot;-&quot;??_-;_-@_-"/>
    </dxf>
  </rfmt>
  <rfmt sheetId="1" sqref="AT380" start="0" length="0">
    <dxf>
      <font>
        <sz val="11"/>
        <color theme="1"/>
        <name val="Calibri"/>
        <scheme val="none"/>
      </font>
      <numFmt numFmtId="164" formatCode="_-* #,##0_-;\-* #,##0_-;_-* &quot;-&quot;??_-;_-@_-"/>
    </dxf>
  </rfmt>
  <rfmt sheetId="1" sqref="AU380" start="0" length="0">
    <dxf>
      <font>
        <sz val="11"/>
        <color theme="1"/>
        <name val="Calibri"/>
        <scheme val="none"/>
      </font>
    </dxf>
  </rfmt>
  <rfmt sheetId="1" sqref="AV380" start="0" length="0">
    <dxf>
      <font>
        <sz val="11"/>
        <color theme="1"/>
        <name val="Calibri"/>
        <scheme val="none"/>
      </font>
    </dxf>
  </rfmt>
  <rfmt sheetId="1" sqref="AW380" start="0" length="0">
    <dxf>
      <font>
        <sz val="11"/>
        <color theme="1"/>
        <name val="Calibri"/>
        <scheme val="none"/>
      </font>
    </dxf>
  </rfmt>
  <rfmt sheetId="1" sqref="AX380" start="0" length="0">
    <dxf>
      <font>
        <sz val="11"/>
        <color theme="1"/>
        <name val="Calibri"/>
        <scheme val="none"/>
      </font>
    </dxf>
  </rfmt>
  <rfmt sheetId="1" sqref="AY380" start="0" length="0">
    <dxf>
      <font>
        <sz val="11"/>
        <color theme="1"/>
        <name val="Calibri"/>
        <scheme val="none"/>
      </font>
    </dxf>
  </rfmt>
  <rfmt sheetId="1" sqref="A380:XFD380" start="0" length="0">
    <dxf>
      <font>
        <sz val="11"/>
        <color theme="1"/>
        <name val="Calibri"/>
        <scheme val="none"/>
      </font>
    </dxf>
  </rfmt>
  <rfmt sheetId="1" sqref="A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8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8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81" start="0" length="0">
    <dxf>
      <font>
        <sz val="11"/>
        <color theme="1"/>
        <name val="Calibri"/>
        <scheme val="none"/>
      </font>
    </dxf>
  </rfmt>
  <rfmt sheetId="1" sqref="AM381" start="0" length="0">
    <dxf>
      <font>
        <sz val="11"/>
        <color theme="1"/>
        <name val="Calibri"/>
        <scheme val="none"/>
      </font>
      <numFmt numFmtId="1" formatCode="0"/>
    </dxf>
  </rfmt>
  <rfmt sheetId="1" sqref="AN381" start="0" length="0">
    <dxf>
      <font>
        <sz val="11"/>
        <color theme="1"/>
        <name val="Calibri"/>
        <scheme val="none"/>
      </font>
      <numFmt numFmtId="1" formatCode="0"/>
    </dxf>
  </rfmt>
  <rfmt sheetId="1" sqref="AO381" start="0" length="0">
    <dxf>
      <font>
        <sz val="11"/>
        <color theme="1"/>
        <name val="Calibri"/>
        <scheme val="none"/>
      </font>
    </dxf>
  </rfmt>
  <rfmt sheetId="1" sqref="AP381" start="0" length="0">
    <dxf>
      <font>
        <sz val="11"/>
        <color theme="1"/>
        <name val="Calibri"/>
        <scheme val="none"/>
      </font>
    </dxf>
  </rfmt>
  <rfmt sheetId="1" sqref="AQ381" start="0" length="0">
    <dxf>
      <font>
        <sz val="11"/>
        <color theme="1"/>
        <name val="Calibri"/>
        <scheme val="none"/>
      </font>
      <numFmt numFmtId="164" formatCode="_-* #,##0_-;\-* #,##0_-;_-* &quot;-&quot;??_-;_-@_-"/>
    </dxf>
  </rfmt>
  <rfmt sheetId="1" sqref="AR381" start="0" length="0">
    <dxf>
      <font>
        <sz val="11"/>
        <color theme="1"/>
        <name val="Calibri"/>
        <scheme val="none"/>
      </font>
      <numFmt numFmtId="164" formatCode="_-* #,##0_-;\-* #,##0_-;_-* &quot;-&quot;??_-;_-@_-"/>
    </dxf>
  </rfmt>
  <rfmt sheetId="1" sqref="AS381" start="0" length="0">
    <dxf>
      <font>
        <sz val="11"/>
        <color theme="1"/>
        <name val="Calibri"/>
        <scheme val="none"/>
      </font>
      <numFmt numFmtId="164" formatCode="_-* #,##0_-;\-* #,##0_-;_-* &quot;-&quot;??_-;_-@_-"/>
    </dxf>
  </rfmt>
  <rfmt sheetId="1" sqref="AT381" start="0" length="0">
    <dxf>
      <font>
        <sz val="11"/>
        <color theme="1"/>
        <name val="Calibri"/>
        <scheme val="none"/>
      </font>
      <numFmt numFmtId="164" formatCode="_-* #,##0_-;\-* #,##0_-;_-* &quot;-&quot;??_-;_-@_-"/>
    </dxf>
  </rfmt>
  <rfmt sheetId="1" sqref="AU381" start="0" length="0">
    <dxf>
      <font>
        <sz val="11"/>
        <color theme="1"/>
        <name val="Calibri"/>
        <scheme val="none"/>
      </font>
    </dxf>
  </rfmt>
  <rfmt sheetId="1" sqref="AV381" start="0" length="0">
    <dxf>
      <font>
        <sz val="11"/>
        <color theme="1"/>
        <name val="Calibri"/>
        <scheme val="none"/>
      </font>
    </dxf>
  </rfmt>
  <rfmt sheetId="1" sqref="AW381" start="0" length="0">
    <dxf>
      <font>
        <sz val="11"/>
        <color theme="1"/>
        <name val="Calibri"/>
        <scheme val="none"/>
      </font>
    </dxf>
  </rfmt>
  <rfmt sheetId="1" sqref="AX381" start="0" length="0">
    <dxf>
      <font>
        <sz val="11"/>
        <color theme="1"/>
        <name val="Calibri"/>
        <scheme val="none"/>
      </font>
    </dxf>
  </rfmt>
  <rfmt sheetId="1" sqref="AY381" start="0" length="0">
    <dxf>
      <font>
        <sz val="11"/>
        <color theme="1"/>
        <name val="Calibri"/>
        <scheme val="none"/>
      </font>
    </dxf>
  </rfmt>
  <rfmt sheetId="1" sqref="A381:XFD381" start="0" length="0">
    <dxf>
      <font>
        <sz val="11"/>
        <color theme="1"/>
        <name val="Calibri"/>
        <scheme val="none"/>
      </font>
    </dxf>
  </rfmt>
  <rfmt sheetId="1" sqref="A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8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8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82" start="0" length="0">
    <dxf>
      <font>
        <sz val="11"/>
        <color theme="1"/>
        <name val="Calibri"/>
        <scheme val="none"/>
      </font>
    </dxf>
  </rfmt>
  <rfmt sheetId="1" sqref="AM382" start="0" length="0">
    <dxf>
      <font>
        <sz val="11"/>
        <color theme="1"/>
        <name val="Calibri"/>
        <scheme val="none"/>
      </font>
      <numFmt numFmtId="1" formatCode="0"/>
    </dxf>
  </rfmt>
  <rfmt sheetId="1" sqref="AN382" start="0" length="0">
    <dxf>
      <font>
        <sz val="11"/>
        <color theme="1"/>
        <name val="Calibri"/>
        <scheme val="none"/>
      </font>
      <numFmt numFmtId="1" formatCode="0"/>
    </dxf>
  </rfmt>
  <rfmt sheetId="1" sqref="AO382" start="0" length="0">
    <dxf>
      <font>
        <sz val="11"/>
        <color theme="1"/>
        <name val="Calibri"/>
        <scheme val="none"/>
      </font>
    </dxf>
  </rfmt>
  <rfmt sheetId="1" sqref="AP382" start="0" length="0">
    <dxf>
      <font>
        <sz val="11"/>
        <color theme="1"/>
        <name val="Calibri"/>
        <scheme val="none"/>
      </font>
    </dxf>
  </rfmt>
  <rfmt sheetId="1" sqref="AQ382" start="0" length="0">
    <dxf>
      <font>
        <sz val="11"/>
        <color theme="1"/>
        <name val="Calibri"/>
        <scheme val="none"/>
      </font>
      <numFmt numFmtId="164" formatCode="_-* #,##0_-;\-* #,##0_-;_-* &quot;-&quot;??_-;_-@_-"/>
    </dxf>
  </rfmt>
  <rfmt sheetId="1" sqref="AR382" start="0" length="0">
    <dxf>
      <font>
        <sz val="11"/>
        <color theme="1"/>
        <name val="Calibri"/>
        <scheme val="none"/>
      </font>
      <numFmt numFmtId="164" formatCode="_-* #,##0_-;\-* #,##0_-;_-* &quot;-&quot;??_-;_-@_-"/>
    </dxf>
  </rfmt>
  <rfmt sheetId="1" sqref="AS382" start="0" length="0">
    <dxf>
      <font>
        <sz val="11"/>
        <color theme="1"/>
        <name val="Calibri"/>
        <scheme val="none"/>
      </font>
      <numFmt numFmtId="164" formatCode="_-* #,##0_-;\-* #,##0_-;_-* &quot;-&quot;??_-;_-@_-"/>
    </dxf>
  </rfmt>
  <rfmt sheetId="1" sqref="AT382" start="0" length="0">
    <dxf>
      <font>
        <sz val="11"/>
        <color theme="1"/>
        <name val="Calibri"/>
        <scheme val="none"/>
      </font>
      <numFmt numFmtId="164" formatCode="_-* #,##0_-;\-* #,##0_-;_-* &quot;-&quot;??_-;_-@_-"/>
    </dxf>
  </rfmt>
  <rfmt sheetId="1" sqref="AU382" start="0" length="0">
    <dxf>
      <font>
        <sz val="11"/>
        <color theme="1"/>
        <name val="Calibri"/>
        <scheme val="none"/>
      </font>
    </dxf>
  </rfmt>
  <rfmt sheetId="1" sqref="AV382" start="0" length="0">
    <dxf>
      <font>
        <sz val="11"/>
        <color theme="1"/>
        <name val="Calibri"/>
        <scheme val="none"/>
      </font>
    </dxf>
  </rfmt>
  <rfmt sheetId="1" sqref="AW382" start="0" length="0">
    <dxf>
      <font>
        <sz val="11"/>
        <color theme="1"/>
        <name val="Calibri"/>
        <scheme val="none"/>
      </font>
    </dxf>
  </rfmt>
  <rfmt sheetId="1" sqref="AX382" start="0" length="0">
    <dxf>
      <font>
        <sz val="11"/>
        <color theme="1"/>
        <name val="Calibri"/>
        <scheme val="none"/>
      </font>
    </dxf>
  </rfmt>
  <rfmt sheetId="1" sqref="AY382" start="0" length="0">
    <dxf>
      <font>
        <sz val="11"/>
        <color theme="1"/>
        <name val="Calibri"/>
        <scheme val="none"/>
      </font>
    </dxf>
  </rfmt>
  <rfmt sheetId="1" sqref="A382:XFD382" start="0" length="0">
    <dxf>
      <font>
        <sz val="11"/>
        <color theme="1"/>
        <name val="Calibri"/>
        <scheme val="none"/>
      </font>
    </dxf>
  </rfmt>
  <rfmt sheetId="1" sqref="A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8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8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83" start="0" length="0">
    <dxf>
      <font>
        <sz val="11"/>
        <color theme="1"/>
        <name val="Calibri"/>
        <scheme val="none"/>
      </font>
    </dxf>
  </rfmt>
  <rfmt sheetId="1" sqref="AM383" start="0" length="0">
    <dxf>
      <font>
        <sz val="11"/>
        <color theme="1"/>
        <name val="Calibri"/>
        <scheme val="none"/>
      </font>
      <numFmt numFmtId="1" formatCode="0"/>
    </dxf>
  </rfmt>
  <rfmt sheetId="1" sqref="AN383" start="0" length="0">
    <dxf>
      <font>
        <sz val="11"/>
        <color theme="1"/>
        <name val="Calibri"/>
        <scheme val="none"/>
      </font>
      <numFmt numFmtId="1" formatCode="0"/>
    </dxf>
  </rfmt>
  <rfmt sheetId="1" sqref="AO383" start="0" length="0">
    <dxf>
      <font>
        <sz val="11"/>
        <color theme="1"/>
        <name val="Calibri"/>
        <scheme val="none"/>
      </font>
    </dxf>
  </rfmt>
  <rfmt sheetId="1" sqref="AP383" start="0" length="0">
    <dxf>
      <font>
        <sz val="11"/>
        <color theme="1"/>
        <name val="Calibri"/>
        <scheme val="none"/>
      </font>
    </dxf>
  </rfmt>
  <rfmt sheetId="1" sqref="AQ383" start="0" length="0">
    <dxf>
      <font>
        <sz val="11"/>
        <color theme="1"/>
        <name val="Calibri"/>
        <scheme val="none"/>
      </font>
      <numFmt numFmtId="164" formatCode="_-* #,##0_-;\-* #,##0_-;_-* &quot;-&quot;??_-;_-@_-"/>
    </dxf>
  </rfmt>
  <rfmt sheetId="1" sqref="AR383" start="0" length="0">
    <dxf>
      <font>
        <sz val="11"/>
        <color theme="1"/>
        <name val="Calibri"/>
        <scheme val="none"/>
      </font>
      <numFmt numFmtId="164" formatCode="_-* #,##0_-;\-* #,##0_-;_-* &quot;-&quot;??_-;_-@_-"/>
    </dxf>
  </rfmt>
  <rfmt sheetId="1" sqref="AS383" start="0" length="0">
    <dxf>
      <font>
        <sz val="11"/>
        <color theme="1"/>
        <name val="Calibri"/>
        <scheme val="none"/>
      </font>
      <numFmt numFmtId="164" formatCode="_-* #,##0_-;\-* #,##0_-;_-* &quot;-&quot;??_-;_-@_-"/>
    </dxf>
  </rfmt>
  <rfmt sheetId="1" sqref="AT383" start="0" length="0">
    <dxf>
      <font>
        <sz val="11"/>
        <color theme="1"/>
        <name val="Calibri"/>
        <scheme val="none"/>
      </font>
      <numFmt numFmtId="164" formatCode="_-* #,##0_-;\-* #,##0_-;_-* &quot;-&quot;??_-;_-@_-"/>
    </dxf>
  </rfmt>
  <rfmt sheetId="1" sqref="AU383" start="0" length="0">
    <dxf>
      <font>
        <sz val="11"/>
        <color theme="1"/>
        <name val="Calibri"/>
        <scheme val="none"/>
      </font>
    </dxf>
  </rfmt>
  <rfmt sheetId="1" sqref="AV383" start="0" length="0">
    <dxf>
      <font>
        <sz val="11"/>
        <color theme="1"/>
        <name val="Calibri"/>
        <scheme val="none"/>
      </font>
    </dxf>
  </rfmt>
  <rfmt sheetId="1" sqref="AW383" start="0" length="0">
    <dxf>
      <font>
        <sz val="11"/>
        <color theme="1"/>
        <name val="Calibri"/>
        <scheme val="none"/>
      </font>
    </dxf>
  </rfmt>
  <rfmt sheetId="1" sqref="AX383" start="0" length="0">
    <dxf>
      <font>
        <sz val="11"/>
        <color theme="1"/>
        <name val="Calibri"/>
        <scheme val="none"/>
      </font>
    </dxf>
  </rfmt>
  <rfmt sheetId="1" sqref="AY383" start="0" length="0">
    <dxf>
      <font>
        <sz val="11"/>
        <color theme="1"/>
        <name val="Calibri"/>
        <scheme val="none"/>
      </font>
    </dxf>
  </rfmt>
  <rfmt sheetId="1" sqref="A383:XFD383" start="0" length="0">
    <dxf>
      <font>
        <sz val="11"/>
        <color theme="1"/>
        <name val="Calibri"/>
        <scheme val="none"/>
      </font>
    </dxf>
  </rfmt>
  <rfmt sheetId="1" sqref="A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8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8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84" start="0" length="0">
    <dxf>
      <font>
        <sz val="11"/>
        <color theme="1"/>
        <name val="Calibri"/>
        <scheme val="none"/>
      </font>
    </dxf>
  </rfmt>
  <rfmt sheetId="1" sqref="AM384" start="0" length="0">
    <dxf>
      <font>
        <sz val="11"/>
        <color theme="1"/>
        <name val="Calibri"/>
        <scheme val="none"/>
      </font>
      <numFmt numFmtId="1" formatCode="0"/>
    </dxf>
  </rfmt>
  <rfmt sheetId="1" sqref="AN384" start="0" length="0">
    <dxf>
      <font>
        <sz val="11"/>
        <color theme="1"/>
        <name val="Calibri"/>
        <scheme val="none"/>
      </font>
      <numFmt numFmtId="1" formatCode="0"/>
    </dxf>
  </rfmt>
  <rfmt sheetId="1" sqref="AO384" start="0" length="0">
    <dxf>
      <font>
        <sz val="11"/>
        <color theme="1"/>
        <name val="Calibri"/>
        <scheme val="none"/>
      </font>
    </dxf>
  </rfmt>
  <rfmt sheetId="1" sqref="AP384" start="0" length="0">
    <dxf>
      <font>
        <sz val="11"/>
        <color theme="1"/>
        <name val="Calibri"/>
        <scheme val="none"/>
      </font>
    </dxf>
  </rfmt>
  <rfmt sheetId="1" sqref="AQ384" start="0" length="0">
    <dxf>
      <font>
        <sz val="11"/>
        <color theme="1"/>
        <name val="Calibri"/>
        <scheme val="none"/>
      </font>
      <numFmt numFmtId="164" formatCode="_-* #,##0_-;\-* #,##0_-;_-* &quot;-&quot;??_-;_-@_-"/>
    </dxf>
  </rfmt>
  <rfmt sheetId="1" sqref="AR384" start="0" length="0">
    <dxf>
      <font>
        <sz val="11"/>
        <color theme="1"/>
        <name val="Calibri"/>
        <scheme val="none"/>
      </font>
      <numFmt numFmtId="164" formatCode="_-* #,##0_-;\-* #,##0_-;_-* &quot;-&quot;??_-;_-@_-"/>
    </dxf>
  </rfmt>
  <rfmt sheetId="1" sqref="AS384" start="0" length="0">
    <dxf>
      <font>
        <sz val="11"/>
        <color theme="1"/>
        <name val="Calibri"/>
        <scheme val="none"/>
      </font>
      <numFmt numFmtId="164" formatCode="_-* #,##0_-;\-* #,##0_-;_-* &quot;-&quot;??_-;_-@_-"/>
    </dxf>
  </rfmt>
  <rfmt sheetId="1" sqref="AT384" start="0" length="0">
    <dxf>
      <font>
        <sz val="11"/>
        <color theme="1"/>
        <name val="Calibri"/>
        <scheme val="none"/>
      </font>
      <numFmt numFmtId="164" formatCode="_-* #,##0_-;\-* #,##0_-;_-* &quot;-&quot;??_-;_-@_-"/>
    </dxf>
  </rfmt>
  <rfmt sheetId="1" sqref="AU384" start="0" length="0">
    <dxf>
      <font>
        <sz val="11"/>
        <color theme="1"/>
        <name val="Calibri"/>
        <scheme val="none"/>
      </font>
    </dxf>
  </rfmt>
  <rfmt sheetId="1" sqref="AV384" start="0" length="0">
    <dxf>
      <font>
        <sz val="11"/>
        <color theme="1"/>
        <name val="Calibri"/>
        <scheme val="none"/>
      </font>
    </dxf>
  </rfmt>
  <rfmt sheetId="1" sqref="AW384" start="0" length="0">
    <dxf>
      <font>
        <sz val="11"/>
        <color theme="1"/>
        <name val="Calibri"/>
        <scheme val="none"/>
      </font>
    </dxf>
  </rfmt>
  <rfmt sheetId="1" sqref="AX384" start="0" length="0">
    <dxf>
      <font>
        <sz val="11"/>
        <color theme="1"/>
        <name val="Calibri"/>
        <scheme val="none"/>
      </font>
    </dxf>
  </rfmt>
  <rfmt sheetId="1" sqref="AY384" start="0" length="0">
    <dxf>
      <font>
        <sz val="11"/>
        <color theme="1"/>
        <name val="Calibri"/>
        <scheme val="none"/>
      </font>
    </dxf>
  </rfmt>
  <rfmt sheetId="1" sqref="A384:XFD384" start="0" length="0">
    <dxf>
      <font>
        <sz val="11"/>
        <color theme="1"/>
        <name val="Calibri"/>
        <scheme val="none"/>
      </font>
    </dxf>
  </rfmt>
  <rfmt sheetId="1" sqref="A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8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8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85" start="0" length="0">
    <dxf>
      <font>
        <sz val="11"/>
        <color theme="1"/>
        <name val="Calibri"/>
        <scheme val="none"/>
      </font>
    </dxf>
  </rfmt>
  <rfmt sheetId="1" sqref="AM385" start="0" length="0">
    <dxf>
      <font>
        <sz val="11"/>
        <color theme="1"/>
        <name val="Calibri"/>
        <scheme val="none"/>
      </font>
      <numFmt numFmtId="1" formatCode="0"/>
    </dxf>
  </rfmt>
  <rfmt sheetId="1" sqref="AN385" start="0" length="0">
    <dxf>
      <font>
        <sz val="11"/>
        <color theme="1"/>
        <name val="Calibri"/>
        <scheme val="none"/>
      </font>
      <numFmt numFmtId="1" formatCode="0"/>
    </dxf>
  </rfmt>
  <rfmt sheetId="1" sqref="AO385" start="0" length="0">
    <dxf>
      <font>
        <sz val="11"/>
        <color theme="1"/>
        <name val="Calibri"/>
        <scheme val="none"/>
      </font>
    </dxf>
  </rfmt>
  <rfmt sheetId="1" sqref="AP385" start="0" length="0">
    <dxf>
      <font>
        <sz val="11"/>
        <color theme="1"/>
        <name val="Calibri"/>
        <scheme val="none"/>
      </font>
    </dxf>
  </rfmt>
  <rfmt sheetId="1" sqref="AQ385" start="0" length="0">
    <dxf>
      <font>
        <sz val="11"/>
        <color theme="1"/>
        <name val="Calibri"/>
        <scheme val="none"/>
      </font>
      <numFmt numFmtId="164" formatCode="_-* #,##0_-;\-* #,##0_-;_-* &quot;-&quot;??_-;_-@_-"/>
    </dxf>
  </rfmt>
  <rfmt sheetId="1" sqref="AR385" start="0" length="0">
    <dxf>
      <font>
        <sz val="11"/>
        <color theme="1"/>
        <name val="Calibri"/>
        <scheme val="none"/>
      </font>
      <numFmt numFmtId="164" formatCode="_-* #,##0_-;\-* #,##0_-;_-* &quot;-&quot;??_-;_-@_-"/>
    </dxf>
  </rfmt>
  <rfmt sheetId="1" sqref="AS385" start="0" length="0">
    <dxf>
      <font>
        <sz val="11"/>
        <color theme="1"/>
        <name val="Calibri"/>
        <scheme val="none"/>
      </font>
      <numFmt numFmtId="164" formatCode="_-* #,##0_-;\-* #,##0_-;_-* &quot;-&quot;??_-;_-@_-"/>
    </dxf>
  </rfmt>
  <rfmt sheetId="1" sqref="AT385" start="0" length="0">
    <dxf>
      <font>
        <sz val="11"/>
        <color theme="1"/>
        <name val="Calibri"/>
        <scheme val="none"/>
      </font>
      <numFmt numFmtId="164" formatCode="_-* #,##0_-;\-* #,##0_-;_-* &quot;-&quot;??_-;_-@_-"/>
    </dxf>
  </rfmt>
  <rfmt sheetId="1" sqref="AU385" start="0" length="0">
    <dxf>
      <font>
        <sz val="11"/>
        <color theme="1"/>
        <name val="Calibri"/>
        <scheme val="none"/>
      </font>
    </dxf>
  </rfmt>
  <rfmt sheetId="1" sqref="AV385" start="0" length="0">
    <dxf>
      <font>
        <sz val="11"/>
        <color theme="1"/>
        <name val="Calibri"/>
        <scheme val="none"/>
      </font>
    </dxf>
  </rfmt>
  <rfmt sheetId="1" sqref="AW385" start="0" length="0">
    <dxf>
      <font>
        <sz val="11"/>
        <color theme="1"/>
        <name val="Calibri"/>
        <scheme val="none"/>
      </font>
    </dxf>
  </rfmt>
  <rfmt sheetId="1" sqref="AX385" start="0" length="0">
    <dxf>
      <font>
        <sz val="11"/>
        <color theme="1"/>
        <name val="Calibri"/>
        <scheme val="none"/>
      </font>
    </dxf>
  </rfmt>
  <rfmt sheetId="1" sqref="AY385" start="0" length="0">
    <dxf>
      <font>
        <sz val="11"/>
        <color theme="1"/>
        <name val="Calibri"/>
        <scheme val="none"/>
      </font>
    </dxf>
  </rfmt>
  <rfmt sheetId="1" sqref="A385:XFD385" start="0" length="0">
    <dxf>
      <font>
        <sz val="11"/>
        <color theme="1"/>
        <name val="Calibri"/>
        <scheme val="none"/>
      </font>
    </dxf>
  </rfmt>
  <rfmt sheetId="1" sqref="A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8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8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86" start="0" length="0">
    <dxf>
      <font>
        <sz val="11"/>
        <color theme="1"/>
        <name val="Calibri"/>
        <scheme val="none"/>
      </font>
    </dxf>
  </rfmt>
  <rfmt sheetId="1" sqref="AM386" start="0" length="0">
    <dxf>
      <font>
        <sz val="11"/>
        <color theme="1"/>
        <name val="Calibri"/>
        <scheme val="none"/>
      </font>
      <numFmt numFmtId="1" formatCode="0"/>
    </dxf>
  </rfmt>
  <rfmt sheetId="1" sqref="AN386" start="0" length="0">
    <dxf>
      <font>
        <sz val="11"/>
        <color theme="1"/>
        <name val="Calibri"/>
        <scheme val="none"/>
      </font>
      <numFmt numFmtId="1" formatCode="0"/>
    </dxf>
  </rfmt>
  <rfmt sheetId="1" sqref="AO386" start="0" length="0">
    <dxf>
      <font>
        <sz val="11"/>
        <color theme="1"/>
        <name val="Calibri"/>
        <scheme val="none"/>
      </font>
    </dxf>
  </rfmt>
  <rfmt sheetId="1" sqref="AP386" start="0" length="0">
    <dxf>
      <font>
        <sz val="11"/>
        <color theme="1"/>
        <name val="Calibri"/>
        <scheme val="none"/>
      </font>
    </dxf>
  </rfmt>
  <rfmt sheetId="1" sqref="AQ386" start="0" length="0">
    <dxf>
      <font>
        <sz val="11"/>
        <color theme="1"/>
        <name val="Calibri"/>
        <scheme val="none"/>
      </font>
      <numFmt numFmtId="164" formatCode="_-* #,##0_-;\-* #,##0_-;_-* &quot;-&quot;??_-;_-@_-"/>
    </dxf>
  </rfmt>
  <rfmt sheetId="1" sqref="AR386" start="0" length="0">
    <dxf>
      <font>
        <sz val="11"/>
        <color theme="1"/>
        <name val="Calibri"/>
        <scheme val="none"/>
      </font>
      <numFmt numFmtId="164" formatCode="_-* #,##0_-;\-* #,##0_-;_-* &quot;-&quot;??_-;_-@_-"/>
    </dxf>
  </rfmt>
  <rfmt sheetId="1" sqref="AS386" start="0" length="0">
    <dxf>
      <font>
        <sz val="11"/>
        <color theme="1"/>
        <name val="Calibri"/>
        <scheme val="none"/>
      </font>
      <numFmt numFmtId="164" formatCode="_-* #,##0_-;\-* #,##0_-;_-* &quot;-&quot;??_-;_-@_-"/>
    </dxf>
  </rfmt>
  <rfmt sheetId="1" sqref="AT386" start="0" length="0">
    <dxf>
      <font>
        <sz val="11"/>
        <color theme="1"/>
        <name val="Calibri"/>
        <scheme val="none"/>
      </font>
      <numFmt numFmtId="164" formatCode="_-* #,##0_-;\-* #,##0_-;_-* &quot;-&quot;??_-;_-@_-"/>
    </dxf>
  </rfmt>
  <rfmt sheetId="1" sqref="AU386" start="0" length="0">
    <dxf>
      <font>
        <sz val="11"/>
        <color theme="1"/>
        <name val="Calibri"/>
        <scheme val="none"/>
      </font>
    </dxf>
  </rfmt>
  <rfmt sheetId="1" sqref="AV386" start="0" length="0">
    <dxf>
      <font>
        <sz val="11"/>
        <color theme="1"/>
        <name val="Calibri"/>
        <scheme val="none"/>
      </font>
    </dxf>
  </rfmt>
  <rfmt sheetId="1" sqref="AW386" start="0" length="0">
    <dxf>
      <font>
        <sz val="11"/>
        <color theme="1"/>
        <name val="Calibri"/>
        <scheme val="none"/>
      </font>
    </dxf>
  </rfmt>
  <rfmt sheetId="1" sqref="AX386" start="0" length="0">
    <dxf>
      <font>
        <sz val="11"/>
        <color theme="1"/>
        <name val="Calibri"/>
        <scheme val="none"/>
      </font>
    </dxf>
  </rfmt>
  <rfmt sheetId="1" sqref="AY386" start="0" length="0">
    <dxf>
      <font>
        <sz val="11"/>
        <color theme="1"/>
        <name val="Calibri"/>
        <scheme val="none"/>
      </font>
    </dxf>
  </rfmt>
  <rfmt sheetId="1" sqref="A386:XFD386" start="0" length="0">
    <dxf>
      <font>
        <sz val="11"/>
        <color theme="1"/>
        <name val="Calibri"/>
        <scheme val="none"/>
      </font>
    </dxf>
  </rfmt>
  <rfmt sheetId="1" sqref="A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8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8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87" start="0" length="0">
    <dxf>
      <font>
        <sz val="11"/>
        <color theme="1"/>
        <name val="Calibri"/>
        <scheme val="none"/>
      </font>
    </dxf>
  </rfmt>
  <rfmt sheetId="1" sqref="AM387" start="0" length="0">
    <dxf>
      <font>
        <sz val="11"/>
        <color theme="1"/>
        <name val="Calibri"/>
        <scheme val="none"/>
      </font>
      <numFmt numFmtId="1" formatCode="0"/>
    </dxf>
  </rfmt>
  <rfmt sheetId="1" sqref="AN387" start="0" length="0">
    <dxf>
      <font>
        <sz val="11"/>
        <color theme="1"/>
        <name val="Calibri"/>
        <scheme val="none"/>
      </font>
      <numFmt numFmtId="1" formatCode="0"/>
    </dxf>
  </rfmt>
  <rfmt sheetId="1" sqref="AO387" start="0" length="0">
    <dxf>
      <font>
        <sz val="11"/>
        <color theme="1"/>
        <name val="Calibri"/>
        <scheme val="none"/>
      </font>
    </dxf>
  </rfmt>
  <rfmt sheetId="1" sqref="AP387" start="0" length="0">
    <dxf>
      <font>
        <sz val="11"/>
        <color theme="1"/>
        <name val="Calibri"/>
        <scheme val="none"/>
      </font>
    </dxf>
  </rfmt>
  <rfmt sheetId="1" sqref="AQ387" start="0" length="0">
    <dxf>
      <font>
        <sz val="11"/>
        <color theme="1"/>
        <name val="Calibri"/>
        <scheme val="none"/>
      </font>
      <numFmt numFmtId="164" formatCode="_-* #,##0_-;\-* #,##0_-;_-* &quot;-&quot;??_-;_-@_-"/>
    </dxf>
  </rfmt>
  <rfmt sheetId="1" sqref="AR387" start="0" length="0">
    <dxf>
      <font>
        <sz val="11"/>
        <color theme="1"/>
        <name val="Calibri"/>
        <scheme val="none"/>
      </font>
      <numFmt numFmtId="164" formatCode="_-* #,##0_-;\-* #,##0_-;_-* &quot;-&quot;??_-;_-@_-"/>
    </dxf>
  </rfmt>
  <rfmt sheetId="1" sqref="AS387" start="0" length="0">
    <dxf>
      <font>
        <sz val="11"/>
        <color theme="1"/>
        <name val="Calibri"/>
        <scheme val="none"/>
      </font>
      <numFmt numFmtId="164" formatCode="_-* #,##0_-;\-* #,##0_-;_-* &quot;-&quot;??_-;_-@_-"/>
    </dxf>
  </rfmt>
  <rfmt sheetId="1" sqref="AT387" start="0" length="0">
    <dxf>
      <font>
        <sz val="11"/>
        <color theme="1"/>
        <name val="Calibri"/>
        <scheme val="none"/>
      </font>
      <numFmt numFmtId="164" formatCode="_-* #,##0_-;\-* #,##0_-;_-* &quot;-&quot;??_-;_-@_-"/>
    </dxf>
  </rfmt>
  <rfmt sheetId="1" sqref="AU387" start="0" length="0">
    <dxf>
      <font>
        <sz val="11"/>
        <color theme="1"/>
        <name val="Calibri"/>
        <scheme val="none"/>
      </font>
    </dxf>
  </rfmt>
  <rfmt sheetId="1" sqref="AV387" start="0" length="0">
    <dxf>
      <font>
        <sz val="11"/>
        <color theme="1"/>
        <name val="Calibri"/>
        <scheme val="none"/>
      </font>
    </dxf>
  </rfmt>
  <rfmt sheetId="1" sqref="AW387" start="0" length="0">
    <dxf>
      <font>
        <sz val="11"/>
        <color theme="1"/>
        <name val="Calibri"/>
        <scheme val="none"/>
      </font>
    </dxf>
  </rfmt>
  <rfmt sheetId="1" sqref="AX387" start="0" length="0">
    <dxf>
      <font>
        <sz val="11"/>
        <color theme="1"/>
        <name val="Calibri"/>
        <scheme val="none"/>
      </font>
    </dxf>
  </rfmt>
  <rfmt sheetId="1" sqref="AY387" start="0" length="0">
    <dxf>
      <font>
        <sz val="11"/>
        <color theme="1"/>
        <name val="Calibri"/>
        <scheme val="none"/>
      </font>
    </dxf>
  </rfmt>
  <rfmt sheetId="1" sqref="A387:XFD387" start="0" length="0">
    <dxf>
      <font>
        <sz val="11"/>
        <color theme="1"/>
        <name val="Calibri"/>
        <scheme val="none"/>
      </font>
    </dxf>
  </rfmt>
  <rfmt sheetId="1" sqref="A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8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8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88" start="0" length="0">
    <dxf>
      <font>
        <sz val="11"/>
        <color theme="1"/>
        <name val="Calibri"/>
        <scheme val="none"/>
      </font>
    </dxf>
  </rfmt>
  <rfmt sheetId="1" sqref="AM388" start="0" length="0">
    <dxf>
      <font>
        <sz val="11"/>
        <color theme="1"/>
        <name val="Calibri"/>
        <scheme val="none"/>
      </font>
      <numFmt numFmtId="1" formatCode="0"/>
    </dxf>
  </rfmt>
  <rfmt sheetId="1" sqref="AN388" start="0" length="0">
    <dxf>
      <font>
        <sz val="11"/>
        <color theme="1"/>
        <name val="Calibri"/>
        <scheme val="none"/>
      </font>
      <numFmt numFmtId="1" formatCode="0"/>
    </dxf>
  </rfmt>
  <rfmt sheetId="1" sqref="AO388" start="0" length="0">
    <dxf>
      <font>
        <sz val="11"/>
        <color theme="1"/>
        <name val="Calibri"/>
        <scheme val="none"/>
      </font>
    </dxf>
  </rfmt>
  <rfmt sheetId="1" sqref="AP388" start="0" length="0">
    <dxf>
      <font>
        <sz val="11"/>
        <color theme="1"/>
        <name val="Calibri"/>
        <scheme val="none"/>
      </font>
    </dxf>
  </rfmt>
  <rfmt sheetId="1" sqref="AQ388" start="0" length="0">
    <dxf>
      <font>
        <sz val="11"/>
        <color theme="1"/>
        <name val="Calibri"/>
        <scheme val="none"/>
      </font>
      <numFmt numFmtId="164" formatCode="_-* #,##0_-;\-* #,##0_-;_-* &quot;-&quot;??_-;_-@_-"/>
    </dxf>
  </rfmt>
  <rfmt sheetId="1" sqref="AR388" start="0" length="0">
    <dxf>
      <font>
        <sz val="11"/>
        <color theme="1"/>
        <name val="Calibri"/>
        <scheme val="none"/>
      </font>
      <numFmt numFmtId="164" formatCode="_-* #,##0_-;\-* #,##0_-;_-* &quot;-&quot;??_-;_-@_-"/>
    </dxf>
  </rfmt>
  <rfmt sheetId="1" sqref="AS388" start="0" length="0">
    <dxf>
      <font>
        <sz val="11"/>
        <color theme="1"/>
        <name val="Calibri"/>
        <scheme val="none"/>
      </font>
      <numFmt numFmtId="164" formatCode="_-* #,##0_-;\-* #,##0_-;_-* &quot;-&quot;??_-;_-@_-"/>
    </dxf>
  </rfmt>
  <rfmt sheetId="1" sqref="AT388" start="0" length="0">
    <dxf>
      <font>
        <sz val="11"/>
        <color theme="1"/>
        <name val="Calibri"/>
        <scheme val="none"/>
      </font>
      <numFmt numFmtId="164" formatCode="_-* #,##0_-;\-* #,##0_-;_-* &quot;-&quot;??_-;_-@_-"/>
    </dxf>
  </rfmt>
  <rfmt sheetId="1" sqref="AU388" start="0" length="0">
    <dxf>
      <font>
        <sz val="11"/>
        <color theme="1"/>
        <name val="Calibri"/>
        <scheme val="none"/>
      </font>
    </dxf>
  </rfmt>
  <rfmt sheetId="1" sqref="AV388" start="0" length="0">
    <dxf>
      <font>
        <sz val="11"/>
        <color theme="1"/>
        <name val="Calibri"/>
        <scheme val="none"/>
      </font>
    </dxf>
  </rfmt>
  <rfmt sheetId="1" sqref="AW388" start="0" length="0">
    <dxf>
      <font>
        <sz val="11"/>
        <color theme="1"/>
        <name val="Calibri"/>
        <scheme val="none"/>
      </font>
    </dxf>
  </rfmt>
  <rfmt sheetId="1" sqref="AX388" start="0" length="0">
    <dxf>
      <font>
        <sz val="11"/>
        <color theme="1"/>
        <name val="Calibri"/>
        <scheme val="none"/>
      </font>
    </dxf>
  </rfmt>
  <rfmt sheetId="1" sqref="AY388" start="0" length="0">
    <dxf>
      <font>
        <sz val="11"/>
        <color theme="1"/>
        <name val="Calibri"/>
        <scheme val="none"/>
      </font>
    </dxf>
  </rfmt>
  <rfmt sheetId="1" sqref="A388:XFD388" start="0" length="0">
    <dxf>
      <font>
        <sz val="11"/>
        <color theme="1"/>
        <name val="Calibri"/>
        <scheme val="none"/>
      </font>
    </dxf>
  </rfmt>
  <rfmt sheetId="1" sqref="A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8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8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89" start="0" length="0">
    <dxf>
      <font>
        <sz val="11"/>
        <color theme="1"/>
        <name val="Calibri"/>
        <scheme val="none"/>
      </font>
    </dxf>
  </rfmt>
  <rfmt sheetId="1" sqref="AM389" start="0" length="0">
    <dxf>
      <font>
        <sz val="11"/>
        <color theme="1"/>
        <name val="Calibri"/>
        <scheme val="none"/>
      </font>
      <numFmt numFmtId="1" formatCode="0"/>
    </dxf>
  </rfmt>
  <rfmt sheetId="1" sqref="AN389" start="0" length="0">
    <dxf>
      <font>
        <sz val="11"/>
        <color theme="1"/>
        <name val="Calibri"/>
        <scheme val="none"/>
      </font>
      <numFmt numFmtId="1" formatCode="0"/>
    </dxf>
  </rfmt>
  <rfmt sheetId="1" sqref="AO389" start="0" length="0">
    <dxf>
      <font>
        <sz val="11"/>
        <color theme="1"/>
        <name val="Calibri"/>
        <scheme val="none"/>
      </font>
    </dxf>
  </rfmt>
  <rfmt sheetId="1" sqref="AP389" start="0" length="0">
    <dxf>
      <font>
        <sz val="11"/>
        <color theme="1"/>
        <name val="Calibri"/>
        <scheme val="none"/>
      </font>
    </dxf>
  </rfmt>
  <rfmt sheetId="1" sqref="AQ389" start="0" length="0">
    <dxf>
      <font>
        <sz val="11"/>
        <color theme="1"/>
        <name val="Calibri"/>
        <scheme val="none"/>
      </font>
      <numFmt numFmtId="164" formatCode="_-* #,##0_-;\-* #,##0_-;_-* &quot;-&quot;??_-;_-@_-"/>
    </dxf>
  </rfmt>
  <rfmt sheetId="1" sqref="AR389" start="0" length="0">
    <dxf>
      <font>
        <sz val="11"/>
        <color theme="1"/>
        <name val="Calibri"/>
        <scheme val="none"/>
      </font>
      <numFmt numFmtId="164" formatCode="_-* #,##0_-;\-* #,##0_-;_-* &quot;-&quot;??_-;_-@_-"/>
    </dxf>
  </rfmt>
  <rfmt sheetId="1" sqref="AS389" start="0" length="0">
    <dxf>
      <font>
        <sz val="11"/>
        <color theme="1"/>
        <name val="Calibri"/>
        <scheme val="none"/>
      </font>
      <numFmt numFmtId="164" formatCode="_-* #,##0_-;\-* #,##0_-;_-* &quot;-&quot;??_-;_-@_-"/>
    </dxf>
  </rfmt>
  <rfmt sheetId="1" sqref="AT389" start="0" length="0">
    <dxf>
      <font>
        <sz val="11"/>
        <color theme="1"/>
        <name val="Calibri"/>
        <scheme val="none"/>
      </font>
      <numFmt numFmtId="164" formatCode="_-* #,##0_-;\-* #,##0_-;_-* &quot;-&quot;??_-;_-@_-"/>
    </dxf>
  </rfmt>
  <rfmt sheetId="1" sqref="AU389" start="0" length="0">
    <dxf>
      <font>
        <sz val="11"/>
        <color theme="1"/>
        <name val="Calibri"/>
        <scheme val="none"/>
      </font>
    </dxf>
  </rfmt>
  <rfmt sheetId="1" sqref="AV389" start="0" length="0">
    <dxf>
      <font>
        <sz val="11"/>
        <color theme="1"/>
        <name val="Calibri"/>
        <scheme val="none"/>
      </font>
    </dxf>
  </rfmt>
  <rfmt sheetId="1" sqref="AW389" start="0" length="0">
    <dxf>
      <font>
        <sz val="11"/>
        <color theme="1"/>
        <name val="Calibri"/>
        <scheme val="none"/>
      </font>
    </dxf>
  </rfmt>
  <rfmt sheetId="1" sqref="AX389" start="0" length="0">
    <dxf>
      <font>
        <sz val="11"/>
        <color theme="1"/>
        <name val="Calibri"/>
        <scheme val="none"/>
      </font>
    </dxf>
  </rfmt>
  <rfmt sheetId="1" sqref="AY389" start="0" length="0">
    <dxf>
      <font>
        <sz val="11"/>
        <color theme="1"/>
        <name val="Calibri"/>
        <scheme val="none"/>
      </font>
    </dxf>
  </rfmt>
  <rfmt sheetId="1" sqref="A389:XFD389" start="0" length="0">
    <dxf>
      <font>
        <sz val="11"/>
        <color theme="1"/>
        <name val="Calibri"/>
        <scheme val="none"/>
      </font>
    </dxf>
  </rfmt>
  <rfmt sheetId="1" sqref="A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9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9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90" start="0" length="0">
    <dxf>
      <font>
        <sz val="11"/>
        <color theme="1"/>
        <name val="Calibri"/>
        <scheme val="none"/>
      </font>
    </dxf>
  </rfmt>
  <rfmt sheetId="1" sqref="AM390" start="0" length="0">
    <dxf>
      <font>
        <sz val="11"/>
        <color theme="1"/>
        <name val="Calibri"/>
        <scheme val="none"/>
      </font>
      <numFmt numFmtId="1" formatCode="0"/>
    </dxf>
  </rfmt>
  <rfmt sheetId="1" sqref="AN390" start="0" length="0">
    <dxf>
      <font>
        <sz val="11"/>
        <color theme="1"/>
        <name val="Calibri"/>
        <scheme val="none"/>
      </font>
      <numFmt numFmtId="1" formatCode="0"/>
    </dxf>
  </rfmt>
  <rfmt sheetId="1" sqref="AO390" start="0" length="0">
    <dxf>
      <font>
        <sz val="11"/>
        <color theme="1"/>
        <name val="Calibri"/>
        <scheme val="none"/>
      </font>
    </dxf>
  </rfmt>
  <rfmt sheetId="1" sqref="AP390" start="0" length="0">
    <dxf>
      <font>
        <sz val="11"/>
        <color theme="1"/>
        <name val="Calibri"/>
        <scheme val="none"/>
      </font>
    </dxf>
  </rfmt>
  <rfmt sheetId="1" sqref="AQ390" start="0" length="0">
    <dxf>
      <font>
        <sz val="11"/>
        <color theme="1"/>
        <name val="Calibri"/>
        <scheme val="none"/>
      </font>
      <numFmt numFmtId="164" formatCode="_-* #,##0_-;\-* #,##0_-;_-* &quot;-&quot;??_-;_-@_-"/>
    </dxf>
  </rfmt>
  <rfmt sheetId="1" sqref="AR390" start="0" length="0">
    <dxf>
      <font>
        <sz val="11"/>
        <color theme="1"/>
        <name val="Calibri"/>
        <scheme val="none"/>
      </font>
      <numFmt numFmtId="164" formatCode="_-* #,##0_-;\-* #,##0_-;_-* &quot;-&quot;??_-;_-@_-"/>
    </dxf>
  </rfmt>
  <rfmt sheetId="1" sqref="AS390" start="0" length="0">
    <dxf>
      <font>
        <sz val="11"/>
        <color theme="1"/>
        <name val="Calibri"/>
        <scheme val="none"/>
      </font>
      <numFmt numFmtId="164" formatCode="_-* #,##0_-;\-* #,##0_-;_-* &quot;-&quot;??_-;_-@_-"/>
    </dxf>
  </rfmt>
  <rfmt sheetId="1" sqref="AT390" start="0" length="0">
    <dxf>
      <font>
        <sz val="11"/>
        <color theme="1"/>
        <name val="Calibri"/>
        <scheme val="none"/>
      </font>
      <numFmt numFmtId="164" formatCode="_-* #,##0_-;\-* #,##0_-;_-* &quot;-&quot;??_-;_-@_-"/>
    </dxf>
  </rfmt>
  <rfmt sheetId="1" sqref="AU390" start="0" length="0">
    <dxf>
      <font>
        <sz val="11"/>
        <color theme="1"/>
        <name val="Calibri"/>
        <scheme val="none"/>
      </font>
    </dxf>
  </rfmt>
  <rfmt sheetId="1" sqref="AV390" start="0" length="0">
    <dxf>
      <font>
        <sz val="11"/>
        <color theme="1"/>
        <name val="Calibri"/>
        <scheme val="none"/>
      </font>
    </dxf>
  </rfmt>
  <rfmt sheetId="1" sqref="AW390" start="0" length="0">
    <dxf>
      <font>
        <sz val="11"/>
        <color theme="1"/>
        <name val="Calibri"/>
        <scheme val="none"/>
      </font>
    </dxf>
  </rfmt>
  <rfmt sheetId="1" sqref="AX390" start="0" length="0">
    <dxf>
      <font>
        <sz val="11"/>
        <color theme="1"/>
        <name val="Calibri"/>
        <scheme val="none"/>
      </font>
    </dxf>
  </rfmt>
  <rfmt sheetId="1" sqref="AY390" start="0" length="0">
    <dxf>
      <font>
        <sz val="11"/>
        <color theme="1"/>
        <name val="Calibri"/>
        <scheme val="none"/>
      </font>
    </dxf>
  </rfmt>
  <rfmt sheetId="1" sqref="A390:XFD390" start="0" length="0">
    <dxf>
      <font>
        <sz val="11"/>
        <color theme="1"/>
        <name val="Calibri"/>
        <scheme val="none"/>
      </font>
    </dxf>
  </rfmt>
  <rfmt sheetId="1" sqref="A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9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9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91" start="0" length="0">
    <dxf>
      <font>
        <sz val="11"/>
        <color theme="1"/>
        <name val="Calibri"/>
        <scheme val="none"/>
      </font>
    </dxf>
  </rfmt>
  <rfmt sheetId="1" sqref="AM391" start="0" length="0">
    <dxf>
      <font>
        <sz val="11"/>
        <color theme="1"/>
        <name val="Calibri"/>
        <scheme val="none"/>
      </font>
      <numFmt numFmtId="1" formatCode="0"/>
    </dxf>
  </rfmt>
  <rfmt sheetId="1" sqref="AN391" start="0" length="0">
    <dxf>
      <font>
        <sz val="11"/>
        <color theme="1"/>
        <name val="Calibri"/>
        <scheme val="none"/>
      </font>
      <numFmt numFmtId="1" formatCode="0"/>
    </dxf>
  </rfmt>
  <rfmt sheetId="1" sqref="AO391" start="0" length="0">
    <dxf>
      <font>
        <sz val="11"/>
        <color theme="1"/>
        <name val="Calibri"/>
        <scheme val="none"/>
      </font>
    </dxf>
  </rfmt>
  <rfmt sheetId="1" sqref="AP391" start="0" length="0">
    <dxf>
      <font>
        <sz val="11"/>
        <color theme="1"/>
        <name val="Calibri"/>
        <scheme val="none"/>
      </font>
    </dxf>
  </rfmt>
  <rfmt sheetId="1" sqref="AQ391" start="0" length="0">
    <dxf>
      <font>
        <sz val="11"/>
        <color theme="1"/>
        <name val="Calibri"/>
        <scheme val="none"/>
      </font>
      <numFmt numFmtId="164" formatCode="_-* #,##0_-;\-* #,##0_-;_-* &quot;-&quot;??_-;_-@_-"/>
    </dxf>
  </rfmt>
  <rfmt sheetId="1" sqref="AR391" start="0" length="0">
    <dxf>
      <font>
        <sz val="11"/>
        <color theme="1"/>
        <name val="Calibri"/>
        <scheme val="none"/>
      </font>
      <numFmt numFmtId="164" formatCode="_-* #,##0_-;\-* #,##0_-;_-* &quot;-&quot;??_-;_-@_-"/>
    </dxf>
  </rfmt>
  <rfmt sheetId="1" sqref="AS391" start="0" length="0">
    <dxf>
      <font>
        <sz val="11"/>
        <color theme="1"/>
        <name val="Calibri"/>
        <scheme val="none"/>
      </font>
      <numFmt numFmtId="164" formatCode="_-* #,##0_-;\-* #,##0_-;_-* &quot;-&quot;??_-;_-@_-"/>
    </dxf>
  </rfmt>
  <rfmt sheetId="1" sqref="AT391" start="0" length="0">
    <dxf>
      <font>
        <sz val="11"/>
        <color theme="1"/>
        <name val="Calibri"/>
        <scheme val="none"/>
      </font>
      <numFmt numFmtId="164" formatCode="_-* #,##0_-;\-* #,##0_-;_-* &quot;-&quot;??_-;_-@_-"/>
    </dxf>
  </rfmt>
  <rfmt sheetId="1" sqref="AU391" start="0" length="0">
    <dxf>
      <font>
        <sz val="11"/>
        <color theme="1"/>
        <name val="Calibri"/>
        <scheme val="none"/>
      </font>
    </dxf>
  </rfmt>
  <rfmt sheetId="1" sqref="AV391" start="0" length="0">
    <dxf>
      <font>
        <sz val="11"/>
        <color theme="1"/>
        <name val="Calibri"/>
        <scheme val="none"/>
      </font>
    </dxf>
  </rfmt>
  <rfmt sheetId="1" sqref="AW391" start="0" length="0">
    <dxf>
      <font>
        <sz val="11"/>
        <color theme="1"/>
        <name val="Calibri"/>
        <scheme val="none"/>
      </font>
    </dxf>
  </rfmt>
  <rfmt sheetId="1" sqref="AX391" start="0" length="0">
    <dxf>
      <font>
        <sz val="11"/>
        <color theme="1"/>
        <name val="Calibri"/>
        <scheme val="none"/>
      </font>
    </dxf>
  </rfmt>
  <rfmt sheetId="1" sqref="AY391" start="0" length="0">
    <dxf>
      <font>
        <sz val="11"/>
        <color theme="1"/>
        <name val="Calibri"/>
        <scheme val="none"/>
      </font>
    </dxf>
  </rfmt>
  <rfmt sheetId="1" sqref="A391:XFD391" start="0" length="0">
    <dxf>
      <font>
        <sz val="11"/>
        <color theme="1"/>
        <name val="Calibri"/>
        <scheme val="none"/>
      </font>
    </dxf>
  </rfmt>
  <rfmt sheetId="1" sqref="A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9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9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92" start="0" length="0">
    <dxf>
      <font>
        <sz val="11"/>
        <color theme="1"/>
        <name val="Calibri"/>
        <scheme val="none"/>
      </font>
    </dxf>
  </rfmt>
  <rfmt sheetId="1" sqref="AM392" start="0" length="0">
    <dxf>
      <font>
        <sz val="11"/>
        <color theme="1"/>
        <name val="Calibri"/>
        <scheme val="none"/>
      </font>
      <numFmt numFmtId="1" formatCode="0"/>
    </dxf>
  </rfmt>
  <rfmt sheetId="1" sqref="AN392" start="0" length="0">
    <dxf>
      <font>
        <sz val="11"/>
        <color theme="1"/>
        <name val="Calibri"/>
        <scheme val="none"/>
      </font>
      <numFmt numFmtId="1" formatCode="0"/>
    </dxf>
  </rfmt>
  <rfmt sheetId="1" sqref="AO392" start="0" length="0">
    <dxf>
      <font>
        <sz val="11"/>
        <color theme="1"/>
        <name val="Calibri"/>
        <scheme val="none"/>
      </font>
    </dxf>
  </rfmt>
  <rfmt sheetId="1" sqref="AP392" start="0" length="0">
    <dxf>
      <font>
        <sz val="11"/>
        <color theme="1"/>
        <name val="Calibri"/>
        <scheme val="none"/>
      </font>
    </dxf>
  </rfmt>
  <rfmt sheetId="1" sqref="AQ392" start="0" length="0">
    <dxf>
      <font>
        <sz val="11"/>
        <color theme="1"/>
        <name val="Calibri"/>
        <scheme val="none"/>
      </font>
      <numFmt numFmtId="164" formatCode="_-* #,##0_-;\-* #,##0_-;_-* &quot;-&quot;??_-;_-@_-"/>
    </dxf>
  </rfmt>
  <rfmt sheetId="1" sqref="AR392" start="0" length="0">
    <dxf>
      <font>
        <sz val="11"/>
        <color theme="1"/>
        <name val="Calibri"/>
        <scheme val="none"/>
      </font>
      <numFmt numFmtId="164" formatCode="_-* #,##0_-;\-* #,##0_-;_-* &quot;-&quot;??_-;_-@_-"/>
    </dxf>
  </rfmt>
  <rfmt sheetId="1" sqref="AS392" start="0" length="0">
    <dxf>
      <font>
        <sz val="11"/>
        <color theme="1"/>
        <name val="Calibri"/>
        <scheme val="none"/>
      </font>
      <numFmt numFmtId="164" formatCode="_-* #,##0_-;\-* #,##0_-;_-* &quot;-&quot;??_-;_-@_-"/>
    </dxf>
  </rfmt>
  <rfmt sheetId="1" sqref="AT392" start="0" length="0">
    <dxf>
      <font>
        <sz val="11"/>
        <color theme="1"/>
        <name val="Calibri"/>
        <scheme val="none"/>
      </font>
      <numFmt numFmtId="164" formatCode="_-* #,##0_-;\-* #,##0_-;_-* &quot;-&quot;??_-;_-@_-"/>
    </dxf>
  </rfmt>
  <rfmt sheetId="1" sqref="AU392" start="0" length="0">
    <dxf>
      <font>
        <sz val="11"/>
        <color theme="1"/>
        <name val="Calibri"/>
        <scheme val="none"/>
      </font>
    </dxf>
  </rfmt>
  <rfmt sheetId="1" sqref="AV392" start="0" length="0">
    <dxf>
      <font>
        <sz val="11"/>
        <color theme="1"/>
        <name val="Calibri"/>
        <scheme val="none"/>
      </font>
    </dxf>
  </rfmt>
  <rfmt sheetId="1" sqref="AW392" start="0" length="0">
    <dxf>
      <font>
        <sz val="11"/>
        <color theme="1"/>
        <name val="Calibri"/>
        <scheme val="none"/>
      </font>
    </dxf>
  </rfmt>
  <rfmt sheetId="1" sqref="AX392" start="0" length="0">
    <dxf>
      <font>
        <sz val="11"/>
        <color theme="1"/>
        <name val="Calibri"/>
        <scheme val="none"/>
      </font>
    </dxf>
  </rfmt>
  <rfmt sheetId="1" sqref="AY392" start="0" length="0">
    <dxf>
      <font>
        <sz val="11"/>
        <color theme="1"/>
        <name val="Calibri"/>
        <scheme val="none"/>
      </font>
    </dxf>
  </rfmt>
  <rfmt sheetId="1" sqref="A392:XFD392" start="0" length="0">
    <dxf>
      <font>
        <sz val="11"/>
        <color theme="1"/>
        <name val="Calibri"/>
        <scheme val="none"/>
      </font>
    </dxf>
  </rfmt>
  <rfmt sheetId="1" sqref="A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9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9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93" start="0" length="0">
    <dxf>
      <font>
        <sz val="11"/>
        <color theme="1"/>
        <name val="Calibri"/>
        <scheme val="none"/>
      </font>
    </dxf>
  </rfmt>
  <rfmt sheetId="1" sqref="AM393" start="0" length="0">
    <dxf>
      <font>
        <sz val="11"/>
        <color theme="1"/>
        <name val="Calibri"/>
        <scheme val="none"/>
      </font>
      <numFmt numFmtId="1" formatCode="0"/>
    </dxf>
  </rfmt>
  <rfmt sheetId="1" sqref="AN393" start="0" length="0">
    <dxf>
      <font>
        <sz val="11"/>
        <color theme="1"/>
        <name val="Calibri"/>
        <scheme val="none"/>
      </font>
      <numFmt numFmtId="1" formatCode="0"/>
    </dxf>
  </rfmt>
  <rfmt sheetId="1" sqref="AO393" start="0" length="0">
    <dxf>
      <font>
        <sz val="11"/>
        <color theme="1"/>
        <name val="Calibri"/>
        <scheme val="none"/>
      </font>
    </dxf>
  </rfmt>
  <rfmt sheetId="1" sqref="AP393" start="0" length="0">
    <dxf>
      <font>
        <sz val="11"/>
        <color theme="1"/>
        <name val="Calibri"/>
        <scheme val="none"/>
      </font>
    </dxf>
  </rfmt>
  <rfmt sheetId="1" sqref="AQ393" start="0" length="0">
    <dxf>
      <font>
        <sz val="11"/>
        <color theme="1"/>
        <name val="Calibri"/>
        <scheme val="none"/>
      </font>
      <numFmt numFmtId="164" formatCode="_-* #,##0_-;\-* #,##0_-;_-* &quot;-&quot;??_-;_-@_-"/>
    </dxf>
  </rfmt>
  <rfmt sheetId="1" sqref="AR393" start="0" length="0">
    <dxf>
      <font>
        <sz val="11"/>
        <color theme="1"/>
        <name val="Calibri"/>
        <scheme val="none"/>
      </font>
      <numFmt numFmtId="164" formatCode="_-* #,##0_-;\-* #,##0_-;_-* &quot;-&quot;??_-;_-@_-"/>
    </dxf>
  </rfmt>
  <rfmt sheetId="1" sqref="AS393" start="0" length="0">
    <dxf>
      <font>
        <sz val="11"/>
        <color theme="1"/>
        <name val="Calibri"/>
        <scheme val="none"/>
      </font>
      <numFmt numFmtId="164" formatCode="_-* #,##0_-;\-* #,##0_-;_-* &quot;-&quot;??_-;_-@_-"/>
    </dxf>
  </rfmt>
  <rfmt sheetId="1" sqref="AT393" start="0" length="0">
    <dxf>
      <font>
        <sz val="11"/>
        <color theme="1"/>
        <name val="Calibri"/>
        <scheme val="none"/>
      </font>
      <numFmt numFmtId="164" formatCode="_-* #,##0_-;\-* #,##0_-;_-* &quot;-&quot;??_-;_-@_-"/>
    </dxf>
  </rfmt>
  <rfmt sheetId="1" sqref="AU393" start="0" length="0">
    <dxf>
      <font>
        <sz val="11"/>
        <color theme="1"/>
        <name val="Calibri"/>
        <scheme val="none"/>
      </font>
    </dxf>
  </rfmt>
  <rfmt sheetId="1" sqref="AV393" start="0" length="0">
    <dxf>
      <font>
        <sz val="11"/>
        <color theme="1"/>
        <name val="Calibri"/>
        <scheme val="none"/>
      </font>
    </dxf>
  </rfmt>
  <rfmt sheetId="1" sqref="AW393" start="0" length="0">
    <dxf>
      <font>
        <sz val="11"/>
        <color theme="1"/>
        <name val="Calibri"/>
        <scheme val="none"/>
      </font>
    </dxf>
  </rfmt>
  <rfmt sheetId="1" sqref="AX393" start="0" length="0">
    <dxf>
      <font>
        <sz val="11"/>
        <color theme="1"/>
        <name val="Calibri"/>
        <scheme val="none"/>
      </font>
    </dxf>
  </rfmt>
  <rfmt sheetId="1" sqref="AY393" start="0" length="0">
    <dxf>
      <font>
        <sz val="11"/>
        <color theme="1"/>
        <name val="Calibri"/>
        <scheme val="none"/>
      </font>
    </dxf>
  </rfmt>
  <rfmt sheetId="1" sqref="A393:XFD393" start="0" length="0">
    <dxf>
      <font>
        <sz val="11"/>
        <color theme="1"/>
        <name val="Calibri"/>
        <scheme val="none"/>
      </font>
    </dxf>
  </rfmt>
  <rfmt sheetId="1" sqref="A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9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9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94" start="0" length="0">
    <dxf>
      <font>
        <sz val="11"/>
        <color theme="1"/>
        <name val="Calibri"/>
        <scheme val="none"/>
      </font>
    </dxf>
  </rfmt>
  <rfmt sheetId="1" sqref="AM394" start="0" length="0">
    <dxf>
      <font>
        <sz val="11"/>
        <color theme="1"/>
        <name val="Calibri"/>
        <scheme val="none"/>
      </font>
      <numFmt numFmtId="1" formatCode="0"/>
    </dxf>
  </rfmt>
  <rfmt sheetId="1" sqref="AN394" start="0" length="0">
    <dxf>
      <font>
        <sz val="11"/>
        <color theme="1"/>
        <name val="Calibri"/>
        <scheme val="none"/>
      </font>
      <numFmt numFmtId="1" formatCode="0"/>
    </dxf>
  </rfmt>
  <rfmt sheetId="1" sqref="AO394" start="0" length="0">
    <dxf>
      <font>
        <sz val="11"/>
        <color theme="1"/>
        <name val="Calibri"/>
        <scheme val="none"/>
      </font>
    </dxf>
  </rfmt>
  <rfmt sheetId="1" sqref="AP394" start="0" length="0">
    <dxf>
      <font>
        <sz val="11"/>
        <color theme="1"/>
        <name val="Calibri"/>
        <scheme val="none"/>
      </font>
    </dxf>
  </rfmt>
  <rfmt sheetId="1" sqref="AQ394" start="0" length="0">
    <dxf>
      <font>
        <sz val="11"/>
        <color theme="1"/>
        <name val="Calibri"/>
        <scheme val="none"/>
      </font>
      <numFmt numFmtId="164" formatCode="_-* #,##0_-;\-* #,##0_-;_-* &quot;-&quot;??_-;_-@_-"/>
    </dxf>
  </rfmt>
  <rfmt sheetId="1" sqref="AR394" start="0" length="0">
    <dxf>
      <font>
        <sz val="11"/>
        <color theme="1"/>
        <name val="Calibri"/>
        <scheme val="none"/>
      </font>
      <numFmt numFmtId="164" formatCode="_-* #,##0_-;\-* #,##0_-;_-* &quot;-&quot;??_-;_-@_-"/>
    </dxf>
  </rfmt>
  <rfmt sheetId="1" sqref="AS394" start="0" length="0">
    <dxf>
      <font>
        <sz val="11"/>
        <color theme="1"/>
        <name val="Calibri"/>
        <scheme val="none"/>
      </font>
      <numFmt numFmtId="164" formatCode="_-* #,##0_-;\-* #,##0_-;_-* &quot;-&quot;??_-;_-@_-"/>
    </dxf>
  </rfmt>
  <rfmt sheetId="1" sqref="AT394" start="0" length="0">
    <dxf>
      <font>
        <sz val="11"/>
        <color theme="1"/>
        <name val="Calibri"/>
        <scheme val="none"/>
      </font>
      <numFmt numFmtId="164" formatCode="_-* #,##0_-;\-* #,##0_-;_-* &quot;-&quot;??_-;_-@_-"/>
    </dxf>
  </rfmt>
  <rfmt sheetId="1" sqref="AU394" start="0" length="0">
    <dxf>
      <font>
        <sz val="11"/>
        <color theme="1"/>
        <name val="Calibri"/>
        <scheme val="none"/>
      </font>
    </dxf>
  </rfmt>
  <rfmt sheetId="1" sqref="AV394" start="0" length="0">
    <dxf>
      <font>
        <sz val="11"/>
        <color theme="1"/>
        <name val="Calibri"/>
        <scheme val="none"/>
      </font>
    </dxf>
  </rfmt>
  <rfmt sheetId="1" sqref="AW394" start="0" length="0">
    <dxf>
      <font>
        <sz val="11"/>
        <color theme="1"/>
        <name val="Calibri"/>
        <scheme val="none"/>
      </font>
    </dxf>
  </rfmt>
  <rfmt sheetId="1" sqref="AX394" start="0" length="0">
    <dxf>
      <font>
        <sz val="11"/>
        <color theme="1"/>
        <name val="Calibri"/>
        <scheme val="none"/>
      </font>
    </dxf>
  </rfmt>
  <rfmt sheetId="1" sqref="AY394" start="0" length="0">
    <dxf>
      <font>
        <sz val="11"/>
        <color theme="1"/>
        <name val="Calibri"/>
        <scheme val="none"/>
      </font>
    </dxf>
  </rfmt>
  <rfmt sheetId="1" sqref="A394:XFD394" start="0" length="0">
    <dxf>
      <font>
        <sz val="11"/>
        <color theme="1"/>
        <name val="Calibri"/>
        <scheme val="none"/>
      </font>
    </dxf>
  </rfmt>
  <rfmt sheetId="1" sqref="A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9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9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95" start="0" length="0">
    <dxf>
      <font>
        <sz val="11"/>
        <color theme="1"/>
        <name val="Calibri"/>
        <scheme val="none"/>
      </font>
    </dxf>
  </rfmt>
  <rfmt sheetId="1" sqref="AM395" start="0" length="0">
    <dxf>
      <font>
        <sz val="11"/>
        <color theme="1"/>
        <name val="Calibri"/>
        <scheme val="none"/>
      </font>
      <numFmt numFmtId="1" formatCode="0"/>
    </dxf>
  </rfmt>
  <rfmt sheetId="1" sqref="AN395" start="0" length="0">
    <dxf>
      <font>
        <sz val="11"/>
        <color theme="1"/>
        <name val="Calibri"/>
        <scheme val="none"/>
      </font>
      <numFmt numFmtId="1" formatCode="0"/>
    </dxf>
  </rfmt>
  <rfmt sheetId="1" sqref="AO395" start="0" length="0">
    <dxf>
      <font>
        <sz val="11"/>
        <color theme="1"/>
        <name val="Calibri"/>
        <scheme val="none"/>
      </font>
    </dxf>
  </rfmt>
  <rfmt sheetId="1" sqref="AP395" start="0" length="0">
    <dxf>
      <font>
        <sz val="11"/>
        <color theme="1"/>
        <name val="Calibri"/>
        <scheme val="none"/>
      </font>
    </dxf>
  </rfmt>
  <rfmt sheetId="1" sqref="AQ395" start="0" length="0">
    <dxf>
      <font>
        <sz val="11"/>
        <color theme="1"/>
        <name val="Calibri"/>
        <scheme val="none"/>
      </font>
      <numFmt numFmtId="164" formatCode="_-* #,##0_-;\-* #,##0_-;_-* &quot;-&quot;??_-;_-@_-"/>
    </dxf>
  </rfmt>
  <rfmt sheetId="1" sqref="AR395" start="0" length="0">
    <dxf>
      <font>
        <sz val="11"/>
        <color theme="1"/>
        <name val="Calibri"/>
        <scheme val="none"/>
      </font>
      <numFmt numFmtId="164" formatCode="_-* #,##0_-;\-* #,##0_-;_-* &quot;-&quot;??_-;_-@_-"/>
    </dxf>
  </rfmt>
  <rfmt sheetId="1" sqref="AS395" start="0" length="0">
    <dxf>
      <font>
        <sz val="11"/>
        <color theme="1"/>
        <name val="Calibri"/>
        <scheme val="none"/>
      </font>
      <numFmt numFmtId="164" formatCode="_-* #,##0_-;\-* #,##0_-;_-* &quot;-&quot;??_-;_-@_-"/>
    </dxf>
  </rfmt>
  <rfmt sheetId="1" sqref="AT395" start="0" length="0">
    <dxf>
      <font>
        <sz val="11"/>
        <color theme="1"/>
        <name val="Calibri"/>
        <scheme val="none"/>
      </font>
      <numFmt numFmtId="164" formatCode="_-* #,##0_-;\-* #,##0_-;_-* &quot;-&quot;??_-;_-@_-"/>
    </dxf>
  </rfmt>
  <rfmt sheetId="1" sqref="AU395" start="0" length="0">
    <dxf>
      <font>
        <sz val="11"/>
        <color theme="1"/>
        <name val="Calibri"/>
        <scheme val="none"/>
      </font>
    </dxf>
  </rfmt>
  <rfmt sheetId="1" sqref="AV395" start="0" length="0">
    <dxf>
      <font>
        <sz val="11"/>
        <color theme="1"/>
        <name val="Calibri"/>
        <scheme val="none"/>
      </font>
    </dxf>
  </rfmt>
  <rfmt sheetId="1" sqref="AW395" start="0" length="0">
    <dxf>
      <font>
        <sz val="11"/>
        <color theme="1"/>
        <name val="Calibri"/>
        <scheme val="none"/>
      </font>
    </dxf>
  </rfmt>
  <rfmt sheetId="1" sqref="AX395" start="0" length="0">
    <dxf>
      <font>
        <sz val="11"/>
        <color theme="1"/>
        <name val="Calibri"/>
        <scheme val="none"/>
      </font>
    </dxf>
  </rfmt>
  <rfmt sheetId="1" sqref="AY395" start="0" length="0">
    <dxf>
      <font>
        <sz val="11"/>
        <color theme="1"/>
        <name val="Calibri"/>
        <scheme val="none"/>
      </font>
    </dxf>
  </rfmt>
  <rfmt sheetId="1" sqref="A395:XFD395" start="0" length="0">
    <dxf>
      <font>
        <sz val="11"/>
        <color theme="1"/>
        <name val="Calibri"/>
        <scheme val="none"/>
      </font>
    </dxf>
  </rfmt>
  <rfmt sheetId="1" sqref="A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9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9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96" start="0" length="0">
    <dxf>
      <font>
        <sz val="11"/>
        <color theme="1"/>
        <name val="Calibri"/>
        <scheme val="none"/>
      </font>
    </dxf>
  </rfmt>
  <rfmt sheetId="1" sqref="AM396" start="0" length="0">
    <dxf>
      <font>
        <sz val="11"/>
        <color theme="1"/>
        <name val="Calibri"/>
        <scheme val="none"/>
      </font>
      <numFmt numFmtId="1" formatCode="0"/>
    </dxf>
  </rfmt>
  <rfmt sheetId="1" sqref="AN396" start="0" length="0">
    <dxf>
      <font>
        <sz val="11"/>
        <color theme="1"/>
        <name val="Calibri"/>
        <scheme val="none"/>
      </font>
      <numFmt numFmtId="1" formatCode="0"/>
    </dxf>
  </rfmt>
  <rfmt sheetId="1" sqref="AO396" start="0" length="0">
    <dxf>
      <font>
        <sz val="11"/>
        <color theme="1"/>
        <name val="Calibri"/>
        <scheme val="none"/>
      </font>
    </dxf>
  </rfmt>
  <rfmt sheetId="1" sqref="AP396" start="0" length="0">
    <dxf>
      <font>
        <sz val="11"/>
        <color theme="1"/>
        <name val="Calibri"/>
        <scheme val="none"/>
      </font>
    </dxf>
  </rfmt>
  <rfmt sheetId="1" sqref="AQ396" start="0" length="0">
    <dxf>
      <font>
        <sz val="11"/>
        <color theme="1"/>
        <name val="Calibri"/>
        <scheme val="none"/>
      </font>
      <numFmt numFmtId="164" formatCode="_-* #,##0_-;\-* #,##0_-;_-* &quot;-&quot;??_-;_-@_-"/>
    </dxf>
  </rfmt>
  <rfmt sheetId="1" sqref="AR396" start="0" length="0">
    <dxf>
      <font>
        <sz val="11"/>
        <color theme="1"/>
        <name val="Calibri"/>
        <scheme val="none"/>
      </font>
      <numFmt numFmtId="164" formatCode="_-* #,##0_-;\-* #,##0_-;_-* &quot;-&quot;??_-;_-@_-"/>
    </dxf>
  </rfmt>
  <rfmt sheetId="1" sqref="AS396" start="0" length="0">
    <dxf>
      <font>
        <sz val="11"/>
        <color theme="1"/>
        <name val="Calibri"/>
        <scheme val="none"/>
      </font>
      <numFmt numFmtId="164" formatCode="_-* #,##0_-;\-* #,##0_-;_-* &quot;-&quot;??_-;_-@_-"/>
    </dxf>
  </rfmt>
  <rfmt sheetId="1" sqref="AT396" start="0" length="0">
    <dxf>
      <font>
        <sz val="11"/>
        <color theme="1"/>
        <name val="Calibri"/>
        <scheme val="none"/>
      </font>
      <numFmt numFmtId="164" formatCode="_-* #,##0_-;\-* #,##0_-;_-* &quot;-&quot;??_-;_-@_-"/>
    </dxf>
  </rfmt>
  <rfmt sheetId="1" sqref="AU396" start="0" length="0">
    <dxf>
      <font>
        <sz val="11"/>
        <color theme="1"/>
        <name val="Calibri"/>
        <scheme val="none"/>
      </font>
    </dxf>
  </rfmt>
  <rfmt sheetId="1" sqref="AV396" start="0" length="0">
    <dxf>
      <font>
        <sz val="11"/>
        <color theme="1"/>
        <name val="Calibri"/>
        <scheme val="none"/>
      </font>
    </dxf>
  </rfmt>
  <rfmt sheetId="1" sqref="AW396" start="0" length="0">
    <dxf>
      <font>
        <sz val="11"/>
        <color theme="1"/>
        <name val="Calibri"/>
        <scheme val="none"/>
      </font>
    </dxf>
  </rfmt>
  <rfmt sheetId="1" sqref="AX396" start="0" length="0">
    <dxf>
      <font>
        <sz val="11"/>
        <color theme="1"/>
        <name val="Calibri"/>
        <scheme val="none"/>
      </font>
    </dxf>
  </rfmt>
  <rfmt sheetId="1" sqref="AY396" start="0" length="0">
    <dxf>
      <font>
        <sz val="11"/>
        <color theme="1"/>
        <name val="Calibri"/>
        <scheme val="none"/>
      </font>
    </dxf>
  </rfmt>
  <rfmt sheetId="1" sqref="A396:XFD396" start="0" length="0">
    <dxf>
      <font>
        <sz val="11"/>
        <color theme="1"/>
        <name val="Calibri"/>
        <scheme val="none"/>
      </font>
    </dxf>
  </rfmt>
  <rfmt sheetId="1" sqref="A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9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9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97" start="0" length="0">
    <dxf>
      <font>
        <sz val="11"/>
        <color theme="1"/>
        <name val="Calibri"/>
        <scheme val="none"/>
      </font>
    </dxf>
  </rfmt>
  <rfmt sheetId="1" sqref="AM397" start="0" length="0">
    <dxf>
      <font>
        <sz val="11"/>
        <color theme="1"/>
        <name val="Calibri"/>
        <scheme val="none"/>
      </font>
      <numFmt numFmtId="1" formatCode="0"/>
    </dxf>
  </rfmt>
  <rfmt sheetId="1" sqref="AN397" start="0" length="0">
    <dxf>
      <font>
        <sz val="11"/>
        <color theme="1"/>
        <name val="Calibri"/>
        <scheme val="none"/>
      </font>
      <numFmt numFmtId="1" formatCode="0"/>
    </dxf>
  </rfmt>
  <rfmt sheetId="1" sqref="AO397" start="0" length="0">
    <dxf>
      <font>
        <sz val="11"/>
        <color theme="1"/>
        <name val="Calibri"/>
        <scheme val="none"/>
      </font>
    </dxf>
  </rfmt>
  <rfmt sheetId="1" sqref="AP397" start="0" length="0">
    <dxf>
      <font>
        <sz val="11"/>
        <color theme="1"/>
        <name val="Calibri"/>
        <scheme val="none"/>
      </font>
    </dxf>
  </rfmt>
  <rfmt sheetId="1" sqref="AQ397" start="0" length="0">
    <dxf>
      <font>
        <sz val="11"/>
        <color theme="1"/>
        <name val="Calibri"/>
        <scheme val="none"/>
      </font>
      <numFmt numFmtId="164" formatCode="_-* #,##0_-;\-* #,##0_-;_-* &quot;-&quot;??_-;_-@_-"/>
    </dxf>
  </rfmt>
  <rfmt sheetId="1" sqref="AR397" start="0" length="0">
    <dxf>
      <font>
        <sz val="11"/>
        <color theme="1"/>
        <name val="Calibri"/>
        <scheme val="none"/>
      </font>
      <numFmt numFmtId="164" formatCode="_-* #,##0_-;\-* #,##0_-;_-* &quot;-&quot;??_-;_-@_-"/>
    </dxf>
  </rfmt>
  <rfmt sheetId="1" sqref="AS397" start="0" length="0">
    <dxf>
      <font>
        <sz val="11"/>
        <color theme="1"/>
        <name val="Calibri"/>
        <scheme val="none"/>
      </font>
      <numFmt numFmtId="164" formatCode="_-* #,##0_-;\-* #,##0_-;_-* &quot;-&quot;??_-;_-@_-"/>
    </dxf>
  </rfmt>
  <rfmt sheetId="1" sqref="AT397" start="0" length="0">
    <dxf>
      <font>
        <sz val="11"/>
        <color theme="1"/>
        <name val="Calibri"/>
        <scheme val="none"/>
      </font>
      <numFmt numFmtId="164" formatCode="_-* #,##0_-;\-* #,##0_-;_-* &quot;-&quot;??_-;_-@_-"/>
    </dxf>
  </rfmt>
  <rfmt sheetId="1" sqref="AU397" start="0" length="0">
    <dxf>
      <font>
        <sz val="11"/>
        <color theme="1"/>
        <name val="Calibri"/>
        <scheme val="none"/>
      </font>
    </dxf>
  </rfmt>
  <rfmt sheetId="1" sqref="AV397" start="0" length="0">
    <dxf>
      <font>
        <sz val="11"/>
        <color theme="1"/>
        <name val="Calibri"/>
        <scheme val="none"/>
      </font>
    </dxf>
  </rfmt>
  <rfmt sheetId="1" sqref="AW397" start="0" length="0">
    <dxf>
      <font>
        <sz val="11"/>
        <color theme="1"/>
        <name val="Calibri"/>
        <scheme val="none"/>
      </font>
    </dxf>
  </rfmt>
  <rfmt sheetId="1" sqref="AX397" start="0" length="0">
    <dxf>
      <font>
        <sz val="11"/>
        <color theme="1"/>
        <name val="Calibri"/>
        <scheme val="none"/>
      </font>
    </dxf>
  </rfmt>
  <rfmt sheetId="1" sqref="AY397" start="0" length="0">
    <dxf>
      <font>
        <sz val="11"/>
        <color theme="1"/>
        <name val="Calibri"/>
        <scheme val="none"/>
      </font>
    </dxf>
  </rfmt>
  <rfmt sheetId="1" sqref="A397:XFD397" start="0" length="0">
    <dxf>
      <font>
        <sz val="11"/>
        <color theme="1"/>
        <name val="Calibri"/>
        <scheme val="none"/>
      </font>
    </dxf>
  </rfmt>
  <rfmt sheetId="1" sqref="A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9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9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98" start="0" length="0">
    <dxf>
      <font>
        <sz val="11"/>
        <color theme="1"/>
        <name val="Calibri"/>
        <scheme val="none"/>
      </font>
    </dxf>
  </rfmt>
  <rfmt sheetId="1" sqref="AM398" start="0" length="0">
    <dxf>
      <font>
        <sz val="11"/>
        <color theme="1"/>
        <name val="Calibri"/>
        <scheme val="none"/>
      </font>
      <numFmt numFmtId="1" formatCode="0"/>
    </dxf>
  </rfmt>
  <rfmt sheetId="1" sqref="AN398" start="0" length="0">
    <dxf>
      <font>
        <sz val="11"/>
        <color theme="1"/>
        <name val="Calibri"/>
        <scheme val="none"/>
      </font>
      <numFmt numFmtId="1" formatCode="0"/>
    </dxf>
  </rfmt>
  <rfmt sheetId="1" sqref="AO398" start="0" length="0">
    <dxf>
      <font>
        <sz val="11"/>
        <color theme="1"/>
        <name val="Calibri"/>
        <scheme val="none"/>
      </font>
    </dxf>
  </rfmt>
  <rfmt sheetId="1" sqref="AP398" start="0" length="0">
    <dxf>
      <font>
        <sz val="11"/>
        <color theme="1"/>
        <name val="Calibri"/>
        <scheme val="none"/>
      </font>
    </dxf>
  </rfmt>
  <rfmt sheetId="1" sqref="AQ398" start="0" length="0">
    <dxf>
      <font>
        <sz val="11"/>
        <color theme="1"/>
        <name val="Calibri"/>
        <scheme val="none"/>
      </font>
      <numFmt numFmtId="164" formatCode="_-* #,##0_-;\-* #,##0_-;_-* &quot;-&quot;??_-;_-@_-"/>
    </dxf>
  </rfmt>
  <rfmt sheetId="1" sqref="AR398" start="0" length="0">
    <dxf>
      <font>
        <sz val="11"/>
        <color theme="1"/>
        <name val="Calibri"/>
        <scheme val="none"/>
      </font>
      <numFmt numFmtId="164" formatCode="_-* #,##0_-;\-* #,##0_-;_-* &quot;-&quot;??_-;_-@_-"/>
    </dxf>
  </rfmt>
  <rfmt sheetId="1" sqref="AS398" start="0" length="0">
    <dxf>
      <font>
        <sz val="11"/>
        <color theme="1"/>
        <name val="Calibri"/>
        <scheme val="none"/>
      </font>
      <numFmt numFmtId="164" formatCode="_-* #,##0_-;\-* #,##0_-;_-* &quot;-&quot;??_-;_-@_-"/>
    </dxf>
  </rfmt>
  <rfmt sheetId="1" sqref="AT398" start="0" length="0">
    <dxf>
      <font>
        <sz val="11"/>
        <color theme="1"/>
        <name val="Calibri"/>
        <scheme val="none"/>
      </font>
      <numFmt numFmtId="164" formatCode="_-* #,##0_-;\-* #,##0_-;_-* &quot;-&quot;??_-;_-@_-"/>
    </dxf>
  </rfmt>
  <rfmt sheetId="1" sqref="AU398" start="0" length="0">
    <dxf>
      <font>
        <sz val="11"/>
        <color theme="1"/>
        <name val="Calibri"/>
        <scheme val="none"/>
      </font>
    </dxf>
  </rfmt>
  <rfmt sheetId="1" sqref="AV398" start="0" length="0">
    <dxf>
      <font>
        <sz val="11"/>
        <color theme="1"/>
        <name val="Calibri"/>
        <scheme val="none"/>
      </font>
    </dxf>
  </rfmt>
  <rfmt sheetId="1" sqref="AW398" start="0" length="0">
    <dxf>
      <font>
        <sz val="11"/>
        <color theme="1"/>
        <name val="Calibri"/>
        <scheme val="none"/>
      </font>
    </dxf>
  </rfmt>
  <rfmt sheetId="1" sqref="AX398" start="0" length="0">
    <dxf>
      <font>
        <sz val="11"/>
        <color theme="1"/>
        <name val="Calibri"/>
        <scheme val="none"/>
      </font>
    </dxf>
  </rfmt>
  <rfmt sheetId="1" sqref="AY398" start="0" length="0">
    <dxf>
      <font>
        <sz val="11"/>
        <color theme="1"/>
        <name val="Calibri"/>
        <scheme val="none"/>
      </font>
    </dxf>
  </rfmt>
  <rfmt sheetId="1" sqref="A398:XFD398" start="0" length="0">
    <dxf>
      <font>
        <sz val="11"/>
        <color theme="1"/>
        <name val="Calibri"/>
        <scheme val="none"/>
      </font>
    </dxf>
  </rfmt>
  <rfmt sheetId="1" sqref="A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3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3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3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3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3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3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3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3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39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3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39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3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399" start="0" length="0">
    <dxf>
      <font>
        <sz val="11"/>
        <color theme="1"/>
        <name val="Calibri"/>
        <scheme val="none"/>
      </font>
    </dxf>
  </rfmt>
  <rfmt sheetId="1" sqref="AM399" start="0" length="0">
    <dxf>
      <font>
        <sz val="11"/>
        <color theme="1"/>
        <name val="Calibri"/>
        <scheme val="none"/>
      </font>
      <numFmt numFmtId="1" formatCode="0"/>
    </dxf>
  </rfmt>
  <rfmt sheetId="1" sqref="AN399" start="0" length="0">
    <dxf>
      <font>
        <sz val="11"/>
        <color theme="1"/>
        <name val="Calibri"/>
        <scheme val="none"/>
      </font>
      <numFmt numFmtId="1" formatCode="0"/>
    </dxf>
  </rfmt>
  <rfmt sheetId="1" sqref="AO399" start="0" length="0">
    <dxf>
      <font>
        <sz val="11"/>
        <color theme="1"/>
        <name val="Calibri"/>
        <scheme val="none"/>
      </font>
    </dxf>
  </rfmt>
  <rfmt sheetId="1" sqref="AP399" start="0" length="0">
    <dxf>
      <font>
        <sz val="11"/>
        <color theme="1"/>
        <name val="Calibri"/>
        <scheme val="none"/>
      </font>
    </dxf>
  </rfmt>
  <rfmt sheetId="1" sqref="AQ399" start="0" length="0">
    <dxf>
      <font>
        <sz val="11"/>
        <color theme="1"/>
        <name val="Calibri"/>
        <scheme val="none"/>
      </font>
      <numFmt numFmtId="164" formatCode="_-* #,##0_-;\-* #,##0_-;_-* &quot;-&quot;??_-;_-@_-"/>
    </dxf>
  </rfmt>
  <rfmt sheetId="1" sqref="AR399" start="0" length="0">
    <dxf>
      <font>
        <sz val="11"/>
        <color theme="1"/>
        <name val="Calibri"/>
        <scheme val="none"/>
      </font>
      <numFmt numFmtId="164" formatCode="_-* #,##0_-;\-* #,##0_-;_-* &quot;-&quot;??_-;_-@_-"/>
    </dxf>
  </rfmt>
  <rfmt sheetId="1" sqref="AS399" start="0" length="0">
    <dxf>
      <font>
        <sz val="11"/>
        <color theme="1"/>
        <name val="Calibri"/>
        <scheme val="none"/>
      </font>
      <numFmt numFmtId="164" formatCode="_-* #,##0_-;\-* #,##0_-;_-* &quot;-&quot;??_-;_-@_-"/>
    </dxf>
  </rfmt>
  <rfmt sheetId="1" sqref="AT399" start="0" length="0">
    <dxf>
      <font>
        <sz val="11"/>
        <color theme="1"/>
        <name val="Calibri"/>
        <scheme val="none"/>
      </font>
      <numFmt numFmtId="164" formatCode="_-* #,##0_-;\-* #,##0_-;_-* &quot;-&quot;??_-;_-@_-"/>
    </dxf>
  </rfmt>
  <rfmt sheetId="1" sqref="AU399" start="0" length="0">
    <dxf>
      <font>
        <sz val="11"/>
        <color theme="1"/>
        <name val="Calibri"/>
        <scheme val="none"/>
      </font>
    </dxf>
  </rfmt>
  <rfmt sheetId="1" sqref="AV399" start="0" length="0">
    <dxf>
      <font>
        <sz val="11"/>
        <color theme="1"/>
        <name val="Calibri"/>
        <scheme val="none"/>
      </font>
    </dxf>
  </rfmt>
  <rfmt sheetId="1" sqref="AW399" start="0" length="0">
    <dxf>
      <font>
        <sz val="11"/>
        <color theme="1"/>
        <name val="Calibri"/>
        <scheme val="none"/>
      </font>
    </dxf>
  </rfmt>
  <rfmt sheetId="1" sqref="AX399" start="0" length="0">
    <dxf>
      <font>
        <sz val="11"/>
        <color theme="1"/>
        <name val="Calibri"/>
        <scheme val="none"/>
      </font>
    </dxf>
  </rfmt>
  <rfmt sheetId="1" sqref="AY399" start="0" length="0">
    <dxf>
      <font>
        <sz val="11"/>
        <color theme="1"/>
        <name val="Calibri"/>
        <scheme val="none"/>
      </font>
    </dxf>
  </rfmt>
  <rfmt sheetId="1" sqref="A399:XFD399" start="0" length="0">
    <dxf>
      <font>
        <sz val="11"/>
        <color theme="1"/>
        <name val="Calibri"/>
        <scheme val="none"/>
      </font>
    </dxf>
  </rfmt>
  <rfmt sheetId="1" sqref="A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0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0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00" start="0" length="0">
    <dxf>
      <font>
        <sz val="11"/>
        <color theme="1"/>
        <name val="Calibri"/>
        <scheme val="none"/>
      </font>
    </dxf>
  </rfmt>
  <rfmt sheetId="1" sqref="AM400" start="0" length="0">
    <dxf>
      <font>
        <sz val="11"/>
        <color theme="1"/>
        <name val="Calibri"/>
        <scheme val="none"/>
      </font>
      <numFmt numFmtId="1" formatCode="0"/>
    </dxf>
  </rfmt>
  <rfmt sheetId="1" sqref="AN400" start="0" length="0">
    <dxf>
      <font>
        <sz val="11"/>
        <color theme="1"/>
        <name val="Calibri"/>
        <scheme val="none"/>
      </font>
      <numFmt numFmtId="1" formatCode="0"/>
    </dxf>
  </rfmt>
  <rfmt sheetId="1" sqref="AO400" start="0" length="0">
    <dxf>
      <font>
        <sz val="11"/>
        <color theme="1"/>
        <name val="Calibri"/>
        <scheme val="none"/>
      </font>
    </dxf>
  </rfmt>
  <rfmt sheetId="1" sqref="AP400" start="0" length="0">
    <dxf>
      <font>
        <sz val="11"/>
        <color theme="1"/>
        <name val="Calibri"/>
        <scheme val="none"/>
      </font>
    </dxf>
  </rfmt>
  <rfmt sheetId="1" sqref="AQ400" start="0" length="0">
    <dxf>
      <font>
        <sz val="11"/>
        <color theme="1"/>
        <name val="Calibri"/>
        <scheme val="none"/>
      </font>
      <numFmt numFmtId="164" formatCode="_-* #,##0_-;\-* #,##0_-;_-* &quot;-&quot;??_-;_-@_-"/>
    </dxf>
  </rfmt>
  <rfmt sheetId="1" sqref="AR400" start="0" length="0">
    <dxf>
      <font>
        <sz val="11"/>
        <color theme="1"/>
        <name val="Calibri"/>
        <scheme val="none"/>
      </font>
      <numFmt numFmtId="164" formatCode="_-* #,##0_-;\-* #,##0_-;_-* &quot;-&quot;??_-;_-@_-"/>
    </dxf>
  </rfmt>
  <rfmt sheetId="1" sqref="AS400" start="0" length="0">
    <dxf>
      <font>
        <sz val="11"/>
        <color theme="1"/>
        <name val="Calibri"/>
        <scheme val="none"/>
      </font>
      <numFmt numFmtId="164" formatCode="_-* #,##0_-;\-* #,##0_-;_-* &quot;-&quot;??_-;_-@_-"/>
    </dxf>
  </rfmt>
  <rfmt sheetId="1" sqref="AT400" start="0" length="0">
    <dxf>
      <font>
        <sz val="11"/>
        <color theme="1"/>
        <name val="Calibri"/>
        <scheme val="none"/>
      </font>
      <numFmt numFmtId="164" formatCode="_-* #,##0_-;\-* #,##0_-;_-* &quot;-&quot;??_-;_-@_-"/>
    </dxf>
  </rfmt>
  <rfmt sheetId="1" sqref="AU400" start="0" length="0">
    <dxf>
      <font>
        <sz val="11"/>
        <color theme="1"/>
        <name val="Calibri"/>
        <scheme val="none"/>
      </font>
    </dxf>
  </rfmt>
  <rfmt sheetId="1" sqref="AV400" start="0" length="0">
    <dxf>
      <font>
        <sz val="11"/>
        <color theme="1"/>
        <name val="Calibri"/>
        <scheme val="none"/>
      </font>
    </dxf>
  </rfmt>
  <rfmt sheetId="1" sqref="AW400" start="0" length="0">
    <dxf>
      <font>
        <sz val="11"/>
        <color theme="1"/>
        <name val="Calibri"/>
        <scheme val="none"/>
      </font>
    </dxf>
  </rfmt>
  <rfmt sheetId="1" sqref="AX400" start="0" length="0">
    <dxf>
      <font>
        <sz val="11"/>
        <color theme="1"/>
        <name val="Calibri"/>
        <scheme val="none"/>
      </font>
    </dxf>
  </rfmt>
  <rfmt sheetId="1" sqref="AY400" start="0" length="0">
    <dxf>
      <font>
        <sz val="11"/>
        <color theme="1"/>
        <name val="Calibri"/>
        <scheme val="none"/>
      </font>
    </dxf>
  </rfmt>
  <rfmt sheetId="1" sqref="A400:XFD400" start="0" length="0">
    <dxf>
      <font>
        <sz val="11"/>
        <color theme="1"/>
        <name val="Calibri"/>
        <scheme val="none"/>
      </font>
    </dxf>
  </rfmt>
  <rfmt sheetId="1" sqref="A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0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0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01" start="0" length="0">
    <dxf>
      <font>
        <sz val="11"/>
        <color theme="1"/>
        <name val="Calibri"/>
        <scheme val="none"/>
      </font>
    </dxf>
  </rfmt>
  <rfmt sheetId="1" sqref="AM401" start="0" length="0">
    <dxf>
      <font>
        <sz val="11"/>
        <color theme="1"/>
        <name val="Calibri"/>
        <scheme val="none"/>
      </font>
      <numFmt numFmtId="1" formatCode="0"/>
    </dxf>
  </rfmt>
  <rfmt sheetId="1" sqref="AN401" start="0" length="0">
    <dxf>
      <font>
        <sz val="11"/>
        <color theme="1"/>
        <name val="Calibri"/>
        <scheme val="none"/>
      </font>
      <numFmt numFmtId="1" formatCode="0"/>
    </dxf>
  </rfmt>
  <rfmt sheetId="1" sqref="AO401" start="0" length="0">
    <dxf>
      <font>
        <sz val="11"/>
        <color theme="1"/>
        <name val="Calibri"/>
        <scheme val="none"/>
      </font>
    </dxf>
  </rfmt>
  <rfmt sheetId="1" sqref="AP401" start="0" length="0">
    <dxf>
      <font>
        <sz val="11"/>
        <color theme="1"/>
        <name val="Calibri"/>
        <scheme val="none"/>
      </font>
    </dxf>
  </rfmt>
  <rfmt sheetId="1" sqref="AQ401" start="0" length="0">
    <dxf>
      <font>
        <sz val="11"/>
        <color theme="1"/>
        <name val="Calibri"/>
        <scheme val="none"/>
      </font>
      <numFmt numFmtId="164" formatCode="_-* #,##0_-;\-* #,##0_-;_-* &quot;-&quot;??_-;_-@_-"/>
    </dxf>
  </rfmt>
  <rfmt sheetId="1" sqref="AR401" start="0" length="0">
    <dxf>
      <font>
        <sz val="11"/>
        <color theme="1"/>
        <name val="Calibri"/>
        <scheme val="none"/>
      </font>
      <numFmt numFmtId="164" formatCode="_-* #,##0_-;\-* #,##0_-;_-* &quot;-&quot;??_-;_-@_-"/>
    </dxf>
  </rfmt>
  <rfmt sheetId="1" sqref="AS401" start="0" length="0">
    <dxf>
      <font>
        <sz val="11"/>
        <color theme="1"/>
        <name val="Calibri"/>
        <scheme val="none"/>
      </font>
      <numFmt numFmtId="164" formatCode="_-* #,##0_-;\-* #,##0_-;_-* &quot;-&quot;??_-;_-@_-"/>
    </dxf>
  </rfmt>
  <rfmt sheetId="1" sqref="AT401" start="0" length="0">
    <dxf>
      <font>
        <sz val="11"/>
        <color theme="1"/>
        <name val="Calibri"/>
        <scheme val="none"/>
      </font>
      <numFmt numFmtId="164" formatCode="_-* #,##0_-;\-* #,##0_-;_-* &quot;-&quot;??_-;_-@_-"/>
    </dxf>
  </rfmt>
  <rfmt sheetId="1" sqref="AU401" start="0" length="0">
    <dxf>
      <font>
        <sz val="11"/>
        <color theme="1"/>
        <name val="Calibri"/>
        <scheme val="none"/>
      </font>
    </dxf>
  </rfmt>
  <rfmt sheetId="1" sqref="AV401" start="0" length="0">
    <dxf>
      <font>
        <sz val="11"/>
        <color theme="1"/>
        <name val="Calibri"/>
        <scheme val="none"/>
      </font>
    </dxf>
  </rfmt>
  <rfmt sheetId="1" sqref="AW401" start="0" length="0">
    <dxf>
      <font>
        <sz val="11"/>
        <color theme="1"/>
        <name val="Calibri"/>
        <scheme val="none"/>
      </font>
    </dxf>
  </rfmt>
  <rfmt sheetId="1" sqref="AX401" start="0" length="0">
    <dxf>
      <font>
        <sz val="11"/>
        <color theme="1"/>
        <name val="Calibri"/>
        <scheme val="none"/>
      </font>
    </dxf>
  </rfmt>
  <rfmt sheetId="1" sqref="AY401" start="0" length="0">
    <dxf>
      <font>
        <sz val="11"/>
        <color theme="1"/>
        <name val="Calibri"/>
        <scheme val="none"/>
      </font>
    </dxf>
  </rfmt>
  <rfmt sheetId="1" sqref="A401:XFD401" start="0" length="0">
    <dxf>
      <font>
        <sz val="11"/>
        <color theme="1"/>
        <name val="Calibri"/>
        <scheme val="none"/>
      </font>
    </dxf>
  </rfmt>
  <rfmt sheetId="1" sqref="A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0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0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02" start="0" length="0">
    <dxf>
      <font>
        <sz val="11"/>
        <color theme="1"/>
        <name val="Calibri"/>
        <scheme val="none"/>
      </font>
    </dxf>
  </rfmt>
  <rfmt sheetId="1" sqref="AM402" start="0" length="0">
    <dxf>
      <font>
        <sz val="11"/>
        <color theme="1"/>
        <name val="Calibri"/>
        <scheme val="none"/>
      </font>
      <numFmt numFmtId="1" formatCode="0"/>
    </dxf>
  </rfmt>
  <rfmt sheetId="1" sqref="AN402" start="0" length="0">
    <dxf>
      <font>
        <sz val="11"/>
        <color theme="1"/>
        <name val="Calibri"/>
        <scheme val="none"/>
      </font>
      <numFmt numFmtId="1" formatCode="0"/>
    </dxf>
  </rfmt>
  <rfmt sheetId="1" sqref="AO402" start="0" length="0">
    <dxf>
      <font>
        <sz val="11"/>
        <color theme="1"/>
        <name val="Calibri"/>
        <scheme val="none"/>
      </font>
    </dxf>
  </rfmt>
  <rfmt sheetId="1" sqref="AP402" start="0" length="0">
    <dxf>
      <font>
        <sz val="11"/>
        <color theme="1"/>
        <name val="Calibri"/>
        <scheme val="none"/>
      </font>
    </dxf>
  </rfmt>
  <rfmt sheetId="1" sqref="AQ402" start="0" length="0">
    <dxf>
      <font>
        <sz val="11"/>
        <color theme="1"/>
        <name val="Calibri"/>
        <scheme val="none"/>
      </font>
      <numFmt numFmtId="164" formatCode="_-* #,##0_-;\-* #,##0_-;_-* &quot;-&quot;??_-;_-@_-"/>
    </dxf>
  </rfmt>
  <rfmt sheetId="1" sqref="AR402" start="0" length="0">
    <dxf>
      <font>
        <sz val="11"/>
        <color theme="1"/>
        <name val="Calibri"/>
        <scheme val="none"/>
      </font>
      <numFmt numFmtId="164" formatCode="_-* #,##0_-;\-* #,##0_-;_-* &quot;-&quot;??_-;_-@_-"/>
    </dxf>
  </rfmt>
  <rfmt sheetId="1" sqref="AS402" start="0" length="0">
    <dxf>
      <font>
        <sz val="11"/>
        <color theme="1"/>
        <name val="Calibri"/>
        <scheme val="none"/>
      </font>
      <numFmt numFmtId="164" formatCode="_-* #,##0_-;\-* #,##0_-;_-* &quot;-&quot;??_-;_-@_-"/>
    </dxf>
  </rfmt>
  <rfmt sheetId="1" sqref="AT402" start="0" length="0">
    <dxf>
      <font>
        <sz val="11"/>
        <color theme="1"/>
        <name val="Calibri"/>
        <scheme val="none"/>
      </font>
      <numFmt numFmtId="164" formatCode="_-* #,##0_-;\-* #,##0_-;_-* &quot;-&quot;??_-;_-@_-"/>
    </dxf>
  </rfmt>
  <rfmt sheetId="1" sqref="AU402" start="0" length="0">
    <dxf>
      <font>
        <sz val="11"/>
        <color theme="1"/>
        <name val="Calibri"/>
        <scheme val="none"/>
      </font>
    </dxf>
  </rfmt>
  <rfmt sheetId="1" sqref="AV402" start="0" length="0">
    <dxf>
      <font>
        <sz val="11"/>
        <color theme="1"/>
        <name val="Calibri"/>
        <scheme val="none"/>
      </font>
    </dxf>
  </rfmt>
  <rfmt sheetId="1" sqref="AW402" start="0" length="0">
    <dxf>
      <font>
        <sz val="11"/>
        <color theme="1"/>
        <name val="Calibri"/>
        <scheme val="none"/>
      </font>
    </dxf>
  </rfmt>
  <rfmt sheetId="1" sqref="AX402" start="0" length="0">
    <dxf>
      <font>
        <sz val="11"/>
        <color theme="1"/>
        <name val="Calibri"/>
        <scheme val="none"/>
      </font>
    </dxf>
  </rfmt>
  <rfmt sheetId="1" sqref="AY402" start="0" length="0">
    <dxf>
      <font>
        <sz val="11"/>
        <color theme="1"/>
        <name val="Calibri"/>
        <scheme val="none"/>
      </font>
    </dxf>
  </rfmt>
  <rfmt sheetId="1" sqref="A402:XFD402" start="0" length="0">
    <dxf>
      <font>
        <sz val="11"/>
        <color theme="1"/>
        <name val="Calibri"/>
        <scheme val="none"/>
      </font>
    </dxf>
  </rfmt>
  <rfmt sheetId="1" sqref="A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0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0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03" start="0" length="0">
    <dxf>
      <font>
        <sz val="11"/>
        <color theme="1"/>
        <name val="Calibri"/>
        <scheme val="none"/>
      </font>
    </dxf>
  </rfmt>
  <rfmt sheetId="1" sqref="AM403" start="0" length="0">
    <dxf>
      <font>
        <sz val="11"/>
        <color theme="1"/>
        <name val="Calibri"/>
        <scheme val="none"/>
      </font>
      <numFmt numFmtId="1" formatCode="0"/>
    </dxf>
  </rfmt>
  <rfmt sheetId="1" sqref="AN403" start="0" length="0">
    <dxf>
      <font>
        <sz val="11"/>
        <color theme="1"/>
        <name val="Calibri"/>
        <scheme val="none"/>
      </font>
      <numFmt numFmtId="1" formatCode="0"/>
    </dxf>
  </rfmt>
  <rfmt sheetId="1" sqref="AO403" start="0" length="0">
    <dxf>
      <font>
        <sz val="11"/>
        <color theme="1"/>
        <name val="Calibri"/>
        <scheme val="none"/>
      </font>
    </dxf>
  </rfmt>
  <rfmt sheetId="1" sqref="AP403" start="0" length="0">
    <dxf>
      <font>
        <sz val="11"/>
        <color theme="1"/>
        <name val="Calibri"/>
        <scheme val="none"/>
      </font>
    </dxf>
  </rfmt>
  <rfmt sheetId="1" sqref="AQ403" start="0" length="0">
    <dxf>
      <font>
        <sz val="11"/>
        <color theme="1"/>
        <name val="Calibri"/>
        <scheme val="none"/>
      </font>
      <numFmt numFmtId="164" formatCode="_-* #,##0_-;\-* #,##0_-;_-* &quot;-&quot;??_-;_-@_-"/>
    </dxf>
  </rfmt>
  <rfmt sheetId="1" sqref="AR403" start="0" length="0">
    <dxf>
      <font>
        <sz val="11"/>
        <color theme="1"/>
        <name val="Calibri"/>
        <scheme val="none"/>
      </font>
      <numFmt numFmtId="164" formatCode="_-* #,##0_-;\-* #,##0_-;_-* &quot;-&quot;??_-;_-@_-"/>
    </dxf>
  </rfmt>
  <rfmt sheetId="1" sqref="AS403" start="0" length="0">
    <dxf>
      <font>
        <sz val="11"/>
        <color theme="1"/>
        <name val="Calibri"/>
        <scheme val="none"/>
      </font>
      <numFmt numFmtId="164" formatCode="_-* #,##0_-;\-* #,##0_-;_-* &quot;-&quot;??_-;_-@_-"/>
    </dxf>
  </rfmt>
  <rfmt sheetId="1" sqref="AT403" start="0" length="0">
    <dxf>
      <font>
        <sz val="11"/>
        <color theme="1"/>
        <name val="Calibri"/>
        <scheme val="none"/>
      </font>
      <numFmt numFmtId="164" formatCode="_-* #,##0_-;\-* #,##0_-;_-* &quot;-&quot;??_-;_-@_-"/>
    </dxf>
  </rfmt>
  <rfmt sheetId="1" sqref="AU403" start="0" length="0">
    <dxf>
      <font>
        <sz val="11"/>
        <color theme="1"/>
        <name val="Calibri"/>
        <scheme val="none"/>
      </font>
    </dxf>
  </rfmt>
  <rfmt sheetId="1" sqref="AV403" start="0" length="0">
    <dxf>
      <font>
        <sz val="11"/>
        <color theme="1"/>
        <name val="Calibri"/>
        <scheme val="none"/>
      </font>
    </dxf>
  </rfmt>
  <rfmt sheetId="1" sqref="AW403" start="0" length="0">
    <dxf>
      <font>
        <sz val="11"/>
        <color theme="1"/>
        <name val="Calibri"/>
        <scheme val="none"/>
      </font>
    </dxf>
  </rfmt>
  <rfmt sheetId="1" sqref="AX403" start="0" length="0">
    <dxf>
      <font>
        <sz val="11"/>
        <color theme="1"/>
        <name val="Calibri"/>
        <scheme val="none"/>
      </font>
    </dxf>
  </rfmt>
  <rfmt sheetId="1" sqref="AY403" start="0" length="0">
    <dxf>
      <font>
        <sz val="11"/>
        <color theme="1"/>
        <name val="Calibri"/>
        <scheme val="none"/>
      </font>
    </dxf>
  </rfmt>
  <rfmt sheetId="1" sqref="A403:XFD403" start="0" length="0">
    <dxf>
      <font>
        <sz val="11"/>
        <color theme="1"/>
        <name val="Calibri"/>
        <scheme val="none"/>
      </font>
    </dxf>
  </rfmt>
  <rfmt sheetId="1" sqref="A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0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0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04" start="0" length="0">
    <dxf>
      <font>
        <sz val="11"/>
        <color theme="1"/>
        <name val="Calibri"/>
        <scheme val="none"/>
      </font>
    </dxf>
  </rfmt>
  <rfmt sheetId="1" sqref="AM404" start="0" length="0">
    <dxf>
      <font>
        <sz val="11"/>
        <color theme="1"/>
        <name val="Calibri"/>
        <scheme val="none"/>
      </font>
      <numFmt numFmtId="1" formatCode="0"/>
    </dxf>
  </rfmt>
  <rfmt sheetId="1" sqref="AN404" start="0" length="0">
    <dxf>
      <font>
        <sz val="11"/>
        <color theme="1"/>
        <name val="Calibri"/>
        <scheme val="none"/>
      </font>
      <numFmt numFmtId="1" formatCode="0"/>
    </dxf>
  </rfmt>
  <rfmt sheetId="1" sqref="AO404" start="0" length="0">
    <dxf>
      <font>
        <sz val="11"/>
        <color theme="1"/>
        <name val="Calibri"/>
        <scheme val="none"/>
      </font>
    </dxf>
  </rfmt>
  <rfmt sheetId="1" sqref="AP404" start="0" length="0">
    <dxf>
      <font>
        <sz val="11"/>
        <color theme="1"/>
        <name val="Calibri"/>
        <scheme val="none"/>
      </font>
    </dxf>
  </rfmt>
  <rfmt sheetId="1" sqref="AQ404" start="0" length="0">
    <dxf>
      <font>
        <sz val="11"/>
        <color theme="1"/>
        <name val="Calibri"/>
        <scheme val="none"/>
      </font>
      <numFmt numFmtId="164" formatCode="_-* #,##0_-;\-* #,##0_-;_-* &quot;-&quot;??_-;_-@_-"/>
    </dxf>
  </rfmt>
  <rfmt sheetId="1" sqref="AR404" start="0" length="0">
    <dxf>
      <font>
        <sz val="11"/>
        <color theme="1"/>
        <name val="Calibri"/>
        <scheme val="none"/>
      </font>
      <numFmt numFmtId="164" formatCode="_-* #,##0_-;\-* #,##0_-;_-* &quot;-&quot;??_-;_-@_-"/>
    </dxf>
  </rfmt>
  <rfmt sheetId="1" sqref="AS404" start="0" length="0">
    <dxf>
      <font>
        <sz val="11"/>
        <color theme="1"/>
        <name val="Calibri"/>
        <scheme val="none"/>
      </font>
      <numFmt numFmtId="164" formatCode="_-* #,##0_-;\-* #,##0_-;_-* &quot;-&quot;??_-;_-@_-"/>
    </dxf>
  </rfmt>
  <rfmt sheetId="1" sqref="AT404" start="0" length="0">
    <dxf>
      <font>
        <sz val="11"/>
        <color theme="1"/>
        <name val="Calibri"/>
        <scheme val="none"/>
      </font>
      <numFmt numFmtId="164" formatCode="_-* #,##0_-;\-* #,##0_-;_-* &quot;-&quot;??_-;_-@_-"/>
    </dxf>
  </rfmt>
  <rfmt sheetId="1" sqref="AU404" start="0" length="0">
    <dxf>
      <font>
        <sz val="11"/>
        <color theme="1"/>
        <name val="Calibri"/>
        <scheme val="none"/>
      </font>
    </dxf>
  </rfmt>
  <rfmt sheetId="1" sqref="AV404" start="0" length="0">
    <dxf>
      <font>
        <sz val="11"/>
        <color theme="1"/>
        <name val="Calibri"/>
        <scheme val="none"/>
      </font>
    </dxf>
  </rfmt>
  <rfmt sheetId="1" sqref="AW404" start="0" length="0">
    <dxf>
      <font>
        <sz val="11"/>
        <color theme="1"/>
        <name val="Calibri"/>
        <scheme val="none"/>
      </font>
    </dxf>
  </rfmt>
  <rfmt sheetId="1" sqref="AX404" start="0" length="0">
    <dxf>
      <font>
        <sz val="11"/>
        <color theme="1"/>
        <name val="Calibri"/>
        <scheme val="none"/>
      </font>
    </dxf>
  </rfmt>
  <rfmt sheetId="1" sqref="AY404" start="0" length="0">
    <dxf>
      <font>
        <sz val="11"/>
        <color theme="1"/>
        <name val="Calibri"/>
        <scheme val="none"/>
      </font>
    </dxf>
  </rfmt>
  <rfmt sheetId="1" sqref="A404:XFD404" start="0" length="0">
    <dxf>
      <font>
        <sz val="11"/>
        <color theme="1"/>
        <name val="Calibri"/>
        <scheme val="none"/>
      </font>
    </dxf>
  </rfmt>
  <rfmt sheetId="1" sqref="A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0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0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05" start="0" length="0">
    <dxf>
      <font>
        <sz val="11"/>
        <color theme="1"/>
        <name val="Calibri"/>
        <scheme val="none"/>
      </font>
    </dxf>
  </rfmt>
  <rfmt sheetId="1" sqref="AM405" start="0" length="0">
    <dxf>
      <font>
        <sz val="11"/>
        <color theme="1"/>
        <name val="Calibri"/>
        <scheme val="none"/>
      </font>
      <numFmt numFmtId="1" formatCode="0"/>
    </dxf>
  </rfmt>
  <rfmt sheetId="1" sqref="AN405" start="0" length="0">
    <dxf>
      <font>
        <sz val="11"/>
        <color theme="1"/>
        <name val="Calibri"/>
        <scheme val="none"/>
      </font>
      <numFmt numFmtId="1" formatCode="0"/>
    </dxf>
  </rfmt>
  <rfmt sheetId="1" sqref="AO405" start="0" length="0">
    <dxf>
      <font>
        <sz val="11"/>
        <color theme="1"/>
        <name val="Calibri"/>
        <scheme val="none"/>
      </font>
    </dxf>
  </rfmt>
  <rfmt sheetId="1" sqref="AP405" start="0" length="0">
    <dxf>
      <font>
        <sz val="11"/>
        <color theme="1"/>
        <name val="Calibri"/>
        <scheme val="none"/>
      </font>
    </dxf>
  </rfmt>
  <rfmt sheetId="1" sqref="AQ405" start="0" length="0">
    <dxf>
      <font>
        <sz val="11"/>
        <color theme="1"/>
        <name val="Calibri"/>
        <scheme val="none"/>
      </font>
      <numFmt numFmtId="164" formatCode="_-* #,##0_-;\-* #,##0_-;_-* &quot;-&quot;??_-;_-@_-"/>
    </dxf>
  </rfmt>
  <rfmt sheetId="1" sqref="AR405" start="0" length="0">
    <dxf>
      <font>
        <sz val="11"/>
        <color theme="1"/>
        <name val="Calibri"/>
        <scheme val="none"/>
      </font>
      <numFmt numFmtId="164" formatCode="_-* #,##0_-;\-* #,##0_-;_-* &quot;-&quot;??_-;_-@_-"/>
    </dxf>
  </rfmt>
  <rfmt sheetId="1" sqref="AS405" start="0" length="0">
    <dxf>
      <font>
        <sz val="11"/>
        <color theme="1"/>
        <name val="Calibri"/>
        <scheme val="none"/>
      </font>
      <numFmt numFmtId="164" formatCode="_-* #,##0_-;\-* #,##0_-;_-* &quot;-&quot;??_-;_-@_-"/>
    </dxf>
  </rfmt>
  <rfmt sheetId="1" sqref="AT405" start="0" length="0">
    <dxf>
      <font>
        <sz val="11"/>
        <color theme="1"/>
        <name val="Calibri"/>
        <scheme val="none"/>
      </font>
      <numFmt numFmtId="164" formatCode="_-* #,##0_-;\-* #,##0_-;_-* &quot;-&quot;??_-;_-@_-"/>
    </dxf>
  </rfmt>
  <rfmt sheetId="1" sqref="AU405" start="0" length="0">
    <dxf>
      <font>
        <sz val="11"/>
        <color theme="1"/>
        <name val="Calibri"/>
        <scheme val="none"/>
      </font>
    </dxf>
  </rfmt>
  <rfmt sheetId="1" sqref="AV405" start="0" length="0">
    <dxf>
      <font>
        <sz val="11"/>
        <color theme="1"/>
        <name val="Calibri"/>
        <scheme val="none"/>
      </font>
    </dxf>
  </rfmt>
  <rfmt sheetId="1" sqref="AW405" start="0" length="0">
    <dxf>
      <font>
        <sz val="11"/>
        <color theme="1"/>
        <name val="Calibri"/>
        <scheme val="none"/>
      </font>
    </dxf>
  </rfmt>
  <rfmt sheetId="1" sqref="AX405" start="0" length="0">
    <dxf>
      <font>
        <sz val="11"/>
        <color theme="1"/>
        <name val="Calibri"/>
        <scheme val="none"/>
      </font>
    </dxf>
  </rfmt>
  <rfmt sheetId="1" sqref="AY405" start="0" length="0">
    <dxf>
      <font>
        <sz val="11"/>
        <color theme="1"/>
        <name val="Calibri"/>
        <scheme val="none"/>
      </font>
    </dxf>
  </rfmt>
  <rfmt sheetId="1" sqref="A405:XFD405" start="0" length="0">
    <dxf>
      <font>
        <sz val="11"/>
        <color theme="1"/>
        <name val="Calibri"/>
        <scheme val="none"/>
      </font>
    </dxf>
  </rfmt>
  <rfmt sheetId="1" sqref="A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0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0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06" start="0" length="0">
    <dxf>
      <font>
        <sz val="11"/>
        <color theme="1"/>
        <name val="Calibri"/>
        <scheme val="none"/>
      </font>
    </dxf>
  </rfmt>
  <rfmt sheetId="1" sqref="AM406" start="0" length="0">
    <dxf>
      <font>
        <sz val="11"/>
        <color theme="1"/>
        <name val="Calibri"/>
        <scheme val="none"/>
      </font>
      <numFmt numFmtId="1" formatCode="0"/>
    </dxf>
  </rfmt>
  <rfmt sheetId="1" sqref="AN406" start="0" length="0">
    <dxf>
      <font>
        <sz val="11"/>
        <color theme="1"/>
        <name val="Calibri"/>
        <scheme val="none"/>
      </font>
      <numFmt numFmtId="1" formatCode="0"/>
    </dxf>
  </rfmt>
  <rfmt sheetId="1" sqref="AO406" start="0" length="0">
    <dxf>
      <font>
        <sz val="11"/>
        <color theme="1"/>
        <name val="Calibri"/>
        <scheme val="none"/>
      </font>
    </dxf>
  </rfmt>
  <rfmt sheetId="1" sqref="AP406" start="0" length="0">
    <dxf>
      <font>
        <sz val="11"/>
        <color theme="1"/>
        <name val="Calibri"/>
        <scheme val="none"/>
      </font>
    </dxf>
  </rfmt>
  <rfmt sheetId="1" sqref="AQ406" start="0" length="0">
    <dxf>
      <font>
        <sz val="11"/>
        <color theme="1"/>
        <name val="Calibri"/>
        <scheme val="none"/>
      </font>
      <numFmt numFmtId="164" formatCode="_-* #,##0_-;\-* #,##0_-;_-* &quot;-&quot;??_-;_-@_-"/>
    </dxf>
  </rfmt>
  <rfmt sheetId="1" sqref="AR406" start="0" length="0">
    <dxf>
      <font>
        <sz val="11"/>
        <color theme="1"/>
        <name val="Calibri"/>
        <scheme val="none"/>
      </font>
      <numFmt numFmtId="164" formatCode="_-* #,##0_-;\-* #,##0_-;_-* &quot;-&quot;??_-;_-@_-"/>
    </dxf>
  </rfmt>
  <rfmt sheetId="1" sqref="AS406" start="0" length="0">
    <dxf>
      <font>
        <sz val="11"/>
        <color theme="1"/>
        <name val="Calibri"/>
        <scheme val="none"/>
      </font>
      <numFmt numFmtId="164" formatCode="_-* #,##0_-;\-* #,##0_-;_-* &quot;-&quot;??_-;_-@_-"/>
    </dxf>
  </rfmt>
  <rfmt sheetId="1" sqref="AT406" start="0" length="0">
    <dxf>
      <font>
        <sz val="11"/>
        <color theme="1"/>
        <name val="Calibri"/>
        <scheme val="none"/>
      </font>
      <numFmt numFmtId="164" formatCode="_-* #,##0_-;\-* #,##0_-;_-* &quot;-&quot;??_-;_-@_-"/>
    </dxf>
  </rfmt>
  <rfmt sheetId="1" sqref="AU406" start="0" length="0">
    <dxf>
      <font>
        <sz val="11"/>
        <color theme="1"/>
        <name val="Calibri"/>
        <scheme val="none"/>
      </font>
    </dxf>
  </rfmt>
  <rfmt sheetId="1" sqref="AV406" start="0" length="0">
    <dxf>
      <font>
        <sz val="11"/>
        <color theme="1"/>
        <name val="Calibri"/>
        <scheme val="none"/>
      </font>
    </dxf>
  </rfmt>
  <rfmt sheetId="1" sqref="AW406" start="0" length="0">
    <dxf>
      <font>
        <sz val="11"/>
        <color theme="1"/>
        <name val="Calibri"/>
        <scheme val="none"/>
      </font>
    </dxf>
  </rfmt>
  <rfmt sheetId="1" sqref="AX406" start="0" length="0">
    <dxf>
      <font>
        <sz val="11"/>
        <color theme="1"/>
        <name val="Calibri"/>
        <scheme val="none"/>
      </font>
    </dxf>
  </rfmt>
  <rfmt sheetId="1" sqref="AY406" start="0" length="0">
    <dxf>
      <font>
        <sz val="11"/>
        <color theme="1"/>
        <name val="Calibri"/>
        <scheme val="none"/>
      </font>
    </dxf>
  </rfmt>
  <rfmt sheetId="1" sqref="A406:XFD406" start="0" length="0">
    <dxf>
      <font>
        <sz val="11"/>
        <color theme="1"/>
        <name val="Calibri"/>
        <scheme val="none"/>
      </font>
    </dxf>
  </rfmt>
  <rfmt sheetId="1" sqref="A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0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0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07" start="0" length="0">
    <dxf>
      <font>
        <sz val="11"/>
        <color theme="1"/>
        <name val="Calibri"/>
        <scheme val="none"/>
      </font>
    </dxf>
  </rfmt>
  <rfmt sheetId="1" sqref="AM407" start="0" length="0">
    <dxf>
      <font>
        <sz val="11"/>
        <color theme="1"/>
        <name val="Calibri"/>
        <scheme val="none"/>
      </font>
      <numFmt numFmtId="1" formatCode="0"/>
    </dxf>
  </rfmt>
  <rfmt sheetId="1" sqref="AN407" start="0" length="0">
    <dxf>
      <font>
        <sz val="11"/>
        <color theme="1"/>
        <name val="Calibri"/>
        <scheme val="none"/>
      </font>
      <numFmt numFmtId="1" formatCode="0"/>
    </dxf>
  </rfmt>
  <rfmt sheetId="1" sqref="AO407" start="0" length="0">
    <dxf>
      <font>
        <sz val="11"/>
        <color theme="1"/>
        <name val="Calibri"/>
        <scheme val="none"/>
      </font>
    </dxf>
  </rfmt>
  <rfmt sheetId="1" sqref="AP407" start="0" length="0">
    <dxf>
      <font>
        <sz val="11"/>
        <color theme="1"/>
        <name val="Calibri"/>
        <scheme val="none"/>
      </font>
    </dxf>
  </rfmt>
  <rfmt sheetId="1" sqref="AQ407" start="0" length="0">
    <dxf>
      <font>
        <sz val="11"/>
        <color theme="1"/>
        <name val="Calibri"/>
        <scheme val="none"/>
      </font>
      <numFmt numFmtId="164" formatCode="_-* #,##0_-;\-* #,##0_-;_-* &quot;-&quot;??_-;_-@_-"/>
    </dxf>
  </rfmt>
  <rfmt sheetId="1" sqref="AR407" start="0" length="0">
    <dxf>
      <font>
        <sz val="11"/>
        <color theme="1"/>
        <name val="Calibri"/>
        <scheme val="none"/>
      </font>
      <numFmt numFmtId="164" formatCode="_-* #,##0_-;\-* #,##0_-;_-* &quot;-&quot;??_-;_-@_-"/>
    </dxf>
  </rfmt>
  <rfmt sheetId="1" sqref="AS407" start="0" length="0">
    <dxf>
      <font>
        <sz val="11"/>
        <color theme="1"/>
        <name val="Calibri"/>
        <scheme val="none"/>
      </font>
      <numFmt numFmtId="164" formatCode="_-* #,##0_-;\-* #,##0_-;_-* &quot;-&quot;??_-;_-@_-"/>
    </dxf>
  </rfmt>
  <rfmt sheetId="1" sqref="AT407" start="0" length="0">
    <dxf>
      <font>
        <sz val="11"/>
        <color theme="1"/>
        <name val="Calibri"/>
        <scheme val="none"/>
      </font>
      <numFmt numFmtId="164" formatCode="_-* #,##0_-;\-* #,##0_-;_-* &quot;-&quot;??_-;_-@_-"/>
    </dxf>
  </rfmt>
  <rfmt sheetId="1" sqref="AU407" start="0" length="0">
    <dxf>
      <font>
        <sz val="11"/>
        <color theme="1"/>
        <name val="Calibri"/>
        <scheme val="none"/>
      </font>
    </dxf>
  </rfmt>
  <rfmt sheetId="1" sqref="AV407" start="0" length="0">
    <dxf>
      <font>
        <sz val="11"/>
        <color theme="1"/>
        <name val="Calibri"/>
        <scheme val="none"/>
      </font>
    </dxf>
  </rfmt>
  <rfmt sheetId="1" sqref="AW407" start="0" length="0">
    <dxf>
      <font>
        <sz val="11"/>
        <color theme="1"/>
        <name val="Calibri"/>
        <scheme val="none"/>
      </font>
    </dxf>
  </rfmt>
  <rfmt sheetId="1" sqref="AX407" start="0" length="0">
    <dxf>
      <font>
        <sz val="11"/>
        <color theme="1"/>
        <name val="Calibri"/>
        <scheme val="none"/>
      </font>
    </dxf>
  </rfmt>
  <rfmt sheetId="1" sqref="AY407" start="0" length="0">
    <dxf>
      <font>
        <sz val="11"/>
        <color theme="1"/>
        <name val="Calibri"/>
        <scheme val="none"/>
      </font>
    </dxf>
  </rfmt>
  <rfmt sheetId="1" sqref="A407:XFD407" start="0" length="0">
    <dxf>
      <font>
        <sz val="11"/>
        <color theme="1"/>
        <name val="Calibri"/>
        <scheme val="none"/>
      </font>
    </dxf>
  </rfmt>
  <rfmt sheetId="1" sqref="A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0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0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08" start="0" length="0">
    <dxf>
      <font>
        <sz val="11"/>
        <color theme="1"/>
        <name val="Calibri"/>
        <scheme val="none"/>
      </font>
    </dxf>
  </rfmt>
  <rfmt sheetId="1" sqref="AM408" start="0" length="0">
    <dxf>
      <font>
        <sz val="11"/>
        <color theme="1"/>
        <name val="Calibri"/>
        <scheme val="none"/>
      </font>
      <numFmt numFmtId="1" formatCode="0"/>
    </dxf>
  </rfmt>
  <rfmt sheetId="1" sqref="AN408" start="0" length="0">
    <dxf>
      <font>
        <sz val="11"/>
        <color theme="1"/>
        <name val="Calibri"/>
        <scheme val="none"/>
      </font>
      <numFmt numFmtId="1" formatCode="0"/>
    </dxf>
  </rfmt>
  <rfmt sheetId="1" sqref="AO408" start="0" length="0">
    <dxf>
      <font>
        <sz val="11"/>
        <color theme="1"/>
        <name val="Calibri"/>
        <scheme val="none"/>
      </font>
    </dxf>
  </rfmt>
  <rfmt sheetId="1" sqref="AP408" start="0" length="0">
    <dxf>
      <font>
        <sz val="11"/>
        <color theme="1"/>
        <name val="Calibri"/>
        <scheme val="none"/>
      </font>
    </dxf>
  </rfmt>
  <rfmt sheetId="1" sqref="AQ408" start="0" length="0">
    <dxf>
      <font>
        <sz val="11"/>
        <color theme="1"/>
        <name val="Calibri"/>
        <scheme val="none"/>
      </font>
      <numFmt numFmtId="164" formatCode="_-* #,##0_-;\-* #,##0_-;_-* &quot;-&quot;??_-;_-@_-"/>
    </dxf>
  </rfmt>
  <rfmt sheetId="1" sqref="AR408" start="0" length="0">
    <dxf>
      <font>
        <sz val="11"/>
        <color theme="1"/>
        <name val="Calibri"/>
        <scheme val="none"/>
      </font>
      <numFmt numFmtId="164" formatCode="_-* #,##0_-;\-* #,##0_-;_-* &quot;-&quot;??_-;_-@_-"/>
    </dxf>
  </rfmt>
  <rfmt sheetId="1" sqref="AS408" start="0" length="0">
    <dxf>
      <font>
        <sz val="11"/>
        <color theme="1"/>
        <name val="Calibri"/>
        <scheme val="none"/>
      </font>
      <numFmt numFmtId="164" formatCode="_-* #,##0_-;\-* #,##0_-;_-* &quot;-&quot;??_-;_-@_-"/>
    </dxf>
  </rfmt>
  <rfmt sheetId="1" sqref="AT408" start="0" length="0">
    <dxf>
      <font>
        <sz val="11"/>
        <color theme="1"/>
        <name val="Calibri"/>
        <scheme val="none"/>
      </font>
      <numFmt numFmtId="164" formatCode="_-* #,##0_-;\-* #,##0_-;_-* &quot;-&quot;??_-;_-@_-"/>
    </dxf>
  </rfmt>
  <rfmt sheetId="1" sqref="AU408" start="0" length="0">
    <dxf>
      <font>
        <sz val="11"/>
        <color theme="1"/>
        <name val="Calibri"/>
        <scheme val="none"/>
      </font>
    </dxf>
  </rfmt>
  <rfmt sheetId="1" sqref="AV408" start="0" length="0">
    <dxf>
      <font>
        <sz val="11"/>
        <color theme="1"/>
        <name val="Calibri"/>
        <scheme val="none"/>
      </font>
    </dxf>
  </rfmt>
  <rfmt sheetId="1" sqref="AW408" start="0" length="0">
    <dxf>
      <font>
        <sz val="11"/>
        <color theme="1"/>
        <name val="Calibri"/>
        <scheme val="none"/>
      </font>
    </dxf>
  </rfmt>
  <rfmt sheetId="1" sqref="AX408" start="0" length="0">
    <dxf>
      <font>
        <sz val="11"/>
        <color theme="1"/>
        <name val="Calibri"/>
        <scheme val="none"/>
      </font>
    </dxf>
  </rfmt>
  <rfmt sheetId="1" sqref="AY408" start="0" length="0">
    <dxf>
      <font>
        <sz val="11"/>
        <color theme="1"/>
        <name val="Calibri"/>
        <scheme val="none"/>
      </font>
    </dxf>
  </rfmt>
  <rfmt sheetId="1" sqref="A408:XFD408" start="0" length="0">
    <dxf>
      <font>
        <sz val="11"/>
        <color theme="1"/>
        <name val="Calibri"/>
        <scheme val="none"/>
      </font>
    </dxf>
  </rfmt>
  <rfmt sheetId="1" sqref="A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0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0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09" start="0" length="0">
    <dxf>
      <font>
        <sz val="11"/>
        <color theme="1"/>
        <name val="Calibri"/>
        <scheme val="none"/>
      </font>
    </dxf>
  </rfmt>
  <rfmt sheetId="1" sqref="AM409" start="0" length="0">
    <dxf>
      <font>
        <sz val="11"/>
        <color theme="1"/>
        <name val="Calibri"/>
        <scheme val="none"/>
      </font>
      <numFmt numFmtId="1" formatCode="0"/>
    </dxf>
  </rfmt>
  <rfmt sheetId="1" sqref="AN409" start="0" length="0">
    <dxf>
      <font>
        <sz val="11"/>
        <color theme="1"/>
        <name val="Calibri"/>
        <scheme val="none"/>
      </font>
      <numFmt numFmtId="1" formatCode="0"/>
    </dxf>
  </rfmt>
  <rfmt sheetId="1" sqref="AO409" start="0" length="0">
    <dxf>
      <font>
        <sz val="11"/>
        <color theme="1"/>
        <name val="Calibri"/>
        <scheme val="none"/>
      </font>
    </dxf>
  </rfmt>
  <rfmt sheetId="1" sqref="AP409" start="0" length="0">
    <dxf>
      <font>
        <sz val="11"/>
        <color theme="1"/>
        <name val="Calibri"/>
        <scheme val="none"/>
      </font>
    </dxf>
  </rfmt>
  <rfmt sheetId="1" sqref="AQ409" start="0" length="0">
    <dxf>
      <font>
        <sz val="11"/>
        <color theme="1"/>
        <name val="Calibri"/>
        <scheme val="none"/>
      </font>
      <numFmt numFmtId="164" formatCode="_-* #,##0_-;\-* #,##0_-;_-* &quot;-&quot;??_-;_-@_-"/>
    </dxf>
  </rfmt>
  <rfmt sheetId="1" sqref="AR409" start="0" length="0">
    <dxf>
      <font>
        <sz val="11"/>
        <color theme="1"/>
        <name val="Calibri"/>
        <scheme val="none"/>
      </font>
      <numFmt numFmtId="164" formatCode="_-* #,##0_-;\-* #,##0_-;_-* &quot;-&quot;??_-;_-@_-"/>
    </dxf>
  </rfmt>
  <rfmt sheetId="1" sqref="AS409" start="0" length="0">
    <dxf>
      <font>
        <sz val="11"/>
        <color theme="1"/>
        <name val="Calibri"/>
        <scheme val="none"/>
      </font>
      <numFmt numFmtId="164" formatCode="_-* #,##0_-;\-* #,##0_-;_-* &quot;-&quot;??_-;_-@_-"/>
    </dxf>
  </rfmt>
  <rfmt sheetId="1" sqref="AT409" start="0" length="0">
    <dxf>
      <font>
        <sz val="11"/>
        <color theme="1"/>
        <name val="Calibri"/>
        <scheme val="none"/>
      </font>
      <numFmt numFmtId="164" formatCode="_-* #,##0_-;\-* #,##0_-;_-* &quot;-&quot;??_-;_-@_-"/>
    </dxf>
  </rfmt>
  <rfmt sheetId="1" sqref="AU409" start="0" length="0">
    <dxf>
      <font>
        <sz val="11"/>
        <color theme="1"/>
        <name val="Calibri"/>
        <scheme val="none"/>
      </font>
    </dxf>
  </rfmt>
  <rfmt sheetId="1" sqref="AV409" start="0" length="0">
    <dxf>
      <font>
        <sz val="11"/>
        <color theme="1"/>
        <name val="Calibri"/>
        <scheme val="none"/>
      </font>
    </dxf>
  </rfmt>
  <rfmt sheetId="1" sqref="AW409" start="0" length="0">
    <dxf>
      <font>
        <sz val="11"/>
        <color theme="1"/>
        <name val="Calibri"/>
        <scheme val="none"/>
      </font>
    </dxf>
  </rfmt>
  <rfmt sheetId="1" sqref="AX409" start="0" length="0">
    <dxf>
      <font>
        <sz val="11"/>
        <color theme="1"/>
        <name val="Calibri"/>
        <scheme val="none"/>
      </font>
    </dxf>
  </rfmt>
  <rfmt sheetId="1" sqref="AY409" start="0" length="0">
    <dxf>
      <font>
        <sz val="11"/>
        <color theme="1"/>
        <name val="Calibri"/>
        <scheme val="none"/>
      </font>
    </dxf>
  </rfmt>
  <rfmt sheetId="1" sqref="A409:XFD409" start="0" length="0">
    <dxf>
      <font>
        <sz val="11"/>
        <color theme="1"/>
        <name val="Calibri"/>
        <scheme val="none"/>
      </font>
    </dxf>
  </rfmt>
  <rfmt sheetId="1" sqref="A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1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1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10" start="0" length="0">
    <dxf>
      <font>
        <sz val="11"/>
        <color theme="1"/>
        <name val="Calibri"/>
        <scheme val="none"/>
      </font>
    </dxf>
  </rfmt>
  <rfmt sheetId="1" sqref="AM410" start="0" length="0">
    <dxf>
      <font>
        <sz val="11"/>
        <color theme="1"/>
        <name val="Calibri"/>
        <scheme val="none"/>
      </font>
      <numFmt numFmtId="1" formatCode="0"/>
    </dxf>
  </rfmt>
  <rfmt sheetId="1" sqref="AN410" start="0" length="0">
    <dxf>
      <font>
        <sz val="11"/>
        <color theme="1"/>
        <name val="Calibri"/>
        <scheme val="none"/>
      </font>
      <numFmt numFmtId="1" formatCode="0"/>
    </dxf>
  </rfmt>
  <rfmt sheetId="1" sqref="AO410" start="0" length="0">
    <dxf>
      <font>
        <sz val="11"/>
        <color theme="1"/>
        <name val="Calibri"/>
        <scheme val="none"/>
      </font>
    </dxf>
  </rfmt>
  <rfmt sheetId="1" sqref="AP410" start="0" length="0">
    <dxf>
      <font>
        <sz val="11"/>
        <color theme="1"/>
        <name val="Calibri"/>
        <scheme val="none"/>
      </font>
    </dxf>
  </rfmt>
  <rfmt sheetId="1" sqref="AQ410" start="0" length="0">
    <dxf>
      <font>
        <sz val="11"/>
        <color theme="1"/>
        <name val="Calibri"/>
        <scheme val="none"/>
      </font>
      <numFmt numFmtId="164" formatCode="_-* #,##0_-;\-* #,##0_-;_-* &quot;-&quot;??_-;_-@_-"/>
    </dxf>
  </rfmt>
  <rfmt sheetId="1" sqref="AR410" start="0" length="0">
    <dxf>
      <font>
        <sz val="11"/>
        <color theme="1"/>
        <name val="Calibri"/>
        <scheme val="none"/>
      </font>
      <numFmt numFmtId="164" formatCode="_-* #,##0_-;\-* #,##0_-;_-* &quot;-&quot;??_-;_-@_-"/>
    </dxf>
  </rfmt>
  <rfmt sheetId="1" sqref="AS410" start="0" length="0">
    <dxf>
      <font>
        <sz val="11"/>
        <color theme="1"/>
        <name val="Calibri"/>
        <scheme val="none"/>
      </font>
      <numFmt numFmtId="164" formatCode="_-* #,##0_-;\-* #,##0_-;_-* &quot;-&quot;??_-;_-@_-"/>
    </dxf>
  </rfmt>
  <rfmt sheetId="1" sqref="AT410" start="0" length="0">
    <dxf>
      <font>
        <sz val="11"/>
        <color theme="1"/>
        <name val="Calibri"/>
        <scheme val="none"/>
      </font>
      <numFmt numFmtId="164" formatCode="_-* #,##0_-;\-* #,##0_-;_-* &quot;-&quot;??_-;_-@_-"/>
    </dxf>
  </rfmt>
  <rfmt sheetId="1" sqref="AU410" start="0" length="0">
    <dxf>
      <font>
        <sz val="11"/>
        <color theme="1"/>
        <name val="Calibri"/>
        <scheme val="none"/>
      </font>
    </dxf>
  </rfmt>
  <rfmt sheetId="1" sqref="AV410" start="0" length="0">
    <dxf>
      <font>
        <sz val="11"/>
        <color theme="1"/>
        <name val="Calibri"/>
        <scheme val="none"/>
      </font>
    </dxf>
  </rfmt>
  <rfmt sheetId="1" sqref="AW410" start="0" length="0">
    <dxf>
      <font>
        <sz val="11"/>
        <color theme="1"/>
        <name val="Calibri"/>
        <scheme val="none"/>
      </font>
    </dxf>
  </rfmt>
  <rfmt sheetId="1" sqref="AX410" start="0" length="0">
    <dxf>
      <font>
        <sz val="11"/>
        <color theme="1"/>
        <name val="Calibri"/>
        <scheme val="none"/>
      </font>
    </dxf>
  </rfmt>
  <rfmt sheetId="1" sqref="AY410" start="0" length="0">
    <dxf>
      <font>
        <sz val="11"/>
        <color theme="1"/>
        <name val="Calibri"/>
        <scheme val="none"/>
      </font>
    </dxf>
  </rfmt>
  <rfmt sheetId="1" sqref="A410:XFD410" start="0" length="0">
    <dxf>
      <font>
        <sz val="11"/>
        <color theme="1"/>
        <name val="Calibri"/>
        <scheme val="none"/>
      </font>
    </dxf>
  </rfmt>
  <rfmt sheetId="1" sqref="A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1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1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11" start="0" length="0">
    <dxf>
      <font>
        <sz val="11"/>
        <color theme="1"/>
        <name val="Calibri"/>
        <scheme val="none"/>
      </font>
    </dxf>
  </rfmt>
  <rfmt sheetId="1" sqref="AM411" start="0" length="0">
    <dxf>
      <font>
        <sz val="11"/>
        <color theme="1"/>
        <name val="Calibri"/>
        <scheme val="none"/>
      </font>
      <numFmt numFmtId="1" formatCode="0"/>
    </dxf>
  </rfmt>
  <rfmt sheetId="1" sqref="AN411" start="0" length="0">
    <dxf>
      <font>
        <sz val="11"/>
        <color theme="1"/>
        <name val="Calibri"/>
        <scheme val="none"/>
      </font>
      <numFmt numFmtId="1" formatCode="0"/>
    </dxf>
  </rfmt>
  <rfmt sheetId="1" sqref="AO411" start="0" length="0">
    <dxf>
      <font>
        <sz val="11"/>
        <color theme="1"/>
        <name val="Calibri"/>
        <scheme val="none"/>
      </font>
    </dxf>
  </rfmt>
  <rfmt sheetId="1" sqref="AP411" start="0" length="0">
    <dxf>
      <font>
        <sz val="11"/>
        <color theme="1"/>
        <name val="Calibri"/>
        <scheme val="none"/>
      </font>
    </dxf>
  </rfmt>
  <rfmt sheetId="1" sqref="AQ411" start="0" length="0">
    <dxf>
      <font>
        <sz val="11"/>
        <color theme="1"/>
        <name val="Calibri"/>
        <scheme val="none"/>
      </font>
      <numFmt numFmtId="164" formatCode="_-* #,##0_-;\-* #,##0_-;_-* &quot;-&quot;??_-;_-@_-"/>
    </dxf>
  </rfmt>
  <rfmt sheetId="1" sqref="AR411" start="0" length="0">
    <dxf>
      <font>
        <sz val="11"/>
        <color theme="1"/>
        <name val="Calibri"/>
        <scheme val="none"/>
      </font>
      <numFmt numFmtId="164" formatCode="_-* #,##0_-;\-* #,##0_-;_-* &quot;-&quot;??_-;_-@_-"/>
    </dxf>
  </rfmt>
  <rfmt sheetId="1" sqref="AS411" start="0" length="0">
    <dxf>
      <font>
        <sz val="11"/>
        <color theme="1"/>
        <name val="Calibri"/>
        <scheme val="none"/>
      </font>
      <numFmt numFmtId="164" formatCode="_-* #,##0_-;\-* #,##0_-;_-* &quot;-&quot;??_-;_-@_-"/>
    </dxf>
  </rfmt>
  <rfmt sheetId="1" sqref="AT411" start="0" length="0">
    <dxf>
      <font>
        <sz val="11"/>
        <color theme="1"/>
        <name val="Calibri"/>
        <scheme val="none"/>
      </font>
      <numFmt numFmtId="164" formatCode="_-* #,##0_-;\-* #,##0_-;_-* &quot;-&quot;??_-;_-@_-"/>
    </dxf>
  </rfmt>
  <rfmt sheetId="1" sqref="AU411" start="0" length="0">
    <dxf>
      <font>
        <sz val="11"/>
        <color theme="1"/>
        <name val="Calibri"/>
        <scheme val="none"/>
      </font>
    </dxf>
  </rfmt>
  <rfmt sheetId="1" sqref="AV411" start="0" length="0">
    <dxf>
      <font>
        <sz val="11"/>
        <color theme="1"/>
        <name val="Calibri"/>
        <scheme val="none"/>
      </font>
    </dxf>
  </rfmt>
  <rfmt sheetId="1" sqref="AW411" start="0" length="0">
    <dxf>
      <font>
        <sz val="11"/>
        <color theme="1"/>
        <name val="Calibri"/>
        <scheme val="none"/>
      </font>
    </dxf>
  </rfmt>
  <rfmt sheetId="1" sqref="AX411" start="0" length="0">
    <dxf>
      <font>
        <sz val="11"/>
        <color theme="1"/>
        <name val="Calibri"/>
        <scheme val="none"/>
      </font>
    </dxf>
  </rfmt>
  <rfmt sheetId="1" sqref="AY411" start="0" length="0">
    <dxf>
      <font>
        <sz val="11"/>
        <color theme="1"/>
        <name val="Calibri"/>
        <scheme val="none"/>
      </font>
    </dxf>
  </rfmt>
  <rfmt sheetId="1" sqref="A411:XFD411" start="0" length="0">
    <dxf>
      <font>
        <sz val="11"/>
        <color theme="1"/>
        <name val="Calibri"/>
        <scheme val="none"/>
      </font>
    </dxf>
  </rfmt>
  <rfmt sheetId="1" sqref="A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1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1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12" start="0" length="0">
    <dxf>
      <font>
        <sz val="11"/>
        <color theme="1"/>
        <name val="Calibri"/>
        <scheme val="none"/>
      </font>
    </dxf>
  </rfmt>
  <rfmt sheetId="1" sqref="AM412" start="0" length="0">
    <dxf>
      <font>
        <sz val="11"/>
        <color theme="1"/>
        <name val="Calibri"/>
        <scheme val="none"/>
      </font>
      <numFmt numFmtId="1" formatCode="0"/>
    </dxf>
  </rfmt>
  <rfmt sheetId="1" sqref="AN412" start="0" length="0">
    <dxf>
      <font>
        <sz val="11"/>
        <color theme="1"/>
        <name val="Calibri"/>
        <scheme val="none"/>
      </font>
      <numFmt numFmtId="1" formatCode="0"/>
    </dxf>
  </rfmt>
  <rfmt sheetId="1" sqref="AO412" start="0" length="0">
    <dxf>
      <font>
        <sz val="11"/>
        <color theme="1"/>
        <name val="Calibri"/>
        <scheme val="none"/>
      </font>
    </dxf>
  </rfmt>
  <rfmt sheetId="1" sqref="AP412" start="0" length="0">
    <dxf>
      <font>
        <sz val="11"/>
        <color theme="1"/>
        <name val="Calibri"/>
        <scheme val="none"/>
      </font>
    </dxf>
  </rfmt>
  <rfmt sheetId="1" sqref="AQ412" start="0" length="0">
    <dxf>
      <font>
        <sz val="11"/>
        <color theme="1"/>
        <name val="Calibri"/>
        <scheme val="none"/>
      </font>
      <numFmt numFmtId="164" formatCode="_-* #,##0_-;\-* #,##0_-;_-* &quot;-&quot;??_-;_-@_-"/>
    </dxf>
  </rfmt>
  <rfmt sheetId="1" sqref="AR412" start="0" length="0">
    <dxf>
      <font>
        <sz val="11"/>
        <color theme="1"/>
        <name val="Calibri"/>
        <scheme val="none"/>
      </font>
      <numFmt numFmtId="164" formatCode="_-* #,##0_-;\-* #,##0_-;_-* &quot;-&quot;??_-;_-@_-"/>
    </dxf>
  </rfmt>
  <rfmt sheetId="1" sqref="AS412" start="0" length="0">
    <dxf>
      <font>
        <sz val="11"/>
        <color theme="1"/>
        <name val="Calibri"/>
        <scheme val="none"/>
      </font>
      <numFmt numFmtId="164" formatCode="_-* #,##0_-;\-* #,##0_-;_-* &quot;-&quot;??_-;_-@_-"/>
    </dxf>
  </rfmt>
  <rfmt sheetId="1" sqref="AT412" start="0" length="0">
    <dxf>
      <font>
        <sz val="11"/>
        <color theme="1"/>
        <name val="Calibri"/>
        <scheme val="none"/>
      </font>
      <numFmt numFmtId="164" formatCode="_-* #,##0_-;\-* #,##0_-;_-* &quot;-&quot;??_-;_-@_-"/>
    </dxf>
  </rfmt>
  <rfmt sheetId="1" sqref="AU412" start="0" length="0">
    <dxf>
      <font>
        <sz val="11"/>
        <color theme="1"/>
        <name val="Calibri"/>
        <scheme val="none"/>
      </font>
    </dxf>
  </rfmt>
  <rfmt sheetId="1" sqref="AV412" start="0" length="0">
    <dxf>
      <font>
        <sz val="11"/>
        <color theme="1"/>
        <name val="Calibri"/>
        <scheme val="none"/>
      </font>
    </dxf>
  </rfmt>
  <rfmt sheetId="1" sqref="AW412" start="0" length="0">
    <dxf>
      <font>
        <sz val="11"/>
        <color theme="1"/>
        <name val="Calibri"/>
        <scheme val="none"/>
      </font>
    </dxf>
  </rfmt>
  <rfmt sheetId="1" sqref="AX412" start="0" length="0">
    <dxf>
      <font>
        <sz val="11"/>
        <color theme="1"/>
        <name val="Calibri"/>
        <scheme val="none"/>
      </font>
    </dxf>
  </rfmt>
  <rfmt sheetId="1" sqref="AY412" start="0" length="0">
    <dxf>
      <font>
        <sz val="11"/>
        <color theme="1"/>
        <name val="Calibri"/>
        <scheme val="none"/>
      </font>
    </dxf>
  </rfmt>
  <rfmt sheetId="1" sqref="A412:XFD412" start="0" length="0">
    <dxf>
      <font>
        <sz val="11"/>
        <color theme="1"/>
        <name val="Calibri"/>
        <scheme val="none"/>
      </font>
    </dxf>
  </rfmt>
  <rfmt sheetId="1" sqref="A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1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1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13" start="0" length="0">
    <dxf>
      <font>
        <sz val="11"/>
        <color theme="1"/>
        <name val="Calibri"/>
        <scheme val="none"/>
      </font>
    </dxf>
  </rfmt>
  <rfmt sheetId="1" sqref="AM413" start="0" length="0">
    <dxf>
      <font>
        <sz val="11"/>
        <color theme="1"/>
        <name val="Calibri"/>
        <scheme val="none"/>
      </font>
      <numFmt numFmtId="1" formatCode="0"/>
    </dxf>
  </rfmt>
  <rfmt sheetId="1" sqref="AN413" start="0" length="0">
    <dxf>
      <font>
        <sz val="11"/>
        <color theme="1"/>
        <name val="Calibri"/>
        <scheme val="none"/>
      </font>
      <numFmt numFmtId="1" formatCode="0"/>
    </dxf>
  </rfmt>
  <rfmt sheetId="1" sqref="AO413" start="0" length="0">
    <dxf>
      <font>
        <sz val="11"/>
        <color theme="1"/>
        <name val="Calibri"/>
        <scheme val="none"/>
      </font>
    </dxf>
  </rfmt>
  <rfmt sheetId="1" sqref="AP413" start="0" length="0">
    <dxf>
      <font>
        <sz val="11"/>
        <color theme="1"/>
        <name val="Calibri"/>
        <scheme val="none"/>
      </font>
    </dxf>
  </rfmt>
  <rfmt sheetId="1" sqref="AQ413" start="0" length="0">
    <dxf>
      <font>
        <sz val="11"/>
        <color theme="1"/>
        <name val="Calibri"/>
        <scheme val="none"/>
      </font>
      <numFmt numFmtId="164" formatCode="_-* #,##0_-;\-* #,##0_-;_-* &quot;-&quot;??_-;_-@_-"/>
    </dxf>
  </rfmt>
  <rfmt sheetId="1" sqref="AR413" start="0" length="0">
    <dxf>
      <font>
        <sz val="11"/>
        <color theme="1"/>
        <name val="Calibri"/>
        <scheme val="none"/>
      </font>
      <numFmt numFmtId="164" formatCode="_-* #,##0_-;\-* #,##0_-;_-* &quot;-&quot;??_-;_-@_-"/>
    </dxf>
  </rfmt>
  <rfmt sheetId="1" sqref="AS413" start="0" length="0">
    <dxf>
      <font>
        <sz val="11"/>
        <color theme="1"/>
        <name val="Calibri"/>
        <scheme val="none"/>
      </font>
      <numFmt numFmtId="164" formatCode="_-* #,##0_-;\-* #,##0_-;_-* &quot;-&quot;??_-;_-@_-"/>
    </dxf>
  </rfmt>
  <rfmt sheetId="1" sqref="AT413" start="0" length="0">
    <dxf>
      <font>
        <sz val="11"/>
        <color theme="1"/>
        <name val="Calibri"/>
        <scheme val="none"/>
      </font>
      <numFmt numFmtId="164" formatCode="_-* #,##0_-;\-* #,##0_-;_-* &quot;-&quot;??_-;_-@_-"/>
    </dxf>
  </rfmt>
  <rfmt sheetId="1" sqref="AU413" start="0" length="0">
    <dxf>
      <font>
        <sz val="11"/>
        <color theme="1"/>
        <name val="Calibri"/>
        <scheme val="none"/>
      </font>
    </dxf>
  </rfmt>
  <rfmt sheetId="1" sqref="AV413" start="0" length="0">
    <dxf>
      <font>
        <sz val="11"/>
        <color theme="1"/>
        <name val="Calibri"/>
        <scheme val="none"/>
      </font>
    </dxf>
  </rfmt>
  <rfmt sheetId="1" sqref="AW413" start="0" length="0">
    <dxf>
      <font>
        <sz val="11"/>
        <color theme="1"/>
        <name val="Calibri"/>
        <scheme val="none"/>
      </font>
    </dxf>
  </rfmt>
  <rfmt sheetId="1" sqref="AX413" start="0" length="0">
    <dxf>
      <font>
        <sz val="11"/>
        <color theme="1"/>
        <name val="Calibri"/>
        <scheme val="none"/>
      </font>
    </dxf>
  </rfmt>
  <rfmt sheetId="1" sqref="AY413" start="0" length="0">
    <dxf>
      <font>
        <sz val="11"/>
        <color theme="1"/>
        <name val="Calibri"/>
        <scheme val="none"/>
      </font>
    </dxf>
  </rfmt>
  <rfmt sheetId="1" sqref="A413:XFD413" start="0" length="0">
    <dxf>
      <font>
        <sz val="11"/>
        <color theme="1"/>
        <name val="Calibri"/>
        <scheme val="none"/>
      </font>
    </dxf>
  </rfmt>
  <rfmt sheetId="1" sqref="A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1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1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14" start="0" length="0">
    <dxf>
      <font>
        <sz val="11"/>
        <color theme="1"/>
        <name val="Calibri"/>
        <scheme val="none"/>
      </font>
    </dxf>
  </rfmt>
  <rfmt sheetId="1" sqref="AM414" start="0" length="0">
    <dxf>
      <font>
        <sz val="11"/>
        <color theme="1"/>
        <name val="Calibri"/>
        <scheme val="none"/>
      </font>
      <numFmt numFmtId="1" formatCode="0"/>
    </dxf>
  </rfmt>
  <rfmt sheetId="1" sqref="AN414" start="0" length="0">
    <dxf>
      <font>
        <sz val="11"/>
        <color theme="1"/>
        <name val="Calibri"/>
        <scheme val="none"/>
      </font>
      <numFmt numFmtId="1" formatCode="0"/>
    </dxf>
  </rfmt>
  <rfmt sheetId="1" sqref="AO414" start="0" length="0">
    <dxf>
      <font>
        <sz val="11"/>
        <color theme="1"/>
        <name val="Calibri"/>
        <scheme val="none"/>
      </font>
    </dxf>
  </rfmt>
  <rfmt sheetId="1" sqref="AP414" start="0" length="0">
    <dxf>
      <font>
        <sz val="11"/>
        <color theme="1"/>
        <name val="Calibri"/>
        <scheme val="none"/>
      </font>
    </dxf>
  </rfmt>
  <rfmt sheetId="1" sqref="AQ414" start="0" length="0">
    <dxf>
      <font>
        <sz val="11"/>
        <color theme="1"/>
        <name val="Calibri"/>
        <scheme val="none"/>
      </font>
      <numFmt numFmtId="164" formatCode="_-* #,##0_-;\-* #,##0_-;_-* &quot;-&quot;??_-;_-@_-"/>
    </dxf>
  </rfmt>
  <rfmt sheetId="1" sqref="AR414" start="0" length="0">
    <dxf>
      <font>
        <sz val="11"/>
        <color theme="1"/>
        <name val="Calibri"/>
        <scheme val="none"/>
      </font>
      <numFmt numFmtId="164" formatCode="_-* #,##0_-;\-* #,##0_-;_-* &quot;-&quot;??_-;_-@_-"/>
    </dxf>
  </rfmt>
  <rfmt sheetId="1" sqref="AS414" start="0" length="0">
    <dxf>
      <font>
        <sz val="11"/>
        <color theme="1"/>
        <name val="Calibri"/>
        <scheme val="none"/>
      </font>
      <numFmt numFmtId="164" formatCode="_-* #,##0_-;\-* #,##0_-;_-* &quot;-&quot;??_-;_-@_-"/>
    </dxf>
  </rfmt>
  <rfmt sheetId="1" sqref="AT414" start="0" length="0">
    <dxf>
      <font>
        <sz val="11"/>
        <color theme="1"/>
        <name val="Calibri"/>
        <scheme val="none"/>
      </font>
      <numFmt numFmtId="164" formatCode="_-* #,##0_-;\-* #,##0_-;_-* &quot;-&quot;??_-;_-@_-"/>
    </dxf>
  </rfmt>
  <rfmt sheetId="1" sqref="AU414" start="0" length="0">
    <dxf>
      <font>
        <sz val="11"/>
        <color theme="1"/>
        <name val="Calibri"/>
        <scheme val="none"/>
      </font>
    </dxf>
  </rfmt>
  <rfmt sheetId="1" sqref="AV414" start="0" length="0">
    <dxf>
      <font>
        <sz val="11"/>
        <color theme="1"/>
        <name val="Calibri"/>
        <scheme val="none"/>
      </font>
    </dxf>
  </rfmt>
  <rfmt sheetId="1" sqref="AW414" start="0" length="0">
    <dxf>
      <font>
        <sz val="11"/>
        <color theme="1"/>
        <name val="Calibri"/>
        <scheme val="none"/>
      </font>
    </dxf>
  </rfmt>
  <rfmt sheetId="1" sqref="AX414" start="0" length="0">
    <dxf>
      <font>
        <sz val="11"/>
        <color theme="1"/>
        <name val="Calibri"/>
        <scheme val="none"/>
      </font>
    </dxf>
  </rfmt>
  <rfmt sheetId="1" sqref="AY414" start="0" length="0">
    <dxf>
      <font>
        <sz val="11"/>
        <color theme="1"/>
        <name val="Calibri"/>
        <scheme val="none"/>
      </font>
    </dxf>
  </rfmt>
  <rfmt sheetId="1" sqref="A414:XFD414" start="0" length="0">
    <dxf>
      <font>
        <sz val="11"/>
        <color theme="1"/>
        <name val="Calibri"/>
        <scheme val="none"/>
      </font>
    </dxf>
  </rfmt>
  <rfmt sheetId="1" sqref="A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1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1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15" start="0" length="0">
    <dxf>
      <font>
        <sz val="11"/>
        <color theme="1"/>
        <name val="Calibri"/>
        <scheme val="none"/>
      </font>
    </dxf>
  </rfmt>
  <rfmt sheetId="1" sqref="AM415" start="0" length="0">
    <dxf>
      <font>
        <sz val="11"/>
        <color theme="1"/>
        <name val="Calibri"/>
        <scheme val="none"/>
      </font>
      <numFmt numFmtId="1" formatCode="0"/>
    </dxf>
  </rfmt>
  <rfmt sheetId="1" sqref="AN415" start="0" length="0">
    <dxf>
      <font>
        <sz val="11"/>
        <color theme="1"/>
        <name val="Calibri"/>
        <scheme val="none"/>
      </font>
      <numFmt numFmtId="1" formatCode="0"/>
    </dxf>
  </rfmt>
  <rfmt sheetId="1" sqref="AO415" start="0" length="0">
    <dxf>
      <font>
        <sz val="11"/>
        <color theme="1"/>
        <name val="Calibri"/>
        <scheme val="none"/>
      </font>
    </dxf>
  </rfmt>
  <rfmt sheetId="1" sqref="AP415" start="0" length="0">
    <dxf>
      <font>
        <sz val="11"/>
        <color theme="1"/>
        <name val="Calibri"/>
        <scheme val="none"/>
      </font>
    </dxf>
  </rfmt>
  <rfmt sheetId="1" sqref="AQ415" start="0" length="0">
    <dxf>
      <font>
        <sz val="11"/>
        <color theme="1"/>
        <name val="Calibri"/>
        <scheme val="none"/>
      </font>
      <numFmt numFmtId="164" formatCode="_-* #,##0_-;\-* #,##0_-;_-* &quot;-&quot;??_-;_-@_-"/>
    </dxf>
  </rfmt>
  <rfmt sheetId="1" sqref="AR415" start="0" length="0">
    <dxf>
      <font>
        <sz val="11"/>
        <color theme="1"/>
        <name val="Calibri"/>
        <scheme val="none"/>
      </font>
      <numFmt numFmtId="164" formatCode="_-* #,##0_-;\-* #,##0_-;_-* &quot;-&quot;??_-;_-@_-"/>
    </dxf>
  </rfmt>
  <rfmt sheetId="1" sqref="AS415" start="0" length="0">
    <dxf>
      <font>
        <sz val="11"/>
        <color theme="1"/>
        <name val="Calibri"/>
        <scheme val="none"/>
      </font>
      <numFmt numFmtId="164" formatCode="_-* #,##0_-;\-* #,##0_-;_-* &quot;-&quot;??_-;_-@_-"/>
    </dxf>
  </rfmt>
  <rfmt sheetId="1" sqref="AT415" start="0" length="0">
    <dxf>
      <font>
        <sz val="11"/>
        <color theme="1"/>
        <name val="Calibri"/>
        <scheme val="none"/>
      </font>
      <numFmt numFmtId="164" formatCode="_-* #,##0_-;\-* #,##0_-;_-* &quot;-&quot;??_-;_-@_-"/>
    </dxf>
  </rfmt>
  <rfmt sheetId="1" sqref="AU415" start="0" length="0">
    <dxf>
      <font>
        <sz val="11"/>
        <color theme="1"/>
        <name val="Calibri"/>
        <scheme val="none"/>
      </font>
    </dxf>
  </rfmt>
  <rfmt sheetId="1" sqref="AV415" start="0" length="0">
    <dxf>
      <font>
        <sz val="11"/>
        <color theme="1"/>
        <name val="Calibri"/>
        <scheme val="none"/>
      </font>
    </dxf>
  </rfmt>
  <rfmt sheetId="1" sqref="AW415" start="0" length="0">
    <dxf>
      <font>
        <sz val="11"/>
        <color theme="1"/>
        <name val="Calibri"/>
        <scheme val="none"/>
      </font>
    </dxf>
  </rfmt>
  <rfmt sheetId="1" sqref="AX415" start="0" length="0">
    <dxf>
      <font>
        <sz val="11"/>
        <color theme="1"/>
        <name val="Calibri"/>
        <scheme val="none"/>
      </font>
    </dxf>
  </rfmt>
  <rfmt sheetId="1" sqref="AY415" start="0" length="0">
    <dxf>
      <font>
        <sz val="11"/>
        <color theme="1"/>
        <name val="Calibri"/>
        <scheme val="none"/>
      </font>
    </dxf>
  </rfmt>
  <rfmt sheetId="1" sqref="A415:XFD415" start="0" length="0">
    <dxf>
      <font>
        <sz val="11"/>
        <color theme="1"/>
        <name val="Calibri"/>
        <scheme val="none"/>
      </font>
    </dxf>
  </rfmt>
  <rfmt sheetId="1" sqref="A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1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1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16" start="0" length="0">
    <dxf>
      <font>
        <sz val="11"/>
        <color theme="1"/>
        <name val="Calibri"/>
        <scheme val="none"/>
      </font>
    </dxf>
  </rfmt>
  <rfmt sheetId="1" sqref="AM416" start="0" length="0">
    <dxf>
      <font>
        <sz val="11"/>
        <color theme="1"/>
        <name val="Calibri"/>
        <scheme val="none"/>
      </font>
      <numFmt numFmtId="1" formatCode="0"/>
    </dxf>
  </rfmt>
  <rfmt sheetId="1" sqref="AN416" start="0" length="0">
    <dxf>
      <font>
        <sz val="11"/>
        <color theme="1"/>
        <name val="Calibri"/>
        <scheme val="none"/>
      </font>
      <numFmt numFmtId="1" formatCode="0"/>
    </dxf>
  </rfmt>
  <rfmt sheetId="1" sqref="AO416" start="0" length="0">
    <dxf>
      <font>
        <sz val="11"/>
        <color theme="1"/>
        <name val="Calibri"/>
        <scheme val="none"/>
      </font>
    </dxf>
  </rfmt>
  <rfmt sheetId="1" sqref="AP416" start="0" length="0">
    <dxf>
      <font>
        <sz val="11"/>
        <color theme="1"/>
        <name val="Calibri"/>
        <scheme val="none"/>
      </font>
    </dxf>
  </rfmt>
  <rfmt sheetId="1" sqref="AQ416" start="0" length="0">
    <dxf>
      <font>
        <sz val="11"/>
        <color theme="1"/>
        <name val="Calibri"/>
        <scheme val="none"/>
      </font>
      <numFmt numFmtId="164" formatCode="_-* #,##0_-;\-* #,##0_-;_-* &quot;-&quot;??_-;_-@_-"/>
    </dxf>
  </rfmt>
  <rfmt sheetId="1" sqref="AR416" start="0" length="0">
    <dxf>
      <font>
        <sz val="11"/>
        <color theme="1"/>
        <name val="Calibri"/>
        <scheme val="none"/>
      </font>
      <numFmt numFmtId="164" formatCode="_-* #,##0_-;\-* #,##0_-;_-* &quot;-&quot;??_-;_-@_-"/>
    </dxf>
  </rfmt>
  <rfmt sheetId="1" sqref="AS416" start="0" length="0">
    <dxf>
      <font>
        <sz val="11"/>
        <color theme="1"/>
        <name val="Calibri"/>
        <scheme val="none"/>
      </font>
      <numFmt numFmtId="164" formatCode="_-* #,##0_-;\-* #,##0_-;_-* &quot;-&quot;??_-;_-@_-"/>
    </dxf>
  </rfmt>
  <rfmt sheetId="1" sqref="AT416" start="0" length="0">
    <dxf>
      <font>
        <sz val="11"/>
        <color theme="1"/>
        <name val="Calibri"/>
        <scheme val="none"/>
      </font>
      <numFmt numFmtId="164" formatCode="_-* #,##0_-;\-* #,##0_-;_-* &quot;-&quot;??_-;_-@_-"/>
    </dxf>
  </rfmt>
  <rfmt sheetId="1" sqref="AU416" start="0" length="0">
    <dxf>
      <font>
        <sz val="11"/>
        <color theme="1"/>
        <name val="Calibri"/>
        <scheme val="none"/>
      </font>
    </dxf>
  </rfmt>
  <rfmt sheetId="1" sqref="AV416" start="0" length="0">
    <dxf>
      <font>
        <sz val="11"/>
        <color theme="1"/>
        <name val="Calibri"/>
        <scheme val="none"/>
      </font>
    </dxf>
  </rfmt>
  <rfmt sheetId="1" sqref="AW416" start="0" length="0">
    <dxf>
      <font>
        <sz val="11"/>
        <color theme="1"/>
        <name val="Calibri"/>
        <scheme val="none"/>
      </font>
    </dxf>
  </rfmt>
  <rfmt sheetId="1" sqref="AX416" start="0" length="0">
    <dxf>
      <font>
        <sz val="11"/>
        <color theme="1"/>
        <name val="Calibri"/>
        <scheme val="none"/>
      </font>
    </dxf>
  </rfmt>
  <rfmt sheetId="1" sqref="AY416" start="0" length="0">
    <dxf>
      <font>
        <sz val="11"/>
        <color theme="1"/>
        <name val="Calibri"/>
        <scheme val="none"/>
      </font>
    </dxf>
  </rfmt>
  <rfmt sheetId="1" sqref="A416:XFD416" start="0" length="0">
    <dxf>
      <font>
        <sz val="11"/>
        <color theme="1"/>
        <name val="Calibri"/>
        <scheme val="none"/>
      </font>
    </dxf>
  </rfmt>
  <rfmt sheetId="1" sqref="A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1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1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17" start="0" length="0">
    <dxf>
      <font>
        <sz val="11"/>
        <color theme="1"/>
        <name val="Calibri"/>
        <scheme val="none"/>
      </font>
    </dxf>
  </rfmt>
  <rfmt sheetId="1" sqref="AM417" start="0" length="0">
    <dxf>
      <font>
        <sz val="11"/>
        <color theme="1"/>
        <name val="Calibri"/>
        <scheme val="none"/>
      </font>
      <numFmt numFmtId="1" formatCode="0"/>
    </dxf>
  </rfmt>
  <rfmt sheetId="1" sqref="AN417" start="0" length="0">
    <dxf>
      <font>
        <sz val="11"/>
        <color theme="1"/>
        <name val="Calibri"/>
        <scheme val="none"/>
      </font>
      <numFmt numFmtId="1" formatCode="0"/>
    </dxf>
  </rfmt>
  <rfmt sheetId="1" sqref="AO417" start="0" length="0">
    <dxf>
      <font>
        <sz val="11"/>
        <color theme="1"/>
        <name val="Calibri"/>
        <scheme val="none"/>
      </font>
    </dxf>
  </rfmt>
  <rfmt sheetId="1" sqref="AP417" start="0" length="0">
    <dxf>
      <font>
        <sz val="11"/>
        <color theme="1"/>
        <name val="Calibri"/>
        <scheme val="none"/>
      </font>
    </dxf>
  </rfmt>
  <rfmt sheetId="1" sqref="AQ417" start="0" length="0">
    <dxf>
      <font>
        <sz val="11"/>
        <color theme="1"/>
        <name val="Calibri"/>
        <scheme val="none"/>
      </font>
      <numFmt numFmtId="164" formatCode="_-* #,##0_-;\-* #,##0_-;_-* &quot;-&quot;??_-;_-@_-"/>
    </dxf>
  </rfmt>
  <rfmt sheetId="1" sqref="AR417" start="0" length="0">
    <dxf>
      <font>
        <sz val="11"/>
        <color theme="1"/>
        <name val="Calibri"/>
        <scheme val="none"/>
      </font>
      <numFmt numFmtId="164" formatCode="_-* #,##0_-;\-* #,##0_-;_-* &quot;-&quot;??_-;_-@_-"/>
    </dxf>
  </rfmt>
  <rfmt sheetId="1" sqref="AS417" start="0" length="0">
    <dxf>
      <font>
        <sz val="11"/>
        <color theme="1"/>
        <name val="Calibri"/>
        <scheme val="none"/>
      </font>
      <numFmt numFmtId="164" formatCode="_-* #,##0_-;\-* #,##0_-;_-* &quot;-&quot;??_-;_-@_-"/>
    </dxf>
  </rfmt>
  <rfmt sheetId="1" sqref="AT417" start="0" length="0">
    <dxf>
      <font>
        <sz val="11"/>
        <color theme="1"/>
        <name val="Calibri"/>
        <scheme val="none"/>
      </font>
      <numFmt numFmtId="164" formatCode="_-* #,##0_-;\-* #,##0_-;_-* &quot;-&quot;??_-;_-@_-"/>
    </dxf>
  </rfmt>
  <rfmt sheetId="1" sqref="AU417" start="0" length="0">
    <dxf>
      <font>
        <sz val="11"/>
        <color theme="1"/>
        <name val="Calibri"/>
        <scheme val="none"/>
      </font>
    </dxf>
  </rfmt>
  <rfmt sheetId="1" sqref="AV417" start="0" length="0">
    <dxf>
      <font>
        <sz val="11"/>
        <color theme="1"/>
        <name val="Calibri"/>
        <scheme val="none"/>
      </font>
    </dxf>
  </rfmt>
  <rfmt sheetId="1" sqref="AW417" start="0" length="0">
    <dxf>
      <font>
        <sz val="11"/>
        <color theme="1"/>
        <name val="Calibri"/>
        <scheme val="none"/>
      </font>
    </dxf>
  </rfmt>
  <rfmt sheetId="1" sqref="AX417" start="0" length="0">
    <dxf>
      <font>
        <sz val="11"/>
        <color theme="1"/>
        <name val="Calibri"/>
        <scheme val="none"/>
      </font>
    </dxf>
  </rfmt>
  <rfmt sheetId="1" sqref="AY417" start="0" length="0">
    <dxf>
      <font>
        <sz val="11"/>
        <color theme="1"/>
        <name val="Calibri"/>
        <scheme val="none"/>
      </font>
    </dxf>
  </rfmt>
  <rfmt sheetId="1" sqref="A417:XFD417" start="0" length="0">
    <dxf>
      <font>
        <sz val="11"/>
        <color theme="1"/>
        <name val="Calibri"/>
        <scheme val="none"/>
      </font>
    </dxf>
  </rfmt>
  <rfmt sheetId="1" sqref="A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1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1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18" start="0" length="0">
    <dxf>
      <font>
        <sz val="11"/>
        <color theme="1"/>
        <name val="Calibri"/>
        <scheme val="none"/>
      </font>
    </dxf>
  </rfmt>
  <rfmt sheetId="1" sqref="AM418" start="0" length="0">
    <dxf>
      <font>
        <sz val="11"/>
        <color theme="1"/>
        <name val="Calibri"/>
        <scheme val="none"/>
      </font>
      <numFmt numFmtId="1" formatCode="0"/>
    </dxf>
  </rfmt>
  <rfmt sheetId="1" sqref="AN418" start="0" length="0">
    <dxf>
      <font>
        <sz val="11"/>
        <color theme="1"/>
        <name val="Calibri"/>
        <scheme val="none"/>
      </font>
      <numFmt numFmtId="1" formatCode="0"/>
    </dxf>
  </rfmt>
  <rfmt sheetId="1" sqref="AO418" start="0" length="0">
    <dxf>
      <font>
        <sz val="11"/>
        <color theme="1"/>
        <name val="Calibri"/>
        <scheme val="none"/>
      </font>
    </dxf>
  </rfmt>
  <rfmt sheetId="1" sqref="AP418" start="0" length="0">
    <dxf>
      <font>
        <sz val="11"/>
        <color theme="1"/>
        <name val="Calibri"/>
        <scheme val="none"/>
      </font>
    </dxf>
  </rfmt>
  <rfmt sheetId="1" sqref="AQ418" start="0" length="0">
    <dxf>
      <font>
        <sz val="11"/>
        <color theme="1"/>
        <name val="Calibri"/>
        <scheme val="none"/>
      </font>
      <numFmt numFmtId="164" formatCode="_-* #,##0_-;\-* #,##0_-;_-* &quot;-&quot;??_-;_-@_-"/>
    </dxf>
  </rfmt>
  <rfmt sheetId="1" sqref="AR418" start="0" length="0">
    <dxf>
      <font>
        <sz val="11"/>
        <color theme="1"/>
        <name val="Calibri"/>
        <scheme val="none"/>
      </font>
      <numFmt numFmtId="164" formatCode="_-* #,##0_-;\-* #,##0_-;_-* &quot;-&quot;??_-;_-@_-"/>
    </dxf>
  </rfmt>
  <rfmt sheetId="1" sqref="AS418" start="0" length="0">
    <dxf>
      <font>
        <sz val="11"/>
        <color theme="1"/>
        <name val="Calibri"/>
        <scheme val="none"/>
      </font>
      <numFmt numFmtId="164" formatCode="_-* #,##0_-;\-* #,##0_-;_-* &quot;-&quot;??_-;_-@_-"/>
    </dxf>
  </rfmt>
  <rfmt sheetId="1" sqref="AT418" start="0" length="0">
    <dxf>
      <font>
        <sz val="11"/>
        <color theme="1"/>
        <name val="Calibri"/>
        <scheme val="none"/>
      </font>
      <numFmt numFmtId="164" formatCode="_-* #,##0_-;\-* #,##0_-;_-* &quot;-&quot;??_-;_-@_-"/>
    </dxf>
  </rfmt>
  <rfmt sheetId="1" sqref="AU418" start="0" length="0">
    <dxf>
      <font>
        <sz val="11"/>
        <color theme="1"/>
        <name val="Calibri"/>
        <scheme val="none"/>
      </font>
    </dxf>
  </rfmt>
  <rfmt sheetId="1" sqref="AV418" start="0" length="0">
    <dxf>
      <font>
        <sz val="11"/>
        <color theme="1"/>
        <name val="Calibri"/>
        <scheme val="none"/>
      </font>
    </dxf>
  </rfmt>
  <rfmt sheetId="1" sqref="AW418" start="0" length="0">
    <dxf>
      <font>
        <sz val="11"/>
        <color theme="1"/>
        <name val="Calibri"/>
        <scheme val="none"/>
      </font>
    </dxf>
  </rfmt>
  <rfmt sheetId="1" sqref="AX418" start="0" length="0">
    <dxf>
      <font>
        <sz val="11"/>
        <color theme="1"/>
        <name val="Calibri"/>
        <scheme val="none"/>
      </font>
    </dxf>
  </rfmt>
  <rfmt sheetId="1" sqref="AY418" start="0" length="0">
    <dxf>
      <font>
        <sz val="11"/>
        <color theme="1"/>
        <name val="Calibri"/>
        <scheme val="none"/>
      </font>
    </dxf>
  </rfmt>
  <rfmt sheetId="1" sqref="A418:XFD418" start="0" length="0">
    <dxf>
      <font>
        <sz val="11"/>
        <color theme="1"/>
        <name val="Calibri"/>
        <scheme val="none"/>
      </font>
    </dxf>
  </rfmt>
  <rfmt sheetId="1" sqref="A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1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1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19" start="0" length="0">
    <dxf>
      <font>
        <sz val="11"/>
        <color theme="1"/>
        <name val="Calibri"/>
        <scheme val="none"/>
      </font>
    </dxf>
  </rfmt>
  <rfmt sheetId="1" sqref="AM419" start="0" length="0">
    <dxf>
      <font>
        <sz val="11"/>
        <color theme="1"/>
        <name val="Calibri"/>
        <scheme val="none"/>
      </font>
      <numFmt numFmtId="1" formatCode="0"/>
    </dxf>
  </rfmt>
  <rfmt sheetId="1" sqref="AN419" start="0" length="0">
    <dxf>
      <font>
        <sz val="11"/>
        <color theme="1"/>
        <name val="Calibri"/>
        <scheme val="none"/>
      </font>
      <numFmt numFmtId="1" formatCode="0"/>
    </dxf>
  </rfmt>
  <rfmt sheetId="1" sqref="AO419" start="0" length="0">
    <dxf>
      <font>
        <sz val="11"/>
        <color theme="1"/>
        <name val="Calibri"/>
        <scheme val="none"/>
      </font>
    </dxf>
  </rfmt>
  <rfmt sheetId="1" sqref="AP419" start="0" length="0">
    <dxf>
      <font>
        <sz val="11"/>
        <color theme="1"/>
        <name val="Calibri"/>
        <scheme val="none"/>
      </font>
    </dxf>
  </rfmt>
  <rfmt sheetId="1" sqref="AQ419" start="0" length="0">
    <dxf>
      <font>
        <sz val="11"/>
        <color theme="1"/>
        <name val="Calibri"/>
        <scheme val="none"/>
      </font>
      <numFmt numFmtId="164" formatCode="_-* #,##0_-;\-* #,##0_-;_-* &quot;-&quot;??_-;_-@_-"/>
    </dxf>
  </rfmt>
  <rfmt sheetId="1" sqref="AR419" start="0" length="0">
    <dxf>
      <font>
        <sz val="11"/>
        <color theme="1"/>
        <name val="Calibri"/>
        <scheme val="none"/>
      </font>
      <numFmt numFmtId="164" formatCode="_-* #,##0_-;\-* #,##0_-;_-* &quot;-&quot;??_-;_-@_-"/>
    </dxf>
  </rfmt>
  <rfmt sheetId="1" sqref="AS419" start="0" length="0">
    <dxf>
      <font>
        <sz val="11"/>
        <color theme="1"/>
        <name val="Calibri"/>
        <scheme val="none"/>
      </font>
      <numFmt numFmtId="164" formatCode="_-* #,##0_-;\-* #,##0_-;_-* &quot;-&quot;??_-;_-@_-"/>
    </dxf>
  </rfmt>
  <rfmt sheetId="1" sqref="AT419" start="0" length="0">
    <dxf>
      <font>
        <sz val="11"/>
        <color theme="1"/>
        <name val="Calibri"/>
        <scheme val="none"/>
      </font>
      <numFmt numFmtId="164" formatCode="_-* #,##0_-;\-* #,##0_-;_-* &quot;-&quot;??_-;_-@_-"/>
    </dxf>
  </rfmt>
  <rfmt sheetId="1" sqref="AU419" start="0" length="0">
    <dxf>
      <font>
        <sz val="11"/>
        <color theme="1"/>
        <name val="Calibri"/>
        <scheme val="none"/>
      </font>
    </dxf>
  </rfmt>
  <rfmt sheetId="1" sqref="AV419" start="0" length="0">
    <dxf>
      <font>
        <sz val="11"/>
        <color theme="1"/>
        <name val="Calibri"/>
        <scheme val="none"/>
      </font>
    </dxf>
  </rfmt>
  <rfmt sheetId="1" sqref="AW419" start="0" length="0">
    <dxf>
      <font>
        <sz val="11"/>
        <color theme="1"/>
        <name val="Calibri"/>
        <scheme val="none"/>
      </font>
    </dxf>
  </rfmt>
  <rfmt sheetId="1" sqref="AX419" start="0" length="0">
    <dxf>
      <font>
        <sz val="11"/>
        <color theme="1"/>
        <name val="Calibri"/>
        <scheme val="none"/>
      </font>
    </dxf>
  </rfmt>
  <rfmt sheetId="1" sqref="AY419" start="0" length="0">
    <dxf>
      <font>
        <sz val="11"/>
        <color theme="1"/>
        <name val="Calibri"/>
        <scheme val="none"/>
      </font>
    </dxf>
  </rfmt>
  <rfmt sheetId="1" sqref="A419:XFD419" start="0" length="0">
    <dxf>
      <font>
        <sz val="11"/>
        <color theme="1"/>
        <name val="Calibri"/>
        <scheme val="none"/>
      </font>
    </dxf>
  </rfmt>
  <rfmt sheetId="1" sqref="A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2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2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20" start="0" length="0">
    <dxf>
      <font>
        <sz val="11"/>
        <color theme="1"/>
        <name val="Calibri"/>
        <scheme val="none"/>
      </font>
    </dxf>
  </rfmt>
  <rfmt sheetId="1" sqref="AM420" start="0" length="0">
    <dxf>
      <font>
        <sz val="11"/>
        <color theme="1"/>
        <name val="Calibri"/>
        <scheme val="none"/>
      </font>
      <numFmt numFmtId="1" formatCode="0"/>
    </dxf>
  </rfmt>
  <rfmt sheetId="1" sqref="AN420" start="0" length="0">
    <dxf>
      <font>
        <sz val="11"/>
        <color theme="1"/>
        <name val="Calibri"/>
        <scheme val="none"/>
      </font>
      <numFmt numFmtId="1" formatCode="0"/>
    </dxf>
  </rfmt>
  <rfmt sheetId="1" sqref="AO420" start="0" length="0">
    <dxf>
      <font>
        <sz val="11"/>
        <color theme="1"/>
        <name val="Calibri"/>
        <scheme val="none"/>
      </font>
    </dxf>
  </rfmt>
  <rfmt sheetId="1" sqref="AP420" start="0" length="0">
    <dxf>
      <font>
        <sz val="11"/>
        <color theme="1"/>
        <name val="Calibri"/>
        <scheme val="none"/>
      </font>
    </dxf>
  </rfmt>
  <rfmt sheetId="1" sqref="AQ420" start="0" length="0">
    <dxf>
      <font>
        <sz val="11"/>
        <color theme="1"/>
        <name val="Calibri"/>
        <scheme val="none"/>
      </font>
      <numFmt numFmtId="164" formatCode="_-* #,##0_-;\-* #,##0_-;_-* &quot;-&quot;??_-;_-@_-"/>
    </dxf>
  </rfmt>
  <rfmt sheetId="1" sqref="AR420" start="0" length="0">
    <dxf>
      <font>
        <sz val="11"/>
        <color theme="1"/>
        <name val="Calibri"/>
        <scheme val="none"/>
      </font>
      <numFmt numFmtId="164" formatCode="_-* #,##0_-;\-* #,##0_-;_-* &quot;-&quot;??_-;_-@_-"/>
    </dxf>
  </rfmt>
  <rfmt sheetId="1" sqref="AS420" start="0" length="0">
    <dxf>
      <font>
        <sz val="11"/>
        <color theme="1"/>
        <name val="Calibri"/>
        <scheme val="none"/>
      </font>
      <numFmt numFmtId="164" formatCode="_-* #,##0_-;\-* #,##0_-;_-* &quot;-&quot;??_-;_-@_-"/>
    </dxf>
  </rfmt>
  <rfmt sheetId="1" sqref="AT420" start="0" length="0">
    <dxf>
      <font>
        <sz val="11"/>
        <color theme="1"/>
        <name val="Calibri"/>
        <scheme val="none"/>
      </font>
      <numFmt numFmtId="164" formatCode="_-* #,##0_-;\-* #,##0_-;_-* &quot;-&quot;??_-;_-@_-"/>
    </dxf>
  </rfmt>
  <rfmt sheetId="1" sqref="AU420" start="0" length="0">
    <dxf>
      <font>
        <sz val="11"/>
        <color theme="1"/>
        <name val="Calibri"/>
        <scheme val="none"/>
      </font>
    </dxf>
  </rfmt>
  <rfmt sheetId="1" sqref="AV420" start="0" length="0">
    <dxf>
      <font>
        <sz val="11"/>
        <color theme="1"/>
        <name val="Calibri"/>
        <scheme val="none"/>
      </font>
    </dxf>
  </rfmt>
  <rfmt sheetId="1" sqref="AW420" start="0" length="0">
    <dxf>
      <font>
        <sz val="11"/>
        <color theme="1"/>
        <name val="Calibri"/>
        <scheme val="none"/>
      </font>
    </dxf>
  </rfmt>
  <rfmt sheetId="1" sqref="AX420" start="0" length="0">
    <dxf>
      <font>
        <sz val="11"/>
        <color theme="1"/>
        <name val="Calibri"/>
        <scheme val="none"/>
      </font>
    </dxf>
  </rfmt>
  <rfmt sheetId="1" sqref="AY420" start="0" length="0">
    <dxf>
      <font>
        <sz val="11"/>
        <color theme="1"/>
        <name val="Calibri"/>
        <scheme val="none"/>
      </font>
    </dxf>
  </rfmt>
  <rfmt sheetId="1" sqref="A420:XFD420" start="0" length="0">
    <dxf>
      <font>
        <sz val="11"/>
        <color theme="1"/>
        <name val="Calibri"/>
        <scheme val="none"/>
      </font>
    </dxf>
  </rfmt>
  <rfmt sheetId="1" sqref="A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2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2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21" start="0" length="0">
    <dxf>
      <font>
        <sz val="11"/>
        <color theme="1"/>
        <name val="Calibri"/>
        <scheme val="none"/>
      </font>
    </dxf>
  </rfmt>
  <rfmt sheetId="1" sqref="AM421" start="0" length="0">
    <dxf>
      <font>
        <sz val="11"/>
        <color theme="1"/>
        <name val="Calibri"/>
        <scheme val="none"/>
      </font>
      <numFmt numFmtId="1" formatCode="0"/>
    </dxf>
  </rfmt>
  <rfmt sheetId="1" sqref="AN421" start="0" length="0">
    <dxf>
      <font>
        <sz val="11"/>
        <color theme="1"/>
        <name val="Calibri"/>
        <scheme val="none"/>
      </font>
      <numFmt numFmtId="1" formatCode="0"/>
    </dxf>
  </rfmt>
  <rfmt sheetId="1" sqref="AO421" start="0" length="0">
    <dxf>
      <font>
        <sz val="11"/>
        <color theme="1"/>
        <name val="Calibri"/>
        <scheme val="none"/>
      </font>
    </dxf>
  </rfmt>
  <rfmt sheetId="1" sqref="AP421" start="0" length="0">
    <dxf>
      <font>
        <sz val="11"/>
        <color theme="1"/>
        <name val="Calibri"/>
        <scheme val="none"/>
      </font>
    </dxf>
  </rfmt>
  <rfmt sheetId="1" sqref="AQ421" start="0" length="0">
    <dxf>
      <font>
        <sz val="11"/>
        <color theme="1"/>
        <name val="Calibri"/>
        <scheme val="none"/>
      </font>
      <numFmt numFmtId="164" formatCode="_-* #,##0_-;\-* #,##0_-;_-* &quot;-&quot;??_-;_-@_-"/>
    </dxf>
  </rfmt>
  <rfmt sheetId="1" sqref="AR421" start="0" length="0">
    <dxf>
      <font>
        <sz val="11"/>
        <color theme="1"/>
        <name val="Calibri"/>
        <scheme val="none"/>
      </font>
      <numFmt numFmtId="164" formatCode="_-* #,##0_-;\-* #,##0_-;_-* &quot;-&quot;??_-;_-@_-"/>
    </dxf>
  </rfmt>
  <rfmt sheetId="1" sqref="AS421" start="0" length="0">
    <dxf>
      <font>
        <sz val="11"/>
        <color theme="1"/>
        <name val="Calibri"/>
        <scheme val="none"/>
      </font>
      <numFmt numFmtId="164" formatCode="_-* #,##0_-;\-* #,##0_-;_-* &quot;-&quot;??_-;_-@_-"/>
    </dxf>
  </rfmt>
  <rfmt sheetId="1" sqref="AT421" start="0" length="0">
    <dxf>
      <font>
        <sz val="11"/>
        <color theme="1"/>
        <name val="Calibri"/>
        <scheme val="none"/>
      </font>
      <numFmt numFmtId="164" formatCode="_-* #,##0_-;\-* #,##0_-;_-* &quot;-&quot;??_-;_-@_-"/>
    </dxf>
  </rfmt>
  <rfmt sheetId="1" sqref="AU421" start="0" length="0">
    <dxf>
      <font>
        <sz val="11"/>
        <color theme="1"/>
        <name val="Calibri"/>
        <scheme val="none"/>
      </font>
    </dxf>
  </rfmt>
  <rfmt sheetId="1" sqref="AV421" start="0" length="0">
    <dxf>
      <font>
        <sz val="11"/>
        <color theme="1"/>
        <name val="Calibri"/>
        <scheme val="none"/>
      </font>
    </dxf>
  </rfmt>
  <rfmt sheetId="1" sqref="AW421" start="0" length="0">
    <dxf>
      <font>
        <sz val="11"/>
        <color theme="1"/>
        <name val="Calibri"/>
        <scheme val="none"/>
      </font>
    </dxf>
  </rfmt>
  <rfmt sheetId="1" sqref="AX421" start="0" length="0">
    <dxf>
      <font>
        <sz val="11"/>
        <color theme="1"/>
        <name val="Calibri"/>
        <scheme val="none"/>
      </font>
    </dxf>
  </rfmt>
  <rfmt sheetId="1" sqref="AY421" start="0" length="0">
    <dxf>
      <font>
        <sz val="11"/>
        <color theme="1"/>
        <name val="Calibri"/>
        <scheme val="none"/>
      </font>
    </dxf>
  </rfmt>
  <rfmt sheetId="1" sqref="A421:XFD421" start="0" length="0">
    <dxf>
      <font>
        <sz val="11"/>
        <color theme="1"/>
        <name val="Calibri"/>
        <scheme val="none"/>
      </font>
    </dxf>
  </rfmt>
  <rfmt sheetId="1" sqref="A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2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2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22" start="0" length="0">
    <dxf>
      <font>
        <sz val="11"/>
        <color theme="1"/>
        <name val="Calibri"/>
        <scheme val="none"/>
      </font>
    </dxf>
  </rfmt>
  <rfmt sheetId="1" sqref="AM422" start="0" length="0">
    <dxf>
      <font>
        <sz val="11"/>
        <color theme="1"/>
        <name val="Calibri"/>
        <scheme val="none"/>
      </font>
      <numFmt numFmtId="1" formatCode="0"/>
    </dxf>
  </rfmt>
  <rfmt sheetId="1" sqref="AN422" start="0" length="0">
    <dxf>
      <font>
        <sz val="11"/>
        <color theme="1"/>
        <name val="Calibri"/>
        <scheme val="none"/>
      </font>
      <numFmt numFmtId="1" formatCode="0"/>
    </dxf>
  </rfmt>
  <rfmt sheetId="1" sqref="AO422" start="0" length="0">
    <dxf>
      <font>
        <sz val="11"/>
        <color theme="1"/>
        <name val="Calibri"/>
        <scheme val="none"/>
      </font>
    </dxf>
  </rfmt>
  <rfmt sheetId="1" sqref="AP422" start="0" length="0">
    <dxf>
      <font>
        <sz val="11"/>
        <color theme="1"/>
        <name val="Calibri"/>
        <scheme val="none"/>
      </font>
    </dxf>
  </rfmt>
  <rfmt sheetId="1" sqref="AQ422" start="0" length="0">
    <dxf>
      <font>
        <sz val="11"/>
        <color theme="1"/>
        <name val="Calibri"/>
        <scheme val="none"/>
      </font>
      <numFmt numFmtId="164" formatCode="_-* #,##0_-;\-* #,##0_-;_-* &quot;-&quot;??_-;_-@_-"/>
    </dxf>
  </rfmt>
  <rfmt sheetId="1" sqref="AR422" start="0" length="0">
    <dxf>
      <font>
        <sz val="11"/>
        <color theme="1"/>
        <name val="Calibri"/>
        <scheme val="none"/>
      </font>
      <numFmt numFmtId="164" formatCode="_-* #,##0_-;\-* #,##0_-;_-* &quot;-&quot;??_-;_-@_-"/>
    </dxf>
  </rfmt>
  <rfmt sheetId="1" sqref="AS422" start="0" length="0">
    <dxf>
      <font>
        <sz val="11"/>
        <color theme="1"/>
        <name val="Calibri"/>
        <scheme val="none"/>
      </font>
      <numFmt numFmtId="164" formatCode="_-* #,##0_-;\-* #,##0_-;_-* &quot;-&quot;??_-;_-@_-"/>
    </dxf>
  </rfmt>
  <rfmt sheetId="1" sqref="AT422" start="0" length="0">
    <dxf>
      <font>
        <sz val="11"/>
        <color theme="1"/>
        <name val="Calibri"/>
        <scheme val="none"/>
      </font>
      <numFmt numFmtId="164" formatCode="_-* #,##0_-;\-* #,##0_-;_-* &quot;-&quot;??_-;_-@_-"/>
    </dxf>
  </rfmt>
  <rfmt sheetId="1" sqref="AU422" start="0" length="0">
    <dxf>
      <font>
        <sz val="11"/>
        <color theme="1"/>
        <name val="Calibri"/>
        <scheme val="none"/>
      </font>
    </dxf>
  </rfmt>
  <rfmt sheetId="1" sqref="AV422" start="0" length="0">
    <dxf>
      <font>
        <sz val="11"/>
        <color theme="1"/>
        <name val="Calibri"/>
        <scheme val="none"/>
      </font>
    </dxf>
  </rfmt>
  <rfmt sheetId="1" sqref="AW422" start="0" length="0">
    <dxf>
      <font>
        <sz val="11"/>
        <color theme="1"/>
        <name val="Calibri"/>
        <scheme val="none"/>
      </font>
    </dxf>
  </rfmt>
  <rfmt sheetId="1" sqref="AX422" start="0" length="0">
    <dxf>
      <font>
        <sz val="11"/>
        <color theme="1"/>
        <name val="Calibri"/>
        <scheme val="none"/>
      </font>
    </dxf>
  </rfmt>
  <rfmt sheetId="1" sqref="AY422" start="0" length="0">
    <dxf>
      <font>
        <sz val="11"/>
        <color theme="1"/>
        <name val="Calibri"/>
        <scheme val="none"/>
      </font>
    </dxf>
  </rfmt>
  <rfmt sheetId="1" sqref="A422:XFD422" start="0" length="0">
    <dxf>
      <font>
        <sz val="11"/>
        <color theme="1"/>
        <name val="Calibri"/>
        <scheme val="none"/>
      </font>
    </dxf>
  </rfmt>
  <rfmt sheetId="1" sqref="A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2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2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23" start="0" length="0">
    <dxf>
      <font>
        <sz val="11"/>
        <color theme="1"/>
        <name val="Calibri"/>
        <scheme val="none"/>
      </font>
    </dxf>
  </rfmt>
  <rfmt sheetId="1" sqref="AM423" start="0" length="0">
    <dxf>
      <font>
        <sz val="11"/>
        <color theme="1"/>
        <name val="Calibri"/>
        <scheme val="none"/>
      </font>
      <numFmt numFmtId="1" formatCode="0"/>
    </dxf>
  </rfmt>
  <rfmt sheetId="1" sqref="AN423" start="0" length="0">
    <dxf>
      <font>
        <sz val="11"/>
        <color theme="1"/>
        <name val="Calibri"/>
        <scheme val="none"/>
      </font>
      <numFmt numFmtId="1" formatCode="0"/>
    </dxf>
  </rfmt>
  <rfmt sheetId="1" sqref="AO423" start="0" length="0">
    <dxf>
      <font>
        <sz val="11"/>
        <color theme="1"/>
        <name val="Calibri"/>
        <scheme val="none"/>
      </font>
    </dxf>
  </rfmt>
  <rfmt sheetId="1" sqref="AP423" start="0" length="0">
    <dxf>
      <font>
        <sz val="11"/>
        <color theme="1"/>
        <name val="Calibri"/>
        <scheme val="none"/>
      </font>
    </dxf>
  </rfmt>
  <rfmt sheetId="1" sqref="AQ423" start="0" length="0">
    <dxf>
      <font>
        <sz val="11"/>
        <color theme="1"/>
        <name val="Calibri"/>
        <scheme val="none"/>
      </font>
      <numFmt numFmtId="164" formatCode="_-* #,##0_-;\-* #,##0_-;_-* &quot;-&quot;??_-;_-@_-"/>
    </dxf>
  </rfmt>
  <rfmt sheetId="1" sqref="AR423" start="0" length="0">
    <dxf>
      <font>
        <sz val="11"/>
        <color theme="1"/>
        <name val="Calibri"/>
        <scheme val="none"/>
      </font>
      <numFmt numFmtId="164" formatCode="_-* #,##0_-;\-* #,##0_-;_-* &quot;-&quot;??_-;_-@_-"/>
    </dxf>
  </rfmt>
  <rfmt sheetId="1" sqref="AS423" start="0" length="0">
    <dxf>
      <font>
        <sz val="11"/>
        <color theme="1"/>
        <name val="Calibri"/>
        <scheme val="none"/>
      </font>
      <numFmt numFmtId="164" formatCode="_-* #,##0_-;\-* #,##0_-;_-* &quot;-&quot;??_-;_-@_-"/>
    </dxf>
  </rfmt>
  <rfmt sheetId="1" sqref="AT423" start="0" length="0">
    <dxf>
      <font>
        <sz val="11"/>
        <color theme="1"/>
        <name val="Calibri"/>
        <scheme val="none"/>
      </font>
      <numFmt numFmtId="164" formatCode="_-* #,##0_-;\-* #,##0_-;_-* &quot;-&quot;??_-;_-@_-"/>
    </dxf>
  </rfmt>
  <rfmt sheetId="1" sqref="AU423" start="0" length="0">
    <dxf>
      <font>
        <sz val="11"/>
        <color theme="1"/>
        <name val="Calibri"/>
        <scheme val="none"/>
      </font>
    </dxf>
  </rfmt>
  <rfmt sheetId="1" sqref="AV423" start="0" length="0">
    <dxf>
      <font>
        <sz val="11"/>
        <color theme="1"/>
        <name val="Calibri"/>
        <scheme val="none"/>
      </font>
    </dxf>
  </rfmt>
  <rfmt sheetId="1" sqref="AW423" start="0" length="0">
    <dxf>
      <font>
        <sz val="11"/>
        <color theme="1"/>
        <name val="Calibri"/>
        <scheme val="none"/>
      </font>
    </dxf>
  </rfmt>
  <rfmt sheetId="1" sqref="AX423" start="0" length="0">
    <dxf>
      <font>
        <sz val="11"/>
        <color theme="1"/>
        <name val="Calibri"/>
        <scheme val="none"/>
      </font>
    </dxf>
  </rfmt>
  <rfmt sheetId="1" sqref="AY423" start="0" length="0">
    <dxf>
      <font>
        <sz val="11"/>
        <color theme="1"/>
        <name val="Calibri"/>
        <scheme val="none"/>
      </font>
    </dxf>
  </rfmt>
  <rfmt sheetId="1" sqref="A423:XFD423" start="0" length="0">
    <dxf>
      <font>
        <sz val="11"/>
        <color theme="1"/>
        <name val="Calibri"/>
        <scheme val="none"/>
      </font>
    </dxf>
  </rfmt>
  <rfmt sheetId="1" sqref="A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2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2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24" start="0" length="0">
    <dxf>
      <font>
        <sz val="11"/>
        <color theme="1"/>
        <name val="Calibri"/>
        <scheme val="none"/>
      </font>
    </dxf>
  </rfmt>
  <rfmt sheetId="1" sqref="AM424" start="0" length="0">
    <dxf>
      <font>
        <sz val="11"/>
        <color theme="1"/>
        <name val="Calibri"/>
        <scheme val="none"/>
      </font>
      <numFmt numFmtId="1" formatCode="0"/>
    </dxf>
  </rfmt>
  <rfmt sheetId="1" sqref="AN424" start="0" length="0">
    <dxf>
      <font>
        <sz val="11"/>
        <color theme="1"/>
        <name val="Calibri"/>
        <scheme val="none"/>
      </font>
      <numFmt numFmtId="1" formatCode="0"/>
    </dxf>
  </rfmt>
  <rfmt sheetId="1" sqref="AO424" start="0" length="0">
    <dxf>
      <font>
        <sz val="11"/>
        <color theme="1"/>
        <name val="Calibri"/>
        <scheme val="none"/>
      </font>
    </dxf>
  </rfmt>
  <rfmt sheetId="1" sqref="AP424" start="0" length="0">
    <dxf>
      <font>
        <sz val="11"/>
        <color theme="1"/>
        <name val="Calibri"/>
        <scheme val="none"/>
      </font>
    </dxf>
  </rfmt>
  <rfmt sheetId="1" sqref="AQ424" start="0" length="0">
    <dxf>
      <font>
        <sz val="11"/>
        <color theme="1"/>
        <name val="Calibri"/>
        <scheme val="none"/>
      </font>
      <numFmt numFmtId="164" formatCode="_-* #,##0_-;\-* #,##0_-;_-* &quot;-&quot;??_-;_-@_-"/>
    </dxf>
  </rfmt>
  <rfmt sheetId="1" sqref="AR424" start="0" length="0">
    <dxf>
      <font>
        <sz val="11"/>
        <color theme="1"/>
        <name val="Calibri"/>
        <scheme val="none"/>
      </font>
      <numFmt numFmtId="164" formatCode="_-* #,##0_-;\-* #,##0_-;_-* &quot;-&quot;??_-;_-@_-"/>
    </dxf>
  </rfmt>
  <rfmt sheetId="1" sqref="AS424" start="0" length="0">
    <dxf>
      <font>
        <sz val="11"/>
        <color theme="1"/>
        <name val="Calibri"/>
        <scheme val="none"/>
      </font>
      <numFmt numFmtId="164" formatCode="_-* #,##0_-;\-* #,##0_-;_-* &quot;-&quot;??_-;_-@_-"/>
    </dxf>
  </rfmt>
  <rfmt sheetId="1" sqref="AT424" start="0" length="0">
    <dxf>
      <font>
        <sz val="11"/>
        <color theme="1"/>
        <name val="Calibri"/>
        <scheme val="none"/>
      </font>
      <numFmt numFmtId="164" formatCode="_-* #,##0_-;\-* #,##0_-;_-* &quot;-&quot;??_-;_-@_-"/>
    </dxf>
  </rfmt>
  <rfmt sheetId="1" sqref="AU424" start="0" length="0">
    <dxf>
      <font>
        <sz val="11"/>
        <color theme="1"/>
        <name val="Calibri"/>
        <scheme val="none"/>
      </font>
    </dxf>
  </rfmt>
  <rfmt sheetId="1" sqref="AV424" start="0" length="0">
    <dxf>
      <font>
        <sz val="11"/>
        <color theme="1"/>
        <name val="Calibri"/>
        <scheme val="none"/>
      </font>
    </dxf>
  </rfmt>
  <rfmt sheetId="1" sqref="AW424" start="0" length="0">
    <dxf>
      <font>
        <sz val="11"/>
        <color theme="1"/>
        <name val="Calibri"/>
        <scheme val="none"/>
      </font>
    </dxf>
  </rfmt>
  <rfmt sheetId="1" sqref="AX424" start="0" length="0">
    <dxf>
      <font>
        <sz val="11"/>
        <color theme="1"/>
        <name val="Calibri"/>
        <scheme val="none"/>
      </font>
    </dxf>
  </rfmt>
  <rfmt sheetId="1" sqref="AY424" start="0" length="0">
    <dxf>
      <font>
        <sz val="11"/>
        <color theme="1"/>
        <name val="Calibri"/>
        <scheme val="none"/>
      </font>
    </dxf>
  </rfmt>
  <rfmt sheetId="1" sqref="A424:XFD424" start="0" length="0">
    <dxf>
      <font>
        <sz val="11"/>
        <color theme="1"/>
        <name val="Calibri"/>
        <scheme val="none"/>
      </font>
    </dxf>
  </rfmt>
  <rfmt sheetId="1" sqref="A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2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2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25" start="0" length="0">
    <dxf>
      <font>
        <sz val="11"/>
        <color theme="1"/>
        <name val="Calibri"/>
        <scheme val="none"/>
      </font>
    </dxf>
  </rfmt>
  <rfmt sheetId="1" sqref="AM425" start="0" length="0">
    <dxf>
      <font>
        <sz val="11"/>
        <color theme="1"/>
        <name val="Calibri"/>
        <scheme val="none"/>
      </font>
      <numFmt numFmtId="1" formatCode="0"/>
    </dxf>
  </rfmt>
  <rfmt sheetId="1" sqref="AN425" start="0" length="0">
    <dxf>
      <font>
        <sz val="11"/>
        <color theme="1"/>
        <name val="Calibri"/>
        <scheme val="none"/>
      </font>
      <numFmt numFmtId="1" formatCode="0"/>
    </dxf>
  </rfmt>
  <rfmt sheetId="1" sqref="AO425" start="0" length="0">
    <dxf>
      <font>
        <sz val="11"/>
        <color theme="1"/>
        <name val="Calibri"/>
        <scheme val="none"/>
      </font>
    </dxf>
  </rfmt>
  <rfmt sheetId="1" sqref="AP425" start="0" length="0">
    <dxf>
      <font>
        <sz val="11"/>
        <color theme="1"/>
        <name val="Calibri"/>
        <scheme val="none"/>
      </font>
    </dxf>
  </rfmt>
  <rfmt sheetId="1" sqref="AQ425" start="0" length="0">
    <dxf>
      <font>
        <sz val="11"/>
        <color theme="1"/>
        <name val="Calibri"/>
        <scheme val="none"/>
      </font>
      <numFmt numFmtId="164" formatCode="_-* #,##0_-;\-* #,##0_-;_-* &quot;-&quot;??_-;_-@_-"/>
    </dxf>
  </rfmt>
  <rfmt sheetId="1" sqref="AR425" start="0" length="0">
    <dxf>
      <font>
        <sz val="11"/>
        <color theme="1"/>
        <name val="Calibri"/>
        <scheme val="none"/>
      </font>
      <numFmt numFmtId="164" formatCode="_-* #,##0_-;\-* #,##0_-;_-* &quot;-&quot;??_-;_-@_-"/>
    </dxf>
  </rfmt>
  <rfmt sheetId="1" sqref="AS425" start="0" length="0">
    <dxf>
      <font>
        <sz val="11"/>
        <color theme="1"/>
        <name val="Calibri"/>
        <scheme val="none"/>
      </font>
      <numFmt numFmtId="164" formatCode="_-* #,##0_-;\-* #,##0_-;_-* &quot;-&quot;??_-;_-@_-"/>
    </dxf>
  </rfmt>
  <rfmt sheetId="1" sqref="AT425" start="0" length="0">
    <dxf>
      <font>
        <sz val="11"/>
        <color theme="1"/>
        <name val="Calibri"/>
        <scheme val="none"/>
      </font>
      <numFmt numFmtId="164" formatCode="_-* #,##0_-;\-* #,##0_-;_-* &quot;-&quot;??_-;_-@_-"/>
    </dxf>
  </rfmt>
  <rfmt sheetId="1" sqref="AU425" start="0" length="0">
    <dxf>
      <font>
        <sz val="11"/>
        <color theme="1"/>
        <name val="Calibri"/>
        <scheme val="none"/>
      </font>
    </dxf>
  </rfmt>
  <rfmt sheetId="1" sqref="AV425" start="0" length="0">
    <dxf>
      <font>
        <sz val="11"/>
        <color theme="1"/>
        <name val="Calibri"/>
        <scheme val="none"/>
      </font>
    </dxf>
  </rfmt>
  <rfmt sheetId="1" sqref="AW425" start="0" length="0">
    <dxf>
      <font>
        <sz val="11"/>
        <color theme="1"/>
        <name val="Calibri"/>
        <scheme val="none"/>
      </font>
    </dxf>
  </rfmt>
  <rfmt sheetId="1" sqref="AX425" start="0" length="0">
    <dxf>
      <font>
        <sz val="11"/>
        <color theme="1"/>
        <name val="Calibri"/>
        <scheme val="none"/>
      </font>
    </dxf>
  </rfmt>
  <rfmt sheetId="1" sqref="AY425" start="0" length="0">
    <dxf>
      <font>
        <sz val="11"/>
        <color theme="1"/>
        <name val="Calibri"/>
        <scheme val="none"/>
      </font>
    </dxf>
  </rfmt>
  <rfmt sheetId="1" sqref="A425:XFD425" start="0" length="0">
    <dxf>
      <font>
        <sz val="11"/>
        <color theme="1"/>
        <name val="Calibri"/>
        <scheme val="none"/>
      </font>
    </dxf>
  </rfmt>
  <rfmt sheetId="1" sqref="A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2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2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26" start="0" length="0">
    <dxf>
      <font>
        <sz val="11"/>
        <color theme="1"/>
        <name val="Calibri"/>
        <scheme val="none"/>
      </font>
    </dxf>
  </rfmt>
  <rfmt sheetId="1" sqref="AM426" start="0" length="0">
    <dxf>
      <font>
        <sz val="11"/>
        <color theme="1"/>
        <name val="Calibri"/>
        <scheme val="none"/>
      </font>
      <numFmt numFmtId="1" formatCode="0"/>
    </dxf>
  </rfmt>
  <rfmt sheetId="1" sqref="AN426" start="0" length="0">
    <dxf>
      <font>
        <sz val="11"/>
        <color theme="1"/>
        <name val="Calibri"/>
        <scheme val="none"/>
      </font>
      <numFmt numFmtId="1" formatCode="0"/>
    </dxf>
  </rfmt>
  <rfmt sheetId="1" sqref="AO426" start="0" length="0">
    <dxf>
      <font>
        <sz val="11"/>
        <color theme="1"/>
        <name val="Calibri"/>
        <scheme val="none"/>
      </font>
    </dxf>
  </rfmt>
  <rfmt sheetId="1" sqref="AP426" start="0" length="0">
    <dxf>
      <font>
        <sz val="11"/>
        <color theme="1"/>
        <name val="Calibri"/>
        <scheme val="none"/>
      </font>
    </dxf>
  </rfmt>
  <rfmt sheetId="1" sqref="AQ426" start="0" length="0">
    <dxf>
      <font>
        <sz val="11"/>
        <color theme="1"/>
        <name val="Calibri"/>
        <scheme val="none"/>
      </font>
      <numFmt numFmtId="164" formatCode="_-* #,##0_-;\-* #,##0_-;_-* &quot;-&quot;??_-;_-@_-"/>
    </dxf>
  </rfmt>
  <rfmt sheetId="1" sqref="AR426" start="0" length="0">
    <dxf>
      <font>
        <sz val="11"/>
        <color theme="1"/>
        <name val="Calibri"/>
        <scheme val="none"/>
      </font>
      <numFmt numFmtId="164" formatCode="_-* #,##0_-;\-* #,##0_-;_-* &quot;-&quot;??_-;_-@_-"/>
    </dxf>
  </rfmt>
  <rfmt sheetId="1" sqref="AS426" start="0" length="0">
    <dxf>
      <font>
        <sz val="11"/>
        <color theme="1"/>
        <name val="Calibri"/>
        <scheme val="none"/>
      </font>
      <numFmt numFmtId="164" formatCode="_-* #,##0_-;\-* #,##0_-;_-* &quot;-&quot;??_-;_-@_-"/>
    </dxf>
  </rfmt>
  <rfmt sheetId="1" sqref="AT426" start="0" length="0">
    <dxf>
      <font>
        <sz val="11"/>
        <color theme="1"/>
        <name val="Calibri"/>
        <scheme val="none"/>
      </font>
      <numFmt numFmtId="164" formatCode="_-* #,##0_-;\-* #,##0_-;_-* &quot;-&quot;??_-;_-@_-"/>
    </dxf>
  </rfmt>
  <rfmt sheetId="1" sqref="AU426" start="0" length="0">
    <dxf>
      <font>
        <sz val="11"/>
        <color theme="1"/>
        <name val="Calibri"/>
        <scheme val="none"/>
      </font>
    </dxf>
  </rfmt>
  <rfmt sheetId="1" sqref="AV426" start="0" length="0">
    <dxf>
      <font>
        <sz val="11"/>
        <color theme="1"/>
        <name val="Calibri"/>
        <scheme val="none"/>
      </font>
    </dxf>
  </rfmt>
  <rfmt sheetId="1" sqref="AW426" start="0" length="0">
    <dxf>
      <font>
        <sz val="11"/>
        <color theme="1"/>
        <name val="Calibri"/>
        <scheme val="none"/>
      </font>
    </dxf>
  </rfmt>
  <rfmt sheetId="1" sqref="AX426" start="0" length="0">
    <dxf>
      <font>
        <sz val="11"/>
        <color theme="1"/>
        <name val="Calibri"/>
        <scheme val="none"/>
      </font>
    </dxf>
  </rfmt>
  <rfmt sheetId="1" sqref="AY426" start="0" length="0">
    <dxf>
      <font>
        <sz val="11"/>
        <color theme="1"/>
        <name val="Calibri"/>
        <scheme val="none"/>
      </font>
    </dxf>
  </rfmt>
  <rfmt sheetId="1" sqref="A426:XFD426" start="0" length="0">
    <dxf>
      <font>
        <sz val="11"/>
        <color theme="1"/>
        <name val="Calibri"/>
        <scheme val="none"/>
      </font>
    </dxf>
  </rfmt>
  <rfmt sheetId="1" sqref="A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2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2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27" start="0" length="0">
    <dxf>
      <font>
        <sz val="11"/>
        <color theme="1"/>
        <name val="Calibri"/>
        <scheme val="none"/>
      </font>
    </dxf>
  </rfmt>
  <rfmt sheetId="1" sqref="AM427" start="0" length="0">
    <dxf>
      <font>
        <sz val="11"/>
        <color theme="1"/>
        <name val="Calibri"/>
        <scheme val="none"/>
      </font>
      <numFmt numFmtId="1" formatCode="0"/>
    </dxf>
  </rfmt>
  <rfmt sheetId="1" sqref="AN427" start="0" length="0">
    <dxf>
      <font>
        <sz val="11"/>
        <color theme="1"/>
        <name val="Calibri"/>
        <scheme val="none"/>
      </font>
      <numFmt numFmtId="1" formatCode="0"/>
    </dxf>
  </rfmt>
  <rfmt sheetId="1" sqref="AO427" start="0" length="0">
    <dxf>
      <font>
        <sz val="11"/>
        <color theme="1"/>
        <name val="Calibri"/>
        <scheme val="none"/>
      </font>
    </dxf>
  </rfmt>
  <rfmt sheetId="1" sqref="AP427" start="0" length="0">
    <dxf>
      <font>
        <sz val="11"/>
        <color theme="1"/>
        <name val="Calibri"/>
        <scheme val="none"/>
      </font>
    </dxf>
  </rfmt>
  <rfmt sheetId="1" sqref="AQ427" start="0" length="0">
    <dxf>
      <font>
        <sz val="11"/>
        <color theme="1"/>
        <name val="Calibri"/>
        <scheme val="none"/>
      </font>
      <numFmt numFmtId="164" formatCode="_-* #,##0_-;\-* #,##0_-;_-* &quot;-&quot;??_-;_-@_-"/>
    </dxf>
  </rfmt>
  <rfmt sheetId="1" sqref="AR427" start="0" length="0">
    <dxf>
      <font>
        <sz val="11"/>
        <color theme="1"/>
        <name val="Calibri"/>
        <scheme val="none"/>
      </font>
      <numFmt numFmtId="164" formatCode="_-* #,##0_-;\-* #,##0_-;_-* &quot;-&quot;??_-;_-@_-"/>
    </dxf>
  </rfmt>
  <rfmt sheetId="1" sqref="AS427" start="0" length="0">
    <dxf>
      <font>
        <sz val="11"/>
        <color theme="1"/>
        <name val="Calibri"/>
        <scheme val="none"/>
      </font>
      <numFmt numFmtId="164" formatCode="_-* #,##0_-;\-* #,##0_-;_-* &quot;-&quot;??_-;_-@_-"/>
    </dxf>
  </rfmt>
  <rfmt sheetId="1" sqref="AT427" start="0" length="0">
    <dxf>
      <font>
        <sz val="11"/>
        <color theme="1"/>
        <name val="Calibri"/>
        <scheme val="none"/>
      </font>
      <numFmt numFmtId="164" formatCode="_-* #,##0_-;\-* #,##0_-;_-* &quot;-&quot;??_-;_-@_-"/>
    </dxf>
  </rfmt>
  <rfmt sheetId="1" sqref="AU427" start="0" length="0">
    <dxf>
      <font>
        <sz val="11"/>
        <color theme="1"/>
        <name val="Calibri"/>
        <scheme val="none"/>
      </font>
    </dxf>
  </rfmt>
  <rfmt sheetId="1" sqref="AV427" start="0" length="0">
    <dxf>
      <font>
        <sz val="11"/>
        <color theme="1"/>
        <name val="Calibri"/>
        <scheme val="none"/>
      </font>
    </dxf>
  </rfmt>
  <rfmt sheetId="1" sqref="AW427" start="0" length="0">
    <dxf>
      <font>
        <sz val="11"/>
        <color theme="1"/>
        <name val="Calibri"/>
        <scheme val="none"/>
      </font>
    </dxf>
  </rfmt>
  <rfmt sheetId="1" sqref="AX427" start="0" length="0">
    <dxf>
      <font>
        <sz val="11"/>
        <color theme="1"/>
        <name val="Calibri"/>
        <scheme val="none"/>
      </font>
    </dxf>
  </rfmt>
  <rfmt sheetId="1" sqref="AY427" start="0" length="0">
    <dxf>
      <font>
        <sz val="11"/>
        <color theme="1"/>
        <name val="Calibri"/>
        <scheme val="none"/>
      </font>
    </dxf>
  </rfmt>
  <rfmt sheetId="1" sqref="A427:XFD427" start="0" length="0">
    <dxf>
      <font>
        <sz val="11"/>
        <color theme="1"/>
        <name val="Calibri"/>
        <scheme val="none"/>
      </font>
    </dxf>
  </rfmt>
  <rfmt sheetId="1" sqref="A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2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2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28" start="0" length="0">
    <dxf>
      <font>
        <sz val="11"/>
        <color theme="1"/>
        <name val="Calibri"/>
        <scheme val="none"/>
      </font>
    </dxf>
  </rfmt>
  <rfmt sheetId="1" sqref="AM428" start="0" length="0">
    <dxf>
      <font>
        <sz val="11"/>
        <color theme="1"/>
        <name val="Calibri"/>
        <scheme val="none"/>
      </font>
      <numFmt numFmtId="1" formatCode="0"/>
    </dxf>
  </rfmt>
  <rfmt sheetId="1" sqref="AN428" start="0" length="0">
    <dxf>
      <font>
        <sz val="11"/>
        <color theme="1"/>
        <name val="Calibri"/>
        <scheme val="none"/>
      </font>
      <numFmt numFmtId="1" formatCode="0"/>
    </dxf>
  </rfmt>
  <rfmt sheetId="1" sqref="AO428" start="0" length="0">
    <dxf>
      <font>
        <sz val="11"/>
        <color theme="1"/>
        <name val="Calibri"/>
        <scheme val="none"/>
      </font>
    </dxf>
  </rfmt>
  <rfmt sheetId="1" sqref="AP428" start="0" length="0">
    <dxf>
      <font>
        <sz val="11"/>
        <color theme="1"/>
        <name val="Calibri"/>
        <scheme val="none"/>
      </font>
    </dxf>
  </rfmt>
  <rfmt sheetId="1" sqref="AQ428" start="0" length="0">
    <dxf>
      <font>
        <sz val="11"/>
        <color theme="1"/>
        <name val="Calibri"/>
        <scheme val="none"/>
      </font>
      <numFmt numFmtId="164" formatCode="_-* #,##0_-;\-* #,##0_-;_-* &quot;-&quot;??_-;_-@_-"/>
    </dxf>
  </rfmt>
  <rfmt sheetId="1" sqref="AR428" start="0" length="0">
    <dxf>
      <font>
        <sz val="11"/>
        <color theme="1"/>
        <name val="Calibri"/>
        <scheme val="none"/>
      </font>
      <numFmt numFmtId="164" formatCode="_-* #,##0_-;\-* #,##0_-;_-* &quot;-&quot;??_-;_-@_-"/>
    </dxf>
  </rfmt>
  <rfmt sheetId="1" sqref="AS428" start="0" length="0">
    <dxf>
      <font>
        <sz val="11"/>
        <color theme="1"/>
        <name val="Calibri"/>
        <scheme val="none"/>
      </font>
      <numFmt numFmtId="164" formatCode="_-* #,##0_-;\-* #,##0_-;_-* &quot;-&quot;??_-;_-@_-"/>
    </dxf>
  </rfmt>
  <rfmt sheetId="1" sqref="AT428" start="0" length="0">
    <dxf>
      <font>
        <sz val="11"/>
        <color theme="1"/>
        <name val="Calibri"/>
        <scheme val="none"/>
      </font>
      <numFmt numFmtId="164" formatCode="_-* #,##0_-;\-* #,##0_-;_-* &quot;-&quot;??_-;_-@_-"/>
    </dxf>
  </rfmt>
  <rfmt sheetId="1" sqref="AU428" start="0" length="0">
    <dxf>
      <font>
        <sz val="11"/>
        <color theme="1"/>
        <name val="Calibri"/>
        <scheme val="none"/>
      </font>
    </dxf>
  </rfmt>
  <rfmt sheetId="1" sqref="AV428" start="0" length="0">
    <dxf>
      <font>
        <sz val="11"/>
        <color theme="1"/>
        <name val="Calibri"/>
        <scheme val="none"/>
      </font>
    </dxf>
  </rfmt>
  <rfmt sheetId="1" sqref="AW428" start="0" length="0">
    <dxf>
      <font>
        <sz val="11"/>
        <color theme="1"/>
        <name val="Calibri"/>
        <scheme val="none"/>
      </font>
    </dxf>
  </rfmt>
  <rfmt sheetId="1" sqref="AX428" start="0" length="0">
    <dxf>
      <font>
        <sz val="11"/>
        <color theme="1"/>
        <name val="Calibri"/>
        <scheme val="none"/>
      </font>
    </dxf>
  </rfmt>
  <rfmt sheetId="1" sqref="AY428" start="0" length="0">
    <dxf>
      <font>
        <sz val="11"/>
        <color theme="1"/>
        <name val="Calibri"/>
        <scheme val="none"/>
      </font>
    </dxf>
  </rfmt>
  <rfmt sheetId="1" sqref="A428:XFD428" start="0" length="0">
    <dxf>
      <font>
        <sz val="11"/>
        <color theme="1"/>
        <name val="Calibri"/>
        <scheme val="none"/>
      </font>
    </dxf>
  </rfmt>
  <rfmt sheetId="1" sqref="A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2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2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29" start="0" length="0">
    <dxf>
      <font>
        <sz val="11"/>
        <color theme="1"/>
        <name val="Calibri"/>
        <scheme val="none"/>
      </font>
    </dxf>
  </rfmt>
  <rfmt sheetId="1" sqref="AM429" start="0" length="0">
    <dxf>
      <font>
        <sz val="11"/>
        <color theme="1"/>
        <name val="Calibri"/>
        <scheme val="none"/>
      </font>
      <numFmt numFmtId="1" formatCode="0"/>
    </dxf>
  </rfmt>
  <rfmt sheetId="1" sqref="AN429" start="0" length="0">
    <dxf>
      <font>
        <sz val="11"/>
        <color theme="1"/>
        <name val="Calibri"/>
        <scheme val="none"/>
      </font>
      <numFmt numFmtId="1" formatCode="0"/>
    </dxf>
  </rfmt>
  <rfmt sheetId="1" sqref="AO429" start="0" length="0">
    <dxf>
      <font>
        <sz val="11"/>
        <color theme="1"/>
        <name val="Calibri"/>
        <scheme val="none"/>
      </font>
    </dxf>
  </rfmt>
  <rfmt sheetId="1" sqref="AP429" start="0" length="0">
    <dxf>
      <font>
        <sz val="11"/>
        <color theme="1"/>
        <name val="Calibri"/>
        <scheme val="none"/>
      </font>
    </dxf>
  </rfmt>
  <rfmt sheetId="1" sqref="AQ429" start="0" length="0">
    <dxf>
      <font>
        <sz val="11"/>
        <color theme="1"/>
        <name val="Calibri"/>
        <scheme val="none"/>
      </font>
      <numFmt numFmtId="164" formatCode="_-* #,##0_-;\-* #,##0_-;_-* &quot;-&quot;??_-;_-@_-"/>
    </dxf>
  </rfmt>
  <rfmt sheetId="1" sqref="AR429" start="0" length="0">
    <dxf>
      <font>
        <sz val="11"/>
        <color theme="1"/>
        <name val="Calibri"/>
        <scheme val="none"/>
      </font>
      <numFmt numFmtId="164" formatCode="_-* #,##0_-;\-* #,##0_-;_-* &quot;-&quot;??_-;_-@_-"/>
    </dxf>
  </rfmt>
  <rfmt sheetId="1" sqref="AS429" start="0" length="0">
    <dxf>
      <font>
        <sz val="11"/>
        <color theme="1"/>
        <name val="Calibri"/>
        <scheme val="none"/>
      </font>
      <numFmt numFmtId="164" formatCode="_-* #,##0_-;\-* #,##0_-;_-* &quot;-&quot;??_-;_-@_-"/>
    </dxf>
  </rfmt>
  <rfmt sheetId="1" sqref="AT429" start="0" length="0">
    <dxf>
      <font>
        <sz val="11"/>
        <color theme="1"/>
        <name val="Calibri"/>
        <scheme val="none"/>
      </font>
      <numFmt numFmtId="164" formatCode="_-* #,##0_-;\-* #,##0_-;_-* &quot;-&quot;??_-;_-@_-"/>
    </dxf>
  </rfmt>
  <rfmt sheetId="1" sqref="AU429" start="0" length="0">
    <dxf>
      <font>
        <sz val="11"/>
        <color theme="1"/>
        <name val="Calibri"/>
        <scheme val="none"/>
      </font>
    </dxf>
  </rfmt>
  <rfmt sheetId="1" sqref="AV429" start="0" length="0">
    <dxf>
      <font>
        <sz val="11"/>
        <color theme="1"/>
        <name val="Calibri"/>
        <scheme val="none"/>
      </font>
    </dxf>
  </rfmt>
  <rfmt sheetId="1" sqref="AW429" start="0" length="0">
    <dxf>
      <font>
        <sz val="11"/>
        <color theme="1"/>
        <name val="Calibri"/>
        <scheme val="none"/>
      </font>
    </dxf>
  </rfmt>
  <rfmt sheetId="1" sqref="AX429" start="0" length="0">
    <dxf>
      <font>
        <sz val="11"/>
        <color theme="1"/>
        <name val="Calibri"/>
        <scheme val="none"/>
      </font>
    </dxf>
  </rfmt>
  <rfmt sheetId="1" sqref="AY429" start="0" length="0">
    <dxf>
      <font>
        <sz val="11"/>
        <color theme="1"/>
        <name val="Calibri"/>
        <scheme val="none"/>
      </font>
    </dxf>
  </rfmt>
  <rfmt sheetId="1" sqref="A429:XFD429" start="0" length="0">
    <dxf>
      <font>
        <sz val="11"/>
        <color theme="1"/>
        <name val="Calibri"/>
        <scheme val="none"/>
      </font>
    </dxf>
  </rfmt>
  <rfmt sheetId="1" sqref="A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3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3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30" start="0" length="0">
    <dxf>
      <font>
        <sz val="11"/>
        <color theme="1"/>
        <name val="Calibri"/>
        <scheme val="none"/>
      </font>
    </dxf>
  </rfmt>
  <rfmt sheetId="1" sqref="AM430" start="0" length="0">
    <dxf>
      <font>
        <sz val="11"/>
        <color theme="1"/>
        <name val="Calibri"/>
        <scheme val="none"/>
      </font>
      <numFmt numFmtId="1" formatCode="0"/>
    </dxf>
  </rfmt>
  <rfmt sheetId="1" sqref="AN430" start="0" length="0">
    <dxf>
      <font>
        <sz val="11"/>
        <color theme="1"/>
        <name val="Calibri"/>
        <scheme val="none"/>
      </font>
      <numFmt numFmtId="1" formatCode="0"/>
    </dxf>
  </rfmt>
  <rfmt sheetId="1" sqref="AO430" start="0" length="0">
    <dxf>
      <font>
        <sz val="11"/>
        <color theme="1"/>
        <name val="Calibri"/>
        <scheme val="none"/>
      </font>
    </dxf>
  </rfmt>
  <rfmt sheetId="1" sqref="AP430" start="0" length="0">
    <dxf>
      <font>
        <sz val="11"/>
        <color theme="1"/>
        <name val="Calibri"/>
        <scheme val="none"/>
      </font>
    </dxf>
  </rfmt>
  <rfmt sheetId="1" sqref="AQ430" start="0" length="0">
    <dxf>
      <font>
        <sz val="11"/>
        <color theme="1"/>
        <name val="Calibri"/>
        <scheme val="none"/>
      </font>
      <numFmt numFmtId="164" formatCode="_-* #,##0_-;\-* #,##0_-;_-* &quot;-&quot;??_-;_-@_-"/>
    </dxf>
  </rfmt>
  <rfmt sheetId="1" sqref="AR430" start="0" length="0">
    <dxf>
      <font>
        <sz val="11"/>
        <color theme="1"/>
        <name val="Calibri"/>
        <scheme val="none"/>
      </font>
      <numFmt numFmtId="164" formatCode="_-* #,##0_-;\-* #,##0_-;_-* &quot;-&quot;??_-;_-@_-"/>
    </dxf>
  </rfmt>
  <rfmt sheetId="1" sqref="AS430" start="0" length="0">
    <dxf>
      <font>
        <sz val="11"/>
        <color theme="1"/>
        <name val="Calibri"/>
        <scheme val="none"/>
      </font>
      <numFmt numFmtId="164" formatCode="_-* #,##0_-;\-* #,##0_-;_-* &quot;-&quot;??_-;_-@_-"/>
    </dxf>
  </rfmt>
  <rfmt sheetId="1" sqref="AT430" start="0" length="0">
    <dxf>
      <font>
        <sz val="11"/>
        <color theme="1"/>
        <name val="Calibri"/>
        <scheme val="none"/>
      </font>
      <numFmt numFmtId="164" formatCode="_-* #,##0_-;\-* #,##0_-;_-* &quot;-&quot;??_-;_-@_-"/>
    </dxf>
  </rfmt>
  <rfmt sheetId="1" sqref="AU430" start="0" length="0">
    <dxf>
      <font>
        <sz val="11"/>
        <color theme="1"/>
        <name val="Calibri"/>
        <scheme val="none"/>
      </font>
    </dxf>
  </rfmt>
  <rfmt sheetId="1" sqref="AV430" start="0" length="0">
    <dxf>
      <font>
        <sz val="11"/>
        <color theme="1"/>
        <name val="Calibri"/>
        <scheme val="none"/>
      </font>
    </dxf>
  </rfmt>
  <rfmt sheetId="1" sqref="AW430" start="0" length="0">
    <dxf>
      <font>
        <sz val="11"/>
        <color theme="1"/>
        <name val="Calibri"/>
        <scheme val="none"/>
      </font>
    </dxf>
  </rfmt>
  <rfmt sheetId="1" sqref="AX430" start="0" length="0">
    <dxf>
      <font>
        <sz val="11"/>
        <color theme="1"/>
        <name val="Calibri"/>
        <scheme val="none"/>
      </font>
    </dxf>
  </rfmt>
  <rfmt sheetId="1" sqref="AY430" start="0" length="0">
    <dxf>
      <font>
        <sz val="11"/>
        <color theme="1"/>
        <name val="Calibri"/>
        <scheme val="none"/>
      </font>
    </dxf>
  </rfmt>
  <rfmt sheetId="1" sqref="A430:XFD430" start="0" length="0">
    <dxf>
      <font>
        <sz val="11"/>
        <color theme="1"/>
        <name val="Calibri"/>
        <scheme val="none"/>
      </font>
    </dxf>
  </rfmt>
  <rfmt sheetId="1" sqref="A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3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3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31" start="0" length="0">
    <dxf>
      <font>
        <sz val="11"/>
        <color theme="1"/>
        <name val="Calibri"/>
        <scheme val="none"/>
      </font>
    </dxf>
  </rfmt>
  <rfmt sheetId="1" sqref="AM431" start="0" length="0">
    <dxf>
      <font>
        <sz val="11"/>
        <color theme="1"/>
        <name val="Calibri"/>
        <scheme val="none"/>
      </font>
      <numFmt numFmtId="1" formatCode="0"/>
    </dxf>
  </rfmt>
  <rfmt sheetId="1" sqref="AN431" start="0" length="0">
    <dxf>
      <font>
        <sz val="11"/>
        <color theme="1"/>
        <name val="Calibri"/>
        <scheme val="none"/>
      </font>
      <numFmt numFmtId="1" formatCode="0"/>
    </dxf>
  </rfmt>
  <rfmt sheetId="1" sqref="AO431" start="0" length="0">
    <dxf>
      <font>
        <sz val="11"/>
        <color theme="1"/>
        <name val="Calibri"/>
        <scheme val="none"/>
      </font>
    </dxf>
  </rfmt>
  <rfmt sheetId="1" sqref="AP431" start="0" length="0">
    <dxf>
      <font>
        <sz val="11"/>
        <color theme="1"/>
        <name val="Calibri"/>
        <scheme val="none"/>
      </font>
    </dxf>
  </rfmt>
  <rfmt sheetId="1" sqref="AQ431" start="0" length="0">
    <dxf>
      <font>
        <sz val="11"/>
        <color theme="1"/>
        <name val="Calibri"/>
        <scheme val="none"/>
      </font>
      <numFmt numFmtId="164" formatCode="_-* #,##0_-;\-* #,##0_-;_-* &quot;-&quot;??_-;_-@_-"/>
    </dxf>
  </rfmt>
  <rfmt sheetId="1" sqref="AR431" start="0" length="0">
    <dxf>
      <font>
        <sz val="11"/>
        <color theme="1"/>
        <name val="Calibri"/>
        <scheme val="none"/>
      </font>
      <numFmt numFmtId="164" formatCode="_-* #,##0_-;\-* #,##0_-;_-* &quot;-&quot;??_-;_-@_-"/>
    </dxf>
  </rfmt>
  <rfmt sheetId="1" sqref="AS431" start="0" length="0">
    <dxf>
      <font>
        <sz val="11"/>
        <color theme="1"/>
        <name val="Calibri"/>
        <scheme val="none"/>
      </font>
      <numFmt numFmtId="164" formatCode="_-* #,##0_-;\-* #,##0_-;_-* &quot;-&quot;??_-;_-@_-"/>
    </dxf>
  </rfmt>
  <rfmt sheetId="1" sqref="AT431" start="0" length="0">
    <dxf>
      <font>
        <sz val="11"/>
        <color theme="1"/>
        <name val="Calibri"/>
        <scheme val="none"/>
      </font>
      <numFmt numFmtId="164" formatCode="_-* #,##0_-;\-* #,##0_-;_-* &quot;-&quot;??_-;_-@_-"/>
    </dxf>
  </rfmt>
  <rfmt sheetId="1" sqref="AU431" start="0" length="0">
    <dxf>
      <font>
        <sz val="11"/>
        <color theme="1"/>
        <name val="Calibri"/>
        <scheme val="none"/>
      </font>
    </dxf>
  </rfmt>
  <rfmt sheetId="1" sqref="AV431" start="0" length="0">
    <dxf>
      <font>
        <sz val="11"/>
        <color theme="1"/>
        <name val="Calibri"/>
        <scheme val="none"/>
      </font>
    </dxf>
  </rfmt>
  <rfmt sheetId="1" sqref="AW431" start="0" length="0">
    <dxf>
      <font>
        <sz val="11"/>
        <color theme="1"/>
        <name val="Calibri"/>
        <scheme val="none"/>
      </font>
    </dxf>
  </rfmt>
  <rfmt sheetId="1" sqref="AX431" start="0" length="0">
    <dxf>
      <font>
        <sz val="11"/>
        <color theme="1"/>
        <name val="Calibri"/>
        <scheme val="none"/>
      </font>
    </dxf>
  </rfmt>
  <rfmt sheetId="1" sqref="AY431" start="0" length="0">
    <dxf>
      <font>
        <sz val="11"/>
        <color theme="1"/>
        <name val="Calibri"/>
        <scheme val="none"/>
      </font>
    </dxf>
  </rfmt>
  <rfmt sheetId="1" sqref="A431:XFD431" start="0" length="0">
    <dxf>
      <font>
        <sz val="11"/>
        <color theme="1"/>
        <name val="Calibri"/>
        <scheme val="none"/>
      </font>
    </dxf>
  </rfmt>
  <rfmt sheetId="1" sqref="A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3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3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32" start="0" length="0">
    <dxf>
      <font>
        <sz val="11"/>
        <color theme="1"/>
        <name val="Calibri"/>
        <scheme val="none"/>
      </font>
    </dxf>
  </rfmt>
  <rfmt sheetId="1" sqref="AM432" start="0" length="0">
    <dxf>
      <font>
        <sz val="11"/>
        <color theme="1"/>
        <name val="Calibri"/>
        <scheme val="none"/>
      </font>
      <numFmt numFmtId="1" formatCode="0"/>
    </dxf>
  </rfmt>
  <rfmt sheetId="1" sqref="AN432" start="0" length="0">
    <dxf>
      <font>
        <sz val="11"/>
        <color theme="1"/>
        <name val="Calibri"/>
        <scheme val="none"/>
      </font>
      <numFmt numFmtId="1" formatCode="0"/>
    </dxf>
  </rfmt>
  <rfmt sheetId="1" sqref="AO432" start="0" length="0">
    <dxf>
      <font>
        <sz val="11"/>
        <color theme="1"/>
        <name val="Calibri"/>
        <scheme val="none"/>
      </font>
    </dxf>
  </rfmt>
  <rfmt sheetId="1" sqref="AP432" start="0" length="0">
    <dxf>
      <font>
        <sz val="11"/>
        <color theme="1"/>
        <name val="Calibri"/>
        <scheme val="none"/>
      </font>
    </dxf>
  </rfmt>
  <rfmt sheetId="1" sqref="AQ432" start="0" length="0">
    <dxf>
      <font>
        <sz val="11"/>
        <color theme="1"/>
        <name val="Calibri"/>
        <scheme val="none"/>
      </font>
      <numFmt numFmtId="164" formatCode="_-* #,##0_-;\-* #,##0_-;_-* &quot;-&quot;??_-;_-@_-"/>
    </dxf>
  </rfmt>
  <rfmt sheetId="1" sqref="AR432" start="0" length="0">
    <dxf>
      <font>
        <sz val="11"/>
        <color theme="1"/>
        <name val="Calibri"/>
        <scheme val="none"/>
      </font>
      <numFmt numFmtId="164" formatCode="_-* #,##0_-;\-* #,##0_-;_-* &quot;-&quot;??_-;_-@_-"/>
    </dxf>
  </rfmt>
  <rfmt sheetId="1" sqref="AS432" start="0" length="0">
    <dxf>
      <font>
        <sz val="11"/>
        <color theme="1"/>
        <name val="Calibri"/>
        <scheme val="none"/>
      </font>
      <numFmt numFmtId="164" formatCode="_-* #,##0_-;\-* #,##0_-;_-* &quot;-&quot;??_-;_-@_-"/>
    </dxf>
  </rfmt>
  <rfmt sheetId="1" sqref="AT432" start="0" length="0">
    <dxf>
      <font>
        <sz val="11"/>
        <color theme="1"/>
        <name val="Calibri"/>
        <scheme val="none"/>
      </font>
      <numFmt numFmtId="164" formatCode="_-* #,##0_-;\-* #,##0_-;_-* &quot;-&quot;??_-;_-@_-"/>
    </dxf>
  </rfmt>
  <rfmt sheetId="1" sqref="AU432" start="0" length="0">
    <dxf>
      <font>
        <sz val="11"/>
        <color theme="1"/>
        <name val="Calibri"/>
        <scheme val="none"/>
      </font>
    </dxf>
  </rfmt>
  <rfmt sheetId="1" sqref="AV432" start="0" length="0">
    <dxf>
      <font>
        <sz val="11"/>
        <color theme="1"/>
        <name val="Calibri"/>
        <scheme val="none"/>
      </font>
    </dxf>
  </rfmt>
  <rfmt sheetId="1" sqref="AW432" start="0" length="0">
    <dxf>
      <font>
        <sz val="11"/>
        <color theme="1"/>
        <name val="Calibri"/>
        <scheme val="none"/>
      </font>
    </dxf>
  </rfmt>
  <rfmt sheetId="1" sqref="AX432" start="0" length="0">
    <dxf>
      <font>
        <sz val="11"/>
        <color theme="1"/>
        <name val="Calibri"/>
        <scheme val="none"/>
      </font>
    </dxf>
  </rfmt>
  <rfmt sheetId="1" sqref="AY432" start="0" length="0">
    <dxf>
      <font>
        <sz val="11"/>
        <color theme="1"/>
        <name val="Calibri"/>
        <scheme val="none"/>
      </font>
    </dxf>
  </rfmt>
  <rfmt sheetId="1" sqref="A432:XFD432" start="0" length="0">
    <dxf>
      <font>
        <sz val="11"/>
        <color theme="1"/>
        <name val="Calibri"/>
        <scheme val="none"/>
      </font>
    </dxf>
  </rfmt>
  <rfmt sheetId="1" sqref="A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3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3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33" start="0" length="0">
    <dxf>
      <font>
        <sz val="11"/>
        <color theme="1"/>
        <name val="Calibri"/>
        <scheme val="none"/>
      </font>
    </dxf>
  </rfmt>
  <rfmt sheetId="1" sqref="AM433" start="0" length="0">
    <dxf>
      <font>
        <sz val="11"/>
        <color theme="1"/>
        <name val="Calibri"/>
        <scheme val="none"/>
      </font>
      <numFmt numFmtId="1" formatCode="0"/>
    </dxf>
  </rfmt>
  <rfmt sheetId="1" sqref="AN433" start="0" length="0">
    <dxf>
      <font>
        <sz val="11"/>
        <color theme="1"/>
        <name val="Calibri"/>
        <scheme val="none"/>
      </font>
      <numFmt numFmtId="1" formatCode="0"/>
    </dxf>
  </rfmt>
  <rfmt sheetId="1" sqref="AO433" start="0" length="0">
    <dxf>
      <font>
        <sz val="11"/>
        <color theme="1"/>
        <name val="Calibri"/>
        <scheme val="none"/>
      </font>
    </dxf>
  </rfmt>
  <rfmt sheetId="1" sqref="AP433" start="0" length="0">
    <dxf>
      <font>
        <sz val="11"/>
        <color theme="1"/>
        <name val="Calibri"/>
        <scheme val="none"/>
      </font>
    </dxf>
  </rfmt>
  <rfmt sheetId="1" sqref="AQ433" start="0" length="0">
    <dxf>
      <font>
        <sz val="11"/>
        <color theme="1"/>
        <name val="Calibri"/>
        <scheme val="none"/>
      </font>
      <numFmt numFmtId="164" formatCode="_-* #,##0_-;\-* #,##0_-;_-* &quot;-&quot;??_-;_-@_-"/>
    </dxf>
  </rfmt>
  <rfmt sheetId="1" sqref="AR433" start="0" length="0">
    <dxf>
      <font>
        <sz val="11"/>
        <color theme="1"/>
        <name val="Calibri"/>
        <scheme val="none"/>
      </font>
      <numFmt numFmtId="164" formatCode="_-* #,##0_-;\-* #,##0_-;_-* &quot;-&quot;??_-;_-@_-"/>
    </dxf>
  </rfmt>
  <rfmt sheetId="1" sqref="AS433" start="0" length="0">
    <dxf>
      <font>
        <sz val="11"/>
        <color theme="1"/>
        <name val="Calibri"/>
        <scheme val="none"/>
      </font>
      <numFmt numFmtId="164" formatCode="_-* #,##0_-;\-* #,##0_-;_-* &quot;-&quot;??_-;_-@_-"/>
    </dxf>
  </rfmt>
  <rfmt sheetId="1" sqref="AT433" start="0" length="0">
    <dxf>
      <font>
        <sz val="11"/>
        <color theme="1"/>
        <name val="Calibri"/>
        <scheme val="none"/>
      </font>
      <numFmt numFmtId="164" formatCode="_-* #,##0_-;\-* #,##0_-;_-* &quot;-&quot;??_-;_-@_-"/>
    </dxf>
  </rfmt>
  <rfmt sheetId="1" sqref="AU433" start="0" length="0">
    <dxf>
      <font>
        <sz val="11"/>
        <color theme="1"/>
        <name val="Calibri"/>
        <scheme val="none"/>
      </font>
    </dxf>
  </rfmt>
  <rfmt sheetId="1" sqref="AV433" start="0" length="0">
    <dxf>
      <font>
        <sz val="11"/>
        <color theme="1"/>
        <name val="Calibri"/>
        <scheme val="none"/>
      </font>
    </dxf>
  </rfmt>
  <rfmt sheetId="1" sqref="AW433" start="0" length="0">
    <dxf>
      <font>
        <sz val="11"/>
        <color theme="1"/>
        <name val="Calibri"/>
        <scheme val="none"/>
      </font>
    </dxf>
  </rfmt>
  <rfmt sheetId="1" sqref="AX433" start="0" length="0">
    <dxf>
      <font>
        <sz val="11"/>
        <color theme="1"/>
        <name val="Calibri"/>
        <scheme val="none"/>
      </font>
    </dxf>
  </rfmt>
  <rfmt sheetId="1" sqref="AY433" start="0" length="0">
    <dxf>
      <font>
        <sz val="11"/>
        <color theme="1"/>
        <name val="Calibri"/>
        <scheme val="none"/>
      </font>
    </dxf>
  </rfmt>
  <rfmt sheetId="1" sqref="A433:XFD433" start="0" length="0">
    <dxf>
      <font>
        <sz val="11"/>
        <color theme="1"/>
        <name val="Calibri"/>
        <scheme val="none"/>
      </font>
    </dxf>
  </rfmt>
  <rfmt sheetId="1" sqref="A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3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3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34" start="0" length="0">
    <dxf>
      <font>
        <sz val="11"/>
        <color theme="1"/>
        <name val="Calibri"/>
        <scheme val="none"/>
      </font>
    </dxf>
  </rfmt>
  <rfmt sheetId="1" sqref="AM434" start="0" length="0">
    <dxf>
      <font>
        <sz val="11"/>
        <color theme="1"/>
        <name val="Calibri"/>
        <scheme val="none"/>
      </font>
      <numFmt numFmtId="1" formatCode="0"/>
    </dxf>
  </rfmt>
  <rfmt sheetId="1" sqref="AN434" start="0" length="0">
    <dxf>
      <font>
        <sz val="11"/>
        <color theme="1"/>
        <name val="Calibri"/>
        <scheme val="none"/>
      </font>
      <numFmt numFmtId="1" formatCode="0"/>
    </dxf>
  </rfmt>
  <rfmt sheetId="1" sqref="AO434" start="0" length="0">
    <dxf>
      <font>
        <sz val="11"/>
        <color theme="1"/>
        <name val="Calibri"/>
        <scheme val="none"/>
      </font>
    </dxf>
  </rfmt>
  <rfmt sheetId="1" sqref="AP434" start="0" length="0">
    <dxf>
      <font>
        <sz val="11"/>
        <color theme="1"/>
        <name val="Calibri"/>
        <scheme val="none"/>
      </font>
    </dxf>
  </rfmt>
  <rfmt sheetId="1" sqref="AQ434" start="0" length="0">
    <dxf>
      <font>
        <sz val="11"/>
        <color theme="1"/>
        <name val="Calibri"/>
        <scheme val="none"/>
      </font>
      <numFmt numFmtId="164" formatCode="_-* #,##0_-;\-* #,##0_-;_-* &quot;-&quot;??_-;_-@_-"/>
    </dxf>
  </rfmt>
  <rfmt sheetId="1" sqref="AR434" start="0" length="0">
    <dxf>
      <font>
        <sz val="11"/>
        <color theme="1"/>
        <name val="Calibri"/>
        <scheme val="none"/>
      </font>
      <numFmt numFmtId="164" formatCode="_-* #,##0_-;\-* #,##0_-;_-* &quot;-&quot;??_-;_-@_-"/>
    </dxf>
  </rfmt>
  <rfmt sheetId="1" sqref="AS434" start="0" length="0">
    <dxf>
      <font>
        <sz val="11"/>
        <color theme="1"/>
        <name val="Calibri"/>
        <scheme val="none"/>
      </font>
      <numFmt numFmtId="164" formatCode="_-* #,##0_-;\-* #,##0_-;_-* &quot;-&quot;??_-;_-@_-"/>
    </dxf>
  </rfmt>
  <rfmt sheetId="1" sqref="AT434" start="0" length="0">
    <dxf>
      <font>
        <sz val="11"/>
        <color theme="1"/>
        <name val="Calibri"/>
        <scheme val="none"/>
      </font>
      <numFmt numFmtId="164" formatCode="_-* #,##0_-;\-* #,##0_-;_-* &quot;-&quot;??_-;_-@_-"/>
    </dxf>
  </rfmt>
  <rfmt sheetId="1" sqref="AU434" start="0" length="0">
    <dxf>
      <font>
        <sz val="11"/>
        <color theme="1"/>
        <name val="Calibri"/>
        <scheme val="none"/>
      </font>
    </dxf>
  </rfmt>
  <rfmt sheetId="1" sqref="AV434" start="0" length="0">
    <dxf>
      <font>
        <sz val="11"/>
        <color theme="1"/>
        <name val="Calibri"/>
        <scheme val="none"/>
      </font>
    </dxf>
  </rfmt>
  <rfmt sheetId="1" sqref="AW434" start="0" length="0">
    <dxf>
      <font>
        <sz val="11"/>
        <color theme="1"/>
        <name val="Calibri"/>
        <scheme val="none"/>
      </font>
    </dxf>
  </rfmt>
  <rfmt sheetId="1" sqref="AX434" start="0" length="0">
    <dxf>
      <font>
        <sz val="11"/>
        <color theme="1"/>
        <name val="Calibri"/>
        <scheme val="none"/>
      </font>
    </dxf>
  </rfmt>
  <rfmt sheetId="1" sqref="AY434" start="0" length="0">
    <dxf>
      <font>
        <sz val="11"/>
        <color theme="1"/>
        <name val="Calibri"/>
        <scheme val="none"/>
      </font>
    </dxf>
  </rfmt>
  <rfmt sheetId="1" sqref="A434:XFD434" start="0" length="0">
    <dxf>
      <font>
        <sz val="11"/>
        <color theme="1"/>
        <name val="Calibri"/>
        <scheme val="none"/>
      </font>
    </dxf>
  </rfmt>
  <rfmt sheetId="1" sqref="A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3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3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35" start="0" length="0">
    <dxf>
      <font>
        <sz val="11"/>
        <color theme="1"/>
        <name val="Calibri"/>
        <scheme val="none"/>
      </font>
    </dxf>
  </rfmt>
  <rfmt sheetId="1" sqref="AM435" start="0" length="0">
    <dxf>
      <font>
        <sz val="11"/>
        <color theme="1"/>
        <name val="Calibri"/>
        <scheme val="none"/>
      </font>
      <numFmt numFmtId="1" formatCode="0"/>
    </dxf>
  </rfmt>
  <rfmt sheetId="1" sqref="AN435" start="0" length="0">
    <dxf>
      <font>
        <sz val="11"/>
        <color theme="1"/>
        <name val="Calibri"/>
        <scheme val="none"/>
      </font>
      <numFmt numFmtId="1" formatCode="0"/>
    </dxf>
  </rfmt>
  <rfmt sheetId="1" sqref="AO435" start="0" length="0">
    <dxf>
      <font>
        <sz val="11"/>
        <color theme="1"/>
        <name val="Calibri"/>
        <scheme val="none"/>
      </font>
    </dxf>
  </rfmt>
  <rfmt sheetId="1" sqref="AP435" start="0" length="0">
    <dxf>
      <font>
        <sz val="11"/>
        <color theme="1"/>
        <name val="Calibri"/>
        <scheme val="none"/>
      </font>
    </dxf>
  </rfmt>
  <rfmt sheetId="1" sqref="AQ435" start="0" length="0">
    <dxf>
      <font>
        <sz val="11"/>
        <color theme="1"/>
        <name val="Calibri"/>
        <scheme val="none"/>
      </font>
      <numFmt numFmtId="164" formatCode="_-* #,##0_-;\-* #,##0_-;_-* &quot;-&quot;??_-;_-@_-"/>
    </dxf>
  </rfmt>
  <rfmt sheetId="1" sqref="AR435" start="0" length="0">
    <dxf>
      <font>
        <sz val="11"/>
        <color theme="1"/>
        <name val="Calibri"/>
        <scheme val="none"/>
      </font>
      <numFmt numFmtId="164" formatCode="_-* #,##0_-;\-* #,##0_-;_-* &quot;-&quot;??_-;_-@_-"/>
    </dxf>
  </rfmt>
  <rfmt sheetId="1" sqref="AS435" start="0" length="0">
    <dxf>
      <font>
        <sz val="11"/>
        <color theme="1"/>
        <name val="Calibri"/>
        <scheme val="none"/>
      </font>
      <numFmt numFmtId="164" formatCode="_-* #,##0_-;\-* #,##0_-;_-* &quot;-&quot;??_-;_-@_-"/>
    </dxf>
  </rfmt>
  <rfmt sheetId="1" sqref="AT435" start="0" length="0">
    <dxf>
      <font>
        <sz val="11"/>
        <color theme="1"/>
        <name val="Calibri"/>
        <scheme val="none"/>
      </font>
      <numFmt numFmtId="164" formatCode="_-* #,##0_-;\-* #,##0_-;_-* &quot;-&quot;??_-;_-@_-"/>
    </dxf>
  </rfmt>
  <rfmt sheetId="1" sqref="AU435" start="0" length="0">
    <dxf>
      <font>
        <sz val="11"/>
        <color theme="1"/>
        <name val="Calibri"/>
        <scheme val="none"/>
      </font>
    </dxf>
  </rfmt>
  <rfmt sheetId="1" sqref="AV435" start="0" length="0">
    <dxf>
      <font>
        <sz val="11"/>
        <color theme="1"/>
        <name val="Calibri"/>
        <scheme val="none"/>
      </font>
    </dxf>
  </rfmt>
  <rfmt sheetId="1" sqref="AW435" start="0" length="0">
    <dxf>
      <font>
        <sz val="11"/>
        <color theme="1"/>
        <name val="Calibri"/>
        <scheme val="none"/>
      </font>
    </dxf>
  </rfmt>
  <rfmt sheetId="1" sqref="AX435" start="0" length="0">
    <dxf>
      <font>
        <sz val="11"/>
        <color theme="1"/>
        <name val="Calibri"/>
        <scheme val="none"/>
      </font>
    </dxf>
  </rfmt>
  <rfmt sheetId="1" sqref="AY435" start="0" length="0">
    <dxf>
      <font>
        <sz val="11"/>
        <color theme="1"/>
        <name val="Calibri"/>
        <scheme val="none"/>
      </font>
    </dxf>
  </rfmt>
  <rfmt sheetId="1" sqref="A435:XFD435" start="0" length="0">
    <dxf>
      <font>
        <sz val="11"/>
        <color theme="1"/>
        <name val="Calibri"/>
        <scheme val="none"/>
      </font>
    </dxf>
  </rfmt>
  <rfmt sheetId="1" sqref="A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3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3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36" start="0" length="0">
    <dxf>
      <font>
        <sz val="11"/>
        <color theme="1"/>
        <name val="Calibri"/>
        <scheme val="none"/>
      </font>
    </dxf>
  </rfmt>
  <rfmt sheetId="1" sqref="AM436" start="0" length="0">
    <dxf>
      <font>
        <sz val="11"/>
        <color theme="1"/>
        <name val="Calibri"/>
        <scheme val="none"/>
      </font>
      <numFmt numFmtId="1" formatCode="0"/>
    </dxf>
  </rfmt>
  <rfmt sheetId="1" sqref="AN436" start="0" length="0">
    <dxf>
      <font>
        <sz val="11"/>
        <color theme="1"/>
        <name val="Calibri"/>
        <scheme val="none"/>
      </font>
      <numFmt numFmtId="1" formatCode="0"/>
    </dxf>
  </rfmt>
  <rfmt sheetId="1" sqref="AO436" start="0" length="0">
    <dxf>
      <font>
        <sz val="11"/>
        <color theme="1"/>
        <name val="Calibri"/>
        <scheme val="none"/>
      </font>
    </dxf>
  </rfmt>
  <rfmt sheetId="1" sqref="AP436" start="0" length="0">
    <dxf>
      <font>
        <sz val="11"/>
        <color theme="1"/>
        <name val="Calibri"/>
        <scheme val="none"/>
      </font>
    </dxf>
  </rfmt>
  <rfmt sheetId="1" sqref="AQ436" start="0" length="0">
    <dxf>
      <font>
        <sz val="11"/>
        <color theme="1"/>
        <name val="Calibri"/>
        <scheme val="none"/>
      </font>
      <numFmt numFmtId="164" formatCode="_-* #,##0_-;\-* #,##0_-;_-* &quot;-&quot;??_-;_-@_-"/>
    </dxf>
  </rfmt>
  <rfmt sheetId="1" sqref="AR436" start="0" length="0">
    <dxf>
      <font>
        <sz val="11"/>
        <color theme="1"/>
        <name val="Calibri"/>
        <scheme val="none"/>
      </font>
      <numFmt numFmtId="164" formatCode="_-* #,##0_-;\-* #,##0_-;_-* &quot;-&quot;??_-;_-@_-"/>
    </dxf>
  </rfmt>
  <rfmt sheetId="1" sqref="AS436" start="0" length="0">
    <dxf>
      <font>
        <sz val="11"/>
        <color theme="1"/>
        <name val="Calibri"/>
        <scheme val="none"/>
      </font>
      <numFmt numFmtId="164" formatCode="_-* #,##0_-;\-* #,##0_-;_-* &quot;-&quot;??_-;_-@_-"/>
    </dxf>
  </rfmt>
  <rfmt sheetId="1" sqref="AT436" start="0" length="0">
    <dxf>
      <font>
        <sz val="11"/>
        <color theme="1"/>
        <name val="Calibri"/>
        <scheme val="none"/>
      </font>
      <numFmt numFmtId="164" formatCode="_-* #,##0_-;\-* #,##0_-;_-* &quot;-&quot;??_-;_-@_-"/>
    </dxf>
  </rfmt>
  <rfmt sheetId="1" sqref="AU436" start="0" length="0">
    <dxf>
      <font>
        <sz val="11"/>
        <color theme="1"/>
        <name val="Calibri"/>
        <scheme val="none"/>
      </font>
    </dxf>
  </rfmt>
  <rfmt sheetId="1" sqref="AV436" start="0" length="0">
    <dxf>
      <font>
        <sz val="11"/>
        <color theme="1"/>
        <name val="Calibri"/>
        <scheme val="none"/>
      </font>
    </dxf>
  </rfmt>
  <rfmt sheetId="1" sqref="AW436" start="0" length="0">
    <dxf>
      <font>
        <sz val="11"/>
        <color theme="1"/>
        <name val="Calibri"/>
        <scheme val="none"/>
      </font>
    </dxf>
  </rfmt>
  <rfmt sheetId="1" sqref="AX436" start="0" length="0">
    <dxf>
      <font>
        <sz val="11"/>
        <color theme="1"/>
        <name val="Calibri"/>
        <scheme val="none"/>
      </font>
    </dxf>
  </rfmt>
  <rfmt sheetId="1" sqref="AY436" start="0" length="0">
    <dxf>
      <font>
        <sz val="11"/>
        <color theme="1"/>
        <name val="Calibri"/>
        <scheme val="none"/>
      </font>
    </dxf>
  </rfmt>
  <rfmt sheetId="1" sqref="A436:XFD436" start="0" length="0">
    <dxf>
      <font>
        <sz val="11"/>
        <color theme="1"/>
        <name val="Calibri"/>
        <scheme val="none"/>
      </font>
    </dxf>
  </rfmt>
  <rfmt sheetId="1" sqref="A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3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3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37" start="0" length="0">
    <dxf>
      <font>
        <sz val="11"/>
        <color theme="1"/>
        <name val="Calibri"/>
        <scheme val="none"/>
      </font>
    </dxf>
  </rfmt>
  <rfmt sheetId="1" sqref="AM437" start="0" length="0">
    <dxf>
      <font>
        <sz val="11"/>
        <color theme="1"/>
        <name val="Calibri"/>
        <scheme val="none"/>
      </font>
      <numFmt numFmtId="1" formatCode="0"/>
    </dxf>
  </rfmt>
  <rfmt sheetId="1" sqref="AN437" start="0" length="0">
    <dxf>
      <font>
        <sz val="11"/>
        <color theme="1"/>
        <name val="Calibri"/>
        <scheme val="none"/>
      </font>
      <numFmt numFmtId="1" formatCode="0"/>
    </dxf>
  </rfmt>
  <rfmt sheetId="1" sqref="AO437" start="0" length="0">
    <dxf>
      <font>
        <sz val="11"/>
        <color theme="1"/>
        <name val="Calibri"/>
        <scheme val="none"/>
      </font>
    </dxf>
  </rfmt>
  <rfmt sheetId="1" sqref="AP437" start="0" length="0">
    <dxf>
      <font>
        <sz val="11"/>
        <color theme="1"/>
        <name val="Calibri"/>
        <scheme val="none"/>
      </font>
    </dxf>
  </rfmt>
  <rfmt sheetId="1" sqref="AQ437" start="0" length="0">
    <dxf>
      <font>
        <sz val="11"/>
        <color theme="1"/>
        <name val="Calibri"/>
        <scheme val="none"/>
      </font>
      <numFmt numFmtId="164" formatCode="_-* #,##0_-;\-* #,##0_-;_-* &quot;-&quot;??_-;_-@_-"/>
    </dxf>
  </rfmt>
  <rfmt sheetId="1" sqref="AR437" start="0" length="0">
    <dxf>
      <font>
        <sz val="11"/>
        <color theme="1"/>
        <name val="Calibri"/>
        <scheme val="none"/>
      </font>
      <numFmt numFmtId="164" formatCode="_-* #,##0_-;\-* #,##0_-;_-* &quot;-&quot;??_-;_-@_-"/>
    </dxf>
  </rfmt>
  <rfmt sheetId="1" sqref="AS437" start="0" length="0">
    <dxf>
      <font>
        <sz val="11"/>
        <color theme="1"/>
        <name val="Calibri"/>
        <scheme val="none"/>
      </font>
      <numFmt numFmtId="164" formatCode="_-* #,##0_-;\-* #,##0_-;_-* &quot;-&quot;??_-;_-@_-"/>
    </dxf>
  </rfmt>
  <rfmt sheetId="1" sqref="AT437" start="0" length="0">
    <dxf>
      <font>
        <sz val="11"/>
        <color theme="1"/>
        <name val="Calibri"/>
        <scheme val="none"/>
      </font>
      <numFmt numFmtId="164" formatCode="_-* #,##0_-;\-* #,##0_-;_-* &quot;-&quot;??_-;_-@_-"/>
    </dxf>
  </rfmt>
  <rfmt sheetId="1" sqref="AU437" start="0" length="0">
    <dxf>
      <font>
        <sz val="11"/>
        <color theme="1"/>
        <name val="Calibri"/>
        <scheme val="none"/>
      </font>
    </dxf>
  </rfmt>
  <rfmt sheetId="1" sqref="AV437" start="0" length="0">
    <dxf>
      <font>
        <sz val="11"/>
        <color theme="1"/>
        <name val="Calibri"/>
        <scheme val="none"/>
      </font>
    </dxf>
  </rfmt>
  <rfmt sheetId="1" sqref="AW437" start="0" length="0">
    <dxf>
      <font>
        <sz val="11"/>
        <color theme="1"/>
        <name val="Calibri"/>
        <scheme val="none"/>
      </font>
    </dxf>
  </rfmt>
  <rfmt sheetId="1" sqref="AX437" start="0" length="0">
    <dxf>
      <font>
        <sz val="11"/>
        <color theme="1"/>
        <name val="Calibri"/>
        <scheme val="none"/>
      </font>
    </dxf>
  </rfmt>
  <rfmt sheetId="1" sqref="AY437" start="0" length="0">
    <dxf>
      <font>
        <sz val="11"/>
        <color theme="1"/>
        <name val="Calibri"/>
        <scheme val="none"/>
      </font>
    </dxf>
  </rfmt>
  <rfmt sheetId="1" sqref="A437:XFD437" start="0" length="0">
    <dxf>
      <font>
        <sz val="11"/>
        <color theme="1"/>
        <name val="Calibri"/>
        <scheme val="none"/>
      </font>
    </dxf>
  </rfmt>
  <rfmt sheetId="1" sqref="A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3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3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38" start="0" length="0">
    <dxf>
      <font>
        <sz val="11"/>
        <color theme="1"/>
        <name val="Calibri"/>
        <scheme val="none"/>
      </font>
    </dxf>
  </rfmt>
  <rfmt sheetId="1" sqref="AM438" start="0" length="0">
    <dxf>
      <font>
        <sz val="11"/>
        <color theme="1"/>
        <name val="Calibri"/>
        <scheme val="none"/>
      </font>
      <numFmt numFmtId="1" formatCode="0"/>
    </dxf>
  </rfmt>
  <rfmt sheetId="1" sqref="AN438" start="0" length="0">
    <dxf>
      <font>
        <sz val="11"/>
        <color theme="1"/>
        <name val="Calibri"/>
        <scheme val="none"/>
      </font>
      <numFmt numFmtId="1" formatCode="0"/>
    </dxf>
  </rfmt>
  <rfmt sheetId="1" sqref="AO438" start="0" length="0">
    <dxf>
      <font>
        <sz val="11"/>
        <color theme="1"/>
        <name val="Calibri"/>
        <scheme val="none"/>
      </font>
    </dxf>
  </rfmt>
  <rfmt sheetId="1" sqref="AP438" start="0" length="0">
    <dxf>
      <font>
        <sz val="11"/>
        <color theme="1"/>
        <name val="Calibri"/>
        <scheme val="none"/>
      </font>
    </dxf>
  </rfmt>
  <rfmt sheetId="1" sqref="AQ438" start="0" length="0">
    <dxf>
      <font>
        <sz val="11"/>
        <color theme="1"/>
        <name val="Calibri"/>
        <scheme val="none"/>
      </font>
      <numFmt numFmtId="164" formatCode="_-* #,##0_-;\-* #,##0_-;_-* &quot;-&quot;??_-;_-@_-"/>
    </dxf>
  </rfmt>
  <rfmt sheetId="1" sqref="AR438" start="0" length="0">
    <dxf>
      <font>
        <sz val="11"/>
        <color theme="1"/>
        <name val="Calibri"/>
        <scheme val="none"/>
      </font>
      <numFmt numFmtId="164" formatCode="_-* #,##0_-;\-* #,##0_-;_-* &quot;-&quot;??_-;_-@_-"/>
    </dxf>
  </rfmt>
  <rfmt sheetId="1" sqref="AS438" start="0" length="0">
    <dxf>
      <font>
        <sz val="11"/>
        <color theme="1"/>
        <name val="Calibri"/>
        <scheme val="none"/>
      </font>
      <numFmt numFmtId="164" formatCode="_-* #,##0_-;\-* #,##0_-;_-* &quot;-&quot;??_-;_-@_-"/>
    </dxf>
  </rfmt>
  <rfmt sheetId="1" sqref="AT438" start="0" length="0">
    <dxf>
      <font>
        <sz val="11"/>
        <color theme="1"/>
        <name val="Calibri"/>
        <scheme val="none"/>
      </font>
      <numFmt numFmtId="164" formatCode="_-* #,##0_-;\-* #,##0_-;_-* &quot;-&quot;??_-;_-@_-"/>
    </dxf>
  </rfmt>
  <rfmt sheetId="1" sqref="AU438" start="0" length="0">
    <dxf>
      <font>
        <sz val="11"/>
        <color theme="1"/>
        <name val="Calibri"/>
        <scheme val="none"/>
      </font>
    </dxf>
  </rfmt>
  <rfmt sheetId="1" sqref="AV438" start="0" length="0">
    <dxf>
      <font>
        <sz val="11"/>
        <color theme="1"/>
        <name val="Calibri"/>
        <scheme val="none"/>
      </font>
    </dxf>
  </rfmt>
  <rfmt sheetId="1" sqref="AW438" start="0" length="0">
    <dxf>
      <font>
        <sz val="11"/>
        <color theme="1"/>
        <name val="Calibri"/>
        <scheme val="none"/>
      </font>
    </dxf>
  </rfmt>
  <rfmt sheetId="1" sqref="AX438" start="0" length="0">
    <dxf>
      <font>
        <sz val="11"/>
        <color theme="1"/>
        <name val="Calibri"/>
        <scheme val="none"/>
      </font>
    </dxf>
  </rfmt>
  <rfmt sheetId="1" sqref="AY438" start="0" length="0">
    <dxf>
      <font>
        <sz val="11"/>
        <color theme="1"/>
        <name val="Calibri"/>
        <scheme val="none"/>
      </font>
    </dxf>
  </rfmt>
  <rfmt sheetId="1" sqref="A438:XFD438" start="0" length="0">
    <dxf>
      <font>
        <sz val="11"/>
        <color theme="1"/>
        <name val="Calibri"/>
        <scheme val="none"/>
      </font>
    </dxf>
  </rfmt>
  <rfmt sheetId="1" sqref="A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3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3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39" start="0" length="0">
    <dxf>
      <font>
        <sz val="11"/>
        <color theme="1"/>
        <name val="Calibri"/>
        <scheme val="none"/>
      </font>
    </dxf>
  </rfmt>
  <rfmt sheetId="1" sqref="AM439" start="0" length="0">
    <dxf>
      <font>
        <sz val="11"/>
        <color theme="1"/>
        <name val="Calibri"/>
        <scheme val="none"/>
      </font>
      <numFmt numFmtId="1" formatCode="0"/>
    </dxf>
  </rfmt>
  <rfmt sheetId="1" sqref="AN439" start="0" length="0">
    <dxf>
      <font>
        <sz val="11"/>
        <color theme="1"/>
        <name val="Calibri"/>
        <scheme val="none"/>
      </font>
      <numFmt numFmtId="1" formatCode="0"/>
    </dxf>
  </rfmt>
  <rfmt sheetId="1" sqref="AO439" start="0" length="0">
    <dxf>
      <font>
        <sz val="11"/>
        <color theme="1"/>
        <name val="Calibri"/>
        <scheme val="none"/>
      </font>
    </dxf>
  </rfmt>
  <rfmt sheetId="1" sqref="AP439" start="0" length="0">
    <dxf>
      <font>
        <sz val="11"/>
        <color theme="1"/>
        <name val="Calibri"/>
        <scheme val="none"/>
      </font>
    </dxf>
  </rfmt>
  <rfmt sheetId="1" sqref="AQ439" start="0" length="0">
    <dxf>
      <font>
        <sz val="11"/>
        <color theme="1"/>
        <name val="Calibri"/>
        <scheme val="none"/>
      </font>
      <numFmt numFmtId="164" formatCode="_-* #,##0_-;\-* #,##0_-;_-* &quot;-&quot;??_-;_-@_-"/>
    </dxf>
  </rfmt>
  <rfmt sheetId="1" sqref="AR439" start="0" length="0">
    <dxf>
      <font>
        <sz val="11"/>
        <color theme="1"/>
        <name val="Calibri"/>
        <scheme val="none"/>
      </font>
      <numFmt numFmtId="164" formatCode="_-* #,##0_-;\-* #,##0_-;_-* &quot;-&quot;??_-;_-@_-"/>
    </dxf>
  </rfmt>
  <rfmt sheetId="1" sqref="AS439" start="0" length="0">
    <dxf>
      <font>
        <sz val="11"/>
        <color theme="1"/>
        <name val="Calibri"/>
        <scheme val="none"/>
      </font>
      <numFmt numFmtId="164" formatCode="_-* #,##0_-;\-* #,##0_-;_-* &quot;-&quot;??_-;_-@_-"/>
    </dxf>
  </rfmt>
  <rfmt sheetId="1" sqref="AT439" start="0" length="0">
    <dxf>
      <font>
        <sz val="11"/>
        <color theme="1"/>
        <name val="Calibri"/>
        <scheme val="none"/>
      </font>
      <numFmt numFmtId="164" formatCode="_-* #,##0_-;\-* #,##0_-;_-* &quot;-&quot;??_-;_-@_-"/>
    </dxf>
  </rfmt>
  <rfmt sheetId="1" sqref="AU439" start="0" length="0">
    <dxf>
      <font>
        <sz val="11"/>
        <color theme="1"/>
        <name val="Calibri"/>
        <scheme val="none"/>
      </font>
    </dxf>
  </rfmt>
  <rfmt sheetId="1" sqref="AV439" start="0" length="0">
    <dxf>
      <font>
        <sz val="11"/>
        <color theme="1"/>
        <name val="Calibri"/>
        <scheme val="none"/>
      </font>
    </dxf>
  </rfmt>
  <rfmt sheetId="1" sqref="AW439" start="0" length="0">
    <dxf>
      <font>
        <sz val="11"/>
        <color theme="1"/>
        <name val="Calibri"/>
        <scheme val="none"/>
      </font>
    </dxf>
  </rfmt>
  <rfmt sheetId="1" sqref="AX439" start="0" length="0">
    <dxf>
      <font>
        <sz val="11"/>
        <color theme="1"/>
        <name val="Calibri"/>
        <scheme val="none"/>
      </font>
    </dxf>
  </rfmt>
  <rfmt sheetId="1" sqref="AY439" start="0" length="0">
    <dxf>
      <font>
        <sz val="11"/>
        <color theme="1"/>
        <name val="Calibri"/>
        <scheme val="none"/>
      </font>
    </dxf>
  </rfmt>
  <rfmt sheetId="1" sqref="A439:XFD439" start="0" length="0">
    <dxf>
      <font>
        <sz val="11"/>
        <color theme="1"/>
        <name val="Calibri"/>
        <scheme val="none"/>
      </font>
    </dxf>
  </rfmt>
  <rfmt sheetId="1" sqref="A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4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4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40" start="0" length="0">
    <dxf>
      <font>
        <sz val="11"/>
        <color theme="1"/>
        <name val="Calibri"/>
        <scheme val="none"/>
      </font>
    </dxf>
  </rfmt>
  <rfmt sheetId="1" sqref="AM440" start="0" length="0">
    <dxf>
      <font>
        <sz val="11"/>
        <color theme="1"/>
        <name val="Calibri"/>
        <scheme val="none"/>
      </font>
      <numFmt numFmtId="1" formatCode="0"/>
    </dxf>
  </rfmt>
  <rfmt sheetId="1" sqref="AN440" start="0" length="0">
    <dxf>
      <font>
        <sz val="11"/>
        <color theme="1"/>
        <name val="Calibri"/>
        <scheme val="none"/>
      </font>
      <numFmt numFmtId="1" formatCode="0"/>
    </dxf>
  </rfmt>
  <rfmt sheetId="1" sqref="AO440" start="0" length="0">
    <dxf>
      <font>
        <sz val="11"/>
        <color theme="1"/>
        <name val="Calibri"/>
        <scheme val="none"/>
      </font>
    </dxf>
  </rfmt>
  <rfmt sheetId="1" sqref="AP440" start="0" length="0">
    <dxf>
      <font>
        <sz val="11"/>
        <color theme="1"/>
        <name val="Calibri"/>
        <scheme val="none"/>
      </font>
    </dxf>
  </rfmt>
  <rfmt sheetId="1" sqref="AQ440" start="0" length="0">
    <dxf>
      <font>
        <sz val="11"/>
        <color theme="1"/>
        <name val="Calibri"/>
        <scheme val="none"/>
      </font>
      <numFmt numFmtId="164" formatCode="_-* #,##0_-;\-* #,##0_-;_-* &quot;-&quot;??_-;_-@_-"/>
    </dxf>
  </rfmt>
  <rfmt sheetId="1" sqref="AR440" start="0" length="0">
    <dxf>
      <font>
        <sz val="11"/>
        <color theme="1"/>
        <name val="Calibri"/>
        <scheme val="none"/>
      </font>
      <numFmt numFmtId="164" formatCode="_-* #,##0_-;\-* #,##0_-;_-* &quot;-&quot;??_-;_-@_-"/>
    </dxf>
  </rfmt>
  <rfmt sheetId="1" sqref="AS440" start="0" length="0">
    <dxf>
      <font>
        <sz val="11"/>
        <color theme="1"/>
        <name val="Calibri"/>
        <scheme val="none"/>
      </font>
      <numFmt numFmtId="164" formatCode="_-* #,##0_-;\-* #,##0_-;_-* &quot;-&quot;??_-;_-@_-"/>
    </dxf>
  </rfmt>
  <rfmt sheetId="1" sqref="AT440" start="0" length="0">
    <dxf>
      <font>
        <sz val="11"/>
        <color theme="1"/>
        <name val="Calibri"/>
        <scheme val="none"/>
      </font>
      <numFmt numFmtId="164" formatCode="_-* #,##0_-;\-* #,##0_-;_-* &quot;-&quot;??_-;_-@_-"/>
    </dxf>
  </rfmt>
  <rfmt sheetId="1" sqref="AU440" start="0" length="0">
    <dxf>
      <font>
        <sz val="11"/>
        <color theme="1"/>
        <name val="Calibri"/>
        <scheme val="none"/>
      </font>
    </dxf>
  </rfmt>
  <rfmt sheetId="1" sqref="AV440" start="0" length="0">
    <dxf>
      <font>
        <sz val="11"/>
        <color theme="1"/>
        <name val="Calibri"/>
        <scheme val="none"/>
      </font>
    </dxf>
  </rfmt>
  <rfmt sheetId="1" sqref="AW440" start="0" length="0">
    <dxf>
      <font>
        <sz val="11"/>
        <color theme="1"/>
        <name val="Calibri"/>
        <scheme val="none"/>
      </font>
    </dxf>
  </rfmt>
  <rfmt sheetId="1" sqref="AX440" start="0" length="0">
    <dxf>
      <font>
        <sz val="11"/>
        <color theme="1"/>
        <name val="Calibri"/>
        <scheme val="none"/>
      </font>
    </dxf>
  </rfmt>
  <rfmt sheetId="1" sqref="AY440" start="0" length="0">
    <dxf>
      <font>
        <sz val="11"/>
        <color theme="1"/>
        <name val="Calibri"/>
        <scheme val="none"/>
      </font>
    </dxf>
  </rfmt>
  <rfmt sheetId="1" sqref="A440:XFD440" start="0" length="0">
    <dxf>
      <font>
        <sz val="11"/>
        <color theme="1"/>
        <name val="Calibri"/>
        <scheme val="none"/>
      </font>
    </dxf>
  </rfmt>
  <rfmt sheetId="1" sqref="A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4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4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41" start="0" length="0">
    <dxf>
      <font>
        <sz val="11"/>
        <color theme="1"/>
        <name val="Calibri"/>
        <scheme val="none"/>
      </font>
    </dxf>
  </rfmt>
  <rfmt sheetId="1" sqref="AM441" start="0" length="0">
    <dxf>
      <font>
        <sz val="11"/>
        <color theme="1"/>
        <name val="Calibri"/>
        <scheme val="none"/>
      </font>
      <numFmt numFmtId="1" formatCode="0"/>
    </dxf>
  </rfmt>
  <rfmt sheetId="1" sqref="AN441" start="0" length="0">
    <dxf>
      <font>
        <sz val="11"/>
        <color theme="1"/>
        <name val="Calibri"/>
        <scheme val="none"/>
      </font>
      <numFmt numFmtId="1" formatCode="0"/>
    </dxf>
  </rfmt>
  <rfmt sheetId="1" sqref="AO441" start="0" length="0">
    <dxf>
      <font>
        <sz val="11"/>
        <color theme="1"/>
        <name val="Calibri"/>
        <scheme val="none"/>
      </font>
    </dxf>
  </rfmt>
  <rfmt sheetId="1" sqref="AP441" start="0" length="0">
    <dxf>
      <font>
        <sz val="11"/>
        <color theme="1"/>
        <name val="Calibri"/>
        <scheme val="none"/>
      </font>
    </dxf>
  </rfmt>
  <rfmt sheetId="1" sqref="AQ441" start="0" length="0">
    <dxf>
      <font>
        <sz val="11"/>
        <color theme="1"/>
        <name val="Calibri"/>
        <scheme val="none"/>
      </font>
      <numFmt numFmtId="164" formatCode="_-* #,##0_-;\-* #,##0_-;_-* &quot;-&quot;??_-;_-@_-"/>
    </dxf>
  </rfmt>
  <rfmt sheetId="1" sqref="AR441" start="0" length="0">
    <dxf>
      <font>
        <sz val="11"/>
        <color theme="1"/>
        <name val="Calibri"/>
        <scheme val="none"/>
      </font>
      <numFmt numFmtId="164" formatCode="_-* #,##0_-;\-* #,##0_-;_-* &quot;-&quot;??_-;_-@_-"/>
    </dxf>
  </rfmt>
  <rfmt sheetId="1" sqref="AS441" start="0" length="0">
    <dxf>
      <font>
        <sz val="11"/>
        <color theme="1"/>
        <name val="Calibri"/>
        <scheme val="none"/>
      </font>
      <numFmt numFmtId="164" formatCode="_-* #,##0_-;\-* #,##0_-;_-* &quot;-&quot;??_-;_-@_-"/>
    </dxf>
  </rfmt>
  <rfmt sheetId="1" sqref="AT441" start="0" length="0">
    <dxf>
      <font>
        <sz val="11"/>
        <color theme="1"/>
        <name val="Calibri"/>
        <scheme val="none"/>
      </font>
      <numFmt numFmtId="164" formatCode="_-* #,##0_-;\-* #,##0_-;_-* &quot;-&quot;??_-;_-@_-"/>
    </dxf>
  </rfmt>
  <rfmt sheetId="1" sqref="AU441" start="0" length="0">
    <dxf>
      <font>
        <sz val="11"/>
        <color theme="1"/>
        <name val="Calibri"/>
        <scheme val="none"/>
      </font>
    </dxf>
  </rfmt>
  <rfmt sheetId="1" sqref="AV441" start="0" length="0">
    <dxf>
      <font>
        <sz val="11"/>
        <color theme="1"/>
        <name val="Calibri"/>
        <scheme val="none"/>
      </font>
    </dxf>
  </rfmt>
  <rfmt sheetId="1" sqref="AW441" start="0" length="0">
    <dxf>
      <font>
        <sz val="11"/>
        <color theme="1"/>
        <name val="Calibri"/>
        <scheme val="none"/>
      </font>
    </dxf>
  </rfmt>
  <rfmt sheetId="1" sqref="AX441" start="0" length="0">
    <dxf>
      <font>
        <sz val="11"/>
        <color theme="1"/>
        <name val="Calibri"/>
        <scheme val="none"/>
      </font>
    </dxf>
  </rfmt>
  <rfmt sheetId="1" sqref="AY441" start="0" length="0">
    <dxf>
      <font>
        <sz val="11"/>
        <color theme="1"/>
        <name val="Calibri"/>
        <scheme val="none"/>
      </font>
    </dxf>
  </rfmt>
  <rfmt sheetId="1" sqref="A441:XFD441" start="0" length="0">
    <dxf>
      <font>
        <sz val="11"/>
        <color theme="1"/>
        <name val="Calibri"/>
        <scheme val="none"/>
      </font>
    </dxf>
  </rfmt>
  <rfmt sheetId="1" sqref="A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4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4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42" start="0" length="0">
    <dxf>
      <font>
        <sz val="11"/>
        <color theme="1"/>
        <name val="Calibri"/>
        <scheme val="none"/>
      </font>
    </dxf>
  </rfmt>
  <rfmt sheetId="1" sqref="AM442" start="0" length="0">
    <dxf>
      <font>
        <sz val="11"/>
        <color theme="1"/>
        <name val="Calibri"/>
        <scheme val="none"/>
      </font>
      <numFmt numFmtId="1" formatCode="0"/>
    </dxf>
  </rfmt>
  <rfmt sheetId="1" sqref="AN442" start="0" length="0">
    <dxf>
      <font>
        <sz val="11"/>
        <color theme="1"/>
        <name val="Calibri"/>
        <scheme val="none"/>
      </font>
      <numFmt numFmtId="1" formatCode="0"/>
    </dxf>
  </rfmt>
  <rfmt sheetId="1" sqref="AO442" start="0" length="0">
    <dxf>
      <font>
        <sz val="11"/>
        <color theme="1"/>
        <name val="Calibri"/>
        <scheme val="none"/>
      </font>
    </dxf>
  </rfmt>
  <rfmt sheetId="1" sqref="AP442" start="0" length="0">
    <dxf>
      <font>
        <sz val="11"/>
        <color theme="1"/>
        <name val="Calibri"/>
        <scheme val="none"/>
      </font>
    </dxf>
  </rfmt>
  <rfmt sheetId="1" sqref="AQ442" start="0" length="0">
    <dxf>
      <font>
        <sz val="11"/>
        <color theme="1"/>
        <name val="Calibri"/>
        <scheme val="none"/>
      </font>
      <numFmt numFmtId="164" formatCode="_-* #,##0_-;\-* #,##0_-;_-* &quot;-&quot;??_-;_-@_-"/>
    </dxf>
  </rfmt>
  <rfmt sheetId="1" sqref="AR442" start="0" length="0">
    <dxf>
      <font>
        <sz val="11"/>
        <color theme="1"/>
        <name val="Calibri"/>
        <scheme val="none"/>
      </font>
      <numFmt numFmtId="164" formatCode="_-* #,##0_-;\-* #,##0_-;_-* &quot;-&quot;??_-;_-@_-"/>
    </dxf>
  </rfmt>
  <rfmt sheetId="1" sqref="AS442" start="0" length="0">
    <dxf>
      <font>
        <sz val="11"/>
        <color theme="1"/>
        <name val="Calibri"/>
        <scheme val="none"/>
      </font>
      <numFmt numFmtId="164" formatCode="_-* #,##0_-;\-* #,##0_-;_-* &quot;-&quot;??_-;_-@_-"/>
    </dxf>
  </rfmt>
  <rfmt sheetId="1" sqref="AT442" start="0" length="0">
    <dxf>
      <font>
        <sz val="11"/>
        <color theme="1"/>
        <name val="Calibri"/>
        <scheme val="none"/>
      </font>
      <numFmt numFmtId="164" formatCode="_-* #,##0_-;\-* #,##0_-;_-* &quot;-&quot;??_-;_-@_-"/>
    </dxf>
  </rfmt>
  <rfmt sheetId="1" sqref="AU442" start="0" length="0">
    <dxf>
      <font>
        <sz val="11"/>
        <color theme="1"/>
        <name val="Calibri"/>
        <scheme val="none"/>
      </font>
    </dxf>
  </rfmt>
  <rfmt sheetId="1" sqref="AV442" start="0" length="0">
    <dxf>
      <font>
        <sz val="11"/>
        <color theme="1"/>
        <name val="Calibri"/>
        <scheme val="none"/>
      </font>
    </dxf>
  </rfmt>
  <rfmt sheetId="1" sqref="AW442" start="0" length="0">
    <dxf>
      <font>
        <sz val="11"/>
        <color theme="1"/>
        <name val="Calibri"/>
        <scheme val="none"/>
      </font>
    </dxf>
  </rfmt>
  <rfmt sheetId="1" sqref="AX442" start="0" length="0">
    <dxf>
      <font>
        <sz val="11"/>
        <color theme="1"/>
        <name val="Calibri"/>
        <scheme val="none"/>
      </font>
    </dxf>
  </rfmt>
  <rfmt sheetId="1" sqref="AY442" start="0" length="0">
    <dxf>
      <font>
        <sz val="11"/>
        <color theme="1"/>
        <name val="Calibri"/>
        <scheme val="none"/>
      </font>
    </dxf>
  </rfmt>
  <rfmt sheetId="1" sqref="A442:XFD442" start="0" length="0">
    <dxf>
      <font>
        <sz val="11"/>
        <color theme="1"/>
        <name val="Calibri"/>
        <scheme val="none"/>
      </font>
    </dxf>
  </rfmt>
  <rfmt sheetId="1" sqref="A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4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4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43" start="0" length="0">
    <dxf>
      <font>
        <sz val="11"/>
        <color theme="1"/>
        <name val="Calibri"/>
        <scheme val="none"/>
      </font>
    </dxf>
  </rfmt>
  <rfmt sheetId="1" sqref="AM443" start="0" length="0">
    <dxf>
      <font>
        <sz val="11"/>
        <color theme="1"/>
        <name val="Calibri"/>
        <scheme val="none"/>
      </font>
      <numFmt numFmtId="1" formatCode="0"/>
    </dxf>
  </rfmt>
  <rfmt sheetId="1" sqref="AN443" start="0" length="0">
    <dxf>
      <font>
        <sz val="11"/>
        <color theme="1"/>
        <name val="Calibri"/>
        <scheme val="none"/>
      </font>
      <numFmt numFmtId="1" formatCode="0"/>
    </dxf>
  </rfmt>
  <rfmt sheetId="1" sqref="AO443" start="0" length="0">
    <dxf>
      <font>
        <sz val="11"/>
        <color theme="1"/>
        <name val="Calibri"/>
        <scheme val="none"/>
      </font>
    </dxf>
  </rfmt>
  <rfmt sheetId="1" sqref="AP443" start="0" length="0">
    <dxf>
      <font>
        <sz val="11"/>
        <color theme="1"/>
        <name val="Calibri"/>
        <scheme val="none"/>
      </font>
    </dxf>
  </rfmt>
  <rfmt sheetId="1" sqref="AQ443" start="0" length="0">
    <dxf>
      <font>
        <sz val="11"/>
        <color theme="1"/>
        <name val="Calibri"/>
        <scheme val="none"/>
      </font>
      <numFmt numFmtId="164" formatCode="_-* #,##0_-;\-* #,##0_-;_-* &quot;-&quot;??_-;_-@_-"/>
    </dxf>
  </rfmt>
  <rfmt sheetId="1" sqref="AR443" start="0" length="0">
    <dxf>
      <font>
        <sz val="11"/>
        <color theme="1"/>
        <name val="Calibri"/>
        <scheme val="none"/>
      </font>
      <numFmt numFmtId="164" formatCode="_-* #,##0_-;\-* #,##0_-;_-* &quot;-&quot;??_-;_-@_-"/>
    </dxf>
  </rfmt>
  <rfmt sheetId="1" sqref="AS443" start="0" length="0">
    <dxf>
      <font>
        <sz val="11"/>
        <color theme="1"/>
        <name val="Calibri"/>
        <scheme val="none"/>
      </font>
      <numFmt numFmtId="164" formatCode="_-* #,##0_-;\-* #,##0_-;_-* &quot;-&quot;??_-;_-@_-"/>
    </dxf>
  </rfmt>
  <rfmt sheetId="1" sqref="AT443" start="0" length="0">
    <dxf>
      <font>
        <sz val="11"/>
        <color theme="1"/>
        <name val="Calibri"/>
        <scheme val="none"/>
      </font>
      <numFmt numFmtId="164" formatCode="_-* #,##0_-;\-* #,##0_-;_-* &quot;-&quot;??_-;_-@_-"/>
    </dxf>
  </rfmt>
  <rfmt sheetId="1" sqref="AU443" start="0" length="0">
    <dxf>
      <font>
        <sz val="11"/>
        <color theme="1"/>
        <name val="Calibri"/>
        <scheme val="none"/>
      </font>
    </dxf>
  </rfmt>
  <rfmt sheetId="1" sqref="AV443" start="0" length="0">
    <dxf>
      <font>
        <sz val="11"/>
        <color theme="1"/>
        <name val="Calibri"/>
        <scheme val="none"/>
      </font>
    </dxf>
  </rfmt>
  <rfmt sheetId="1" sqref="AW443" start="0" length="0">
    <dxf>
      <font>
        <sz val="11"/>
        <color theme="1"/>
        <name val="Calibri"/>
        <scheme val="none"/>
      </font>
    </dxf>
  </rfmt>
  <rfmt sheetId="1" sqref="AX443" start="0" length="0">
    <dxf>
      <font>
        <sz val="11"/>
        <color theme="1"/>
        <name val="Calibri"/>
        <scheme val="none"/>
      </font>
    </dxf>
  </rfmt>
  <rfmt sheetId="1" sqref="AY443" start="0" length="0">
    <dxf>
      <font>
        <sz val="11"/>
        <color theme="1"/>
        <name val="Calibri"/>
        <scheme val="none"/>
      </font>
    </dxf>
  </rfmt>
  <rfmt sheetId="1" sqref="A443:XFD443" start="0" length="0">
    <dxf>
      <font>
        <sz val="11"/>
        <color theme="1"/>
        <name val="Calibri"/>
        <scheme val="none"/>
      </font>
    </dxf>
  </rfmt>
  <rfmt sheetId="1" sqref="A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4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4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44" start="0" length="0">
    <dxf>
      <font>
        <sz val="11"/>
        <color theme="1"/>
        <name val="Calibri"/>
        <scheme val="none"/>
      </font>
    </dxf>
  </rfmt>
  <rfmt sheetId="1" sqref="AM444" start="0" length="0">
    <dxf>
      <font>
        <sz val="11"/>
        <color theme="1"/>
        <name val="Calibri"/>
        <scheme val="none"/>
      </font>
      <numFmt numFmtId="1" formatCode="0"/>
    </dxf>
  </rfmt>
  <rfmt sheetId="1" sqref="AN444" start="0" length="0">
    <dxf>
      <font>
        <sz val="11"/>
        <color theme="1"/>
        <name val="Calibri"/>
        <scheme val="none"/>
      </font>
      <numFmt numFmtId="1" formatCode="0"/>
    </dxf>
  </rfmt>
  <rfmt sheetId="1" sqref="AO444" start="0" length="0">
    <dxf>
      <font>
        <sz val="11"/>
        <color theme="1"/>
        <name val="Calibri"/>
        <scheme val="none"/>
      </font>
    </dxf>
  </rfmt>
  <rfmt sheetId="1" sqref="AP444" start="0" length="0">
    <dxf>
      <font>
        <sz val="11"/>
        <color theme="1"/>
        <name val="Calibri"/>
        <scheme val="none"/>
      </font>
    </dxf>
  </rfmt>
  <rfmt sheetId="1" sqref="AQ444" start="0" length="0">
    <dxf>
      <font>
        <sz val="11"/>
        <color theme="1"/>
        <name val="Calibri"/>
        <scheme val="none"/>
      </font>
      <numFmt numFmtId="164" formatCode="_-* #,##0_-;\-* #,##0_-;_-* &quot;-&quot;??_-;_-@_-"/>
    </dxf>
  </rfmt>
  <rfmt sheetId="1" sqref="AR444" start="0" length="0">
    <dxf>
      <font>
        <sz val="11"/>
        <color theme="1"/>
        <name val="Calibri"/>
        <scheme val="none"/>
      </font>
      <numFmt numFmtId="164" formatCode="_-* #,##0_-;\-* #,##0_-;_-* &quot;-&quot;??_-;_-@_-"/>
    </dxf>
  </rfmt>
  <rfmt sheetId="1" sqref="AS444" start="0" length="0">
    <dxf>
      <font>
        <sz val="11"/>
        <color theme="1"/>
        <name val="Calibri"/>
        <scheme val="none"/>
      </font>
      <numFmt numFmtId="164" formatCode="_-* #,##0_-;\-* #,##0_-;_-* &quot;-&quot;??_-;_-@_-"/>
    </dxf>
  </rfmt>
  <rfmt sheetId="1" sqref="AT444" start="0" length="0">
    <dxf>
      <font>
        <sz val="11"/>
        <color theme="1"/>
        <name val="Calibri"/>
        <scheme val="none"/>
      </font>
      <numFmt numFmtId="164" formatCode="_-* #,##0_-;\-* #,##0_-;_-* &quot;-&quot;??_-;_-@_-"/>
    </dxf>
  </rfmt>
  <rfmt sheetId="1" sqref="AU444" start="0" length="0">
    <dxf>
      <font>
        <sz val="11"/>
        <color theme="1"/>
        <name val="Calibri"/>
        <scheme val="none"/>
      </font>
    </dxf>
  </rfmt>
  <rfmt sheetId="1" sqref="AV444" start="0" length="0">
    <dxf>
      <font>
        <sz val="11"/>
        <color theme="1"/>
        <name val="Calibri"/>
        <scheme val="none"/>
      </font>
    </dxf>
  </rfmt>
  <rfmt sheetId="1" sqref="AW444" start="0" length="0">
    <dxf>
      <font>
        <sz val="11"/>
        <color theme="1"/>
        <name val="Calibri"/>
        <scheme val="none"/>
      </font>
    </dxf>
  </rfmt>
  <rfmt sheetId="1" sqref="AX444" start="0" length="0">
    <dxf>
      <font>
        <sz val="11"/>
        <color theme="1"/>
        <name val="Calibri"/>
        <scheme val="none"/>
      </font>
    </dxf>
  </rfmt>
  <rfmt sheetId="1" sqref="AY444" start="0" length="0">
    <dxf>
      <font>
        <sz val="11"/>
        <color theme="1"/>
        <name val="Calibri"/>
        <scheme val="none"/>
      </font>
    </dxf>
  </rfmt>
  <rfmt sheetId="1" sqref="A444:XFD444" start="0" length="0">
    <dxf>
      <font>
        <sz val="11"/>
        <color theme="1"/>
        <name val="Calibri"/>
        <scheme val="none"/>
      </font>
    </dxf>
  </rfmt>
  <rfmt sheetId="1" sqref="A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4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4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45" start="0" length="0">
    <dxf>
      <font>
        <sz val="11"/>
        <color theme="1"/>
        <name val="Calibri"/>
        <scheme val="none"/>
      </font>
    </dxf>
  </rfmt>
  <rfmt sheetId="1" sqref="AM445" start="0" length="0">
    <dxf>
      <font>
        <sz val="11"/>
        <color theme="1"/>
        <name val="Calibri"/>
        <scheme val="none"/>
      </font>
      <numFmt numFmtId="1" formatCode="0"/>
    </dxf>
  </rfmt>
  <rfmt sheetId="1" sqref="AN445" start="0" length="0">
    <dxf>
      <font>
        <sz val="11"/>
        <color theme="1"/>
        <name val="Calibri"/>
        <scheme val="none"/>
      </font>
      <numFmt numFmtId="1" formatCode="0"/>
    </dxf>
  </rfmt>
  <rfmt sheetId="1" sqref="AO445" start="0" length="0">
    <dxf>
      <font>
        <sz val="11"/>
        <color theme="1"/>
        <name val="Calibri"/>
        <scheme val="none"/>
      </font>
    </dxf>
  </rfmt>
  <rfmt sheetId="1" sqref="AP445" start="0" length="0">
    <dxf>
      <font>
        <sz val="11"/>
        <color theme="1"/>
        <name val="Calibri"/>
        <scheme val="none"/>
      </font>
    </dxf>
  </rfmt>
  <rfmt sheetId="1" sqref="AQ445" start="0" length="0">
    <dxf>
      <font>
        <sz val="11"/>
        <color theme="1"/>
        <name val="Calibri"/>
        <scheme val="none"/>
      </font>
      <numFmt numFmtId="164" formatCode="_-* #,##0_-;\-* #,##0_-;_-* &quot;-&quot;??_-;_-@_-"/>
    </dxf>
  </rfmt>
  <rfmt sheetId="1" sqref="AR445" start="0" length="0">
    <dxf>
      <font>
        <sz val="11"/>
        <color theme="1"/>
        <name val="Calibri"/>
        <scheme val="none"/>
      </font>
      <numFmt numFmtId="164" formatCode="_-* #,##0_-;\-* #,##0_-;_-* &quot;-&quot;??_-;_-@_-"/>
    </dxf>
  </rfmt>
  <rfmt sheetId="1" sqref="AS445" start="0" length="0">
    <dxf>
      <font>
        <sz val="11"/>
        <color theme="1"/>
        <name val="Calibri"/>
        <scheme val="none"/>
      </font>
      <numFmt numFmtId="164" formatCode="_-* #,##0_-;\-* #,##0_-;_-* &quot;-&quot;??_-;_-@_-"/>
    </dxf>
  </rfmt>
  <rfmt sheetId="1" sqref="AT445" start="0" length="0">
    <dxf>
      <font>
        <sz val="11"/>
        <color theme="1"/>
        <name val="Calibri"/>
        <scheme val="none"/>
      </font>
      <numFmt numFmtId="164" formatCode="_-* #,##0_-;\-* #,##0_-;_-* &quot;-&quot;??_-;_-@_-"/>
    </dxf>
  </rfmt>
  <rfmt sheetId="1" sqref="AU445" start="0" length="0">
    <dxf>
      <font>
        <sz val="11"/>
        <color theme="1"/>
        <name val="Calibri"/>
        <scheme val="none"/>
      </font>
    </dxf>
  </rfmt>
  <rfmt sheetId="1" sqref="AV445" start="0" length="0">
    <dxf>
      <font>
        <sz val="11"/>
        <color theme="1"/>
        <name val="Calibri"/>
        <scheme val="none"/>
      </font>
    </dxf>
  </rfmt>
  <rfmt sheetId="1" sqref="AW445" start="0" length="0">
    <dxf>
      <font>
        <sz val="11"/>
        <color theme="1"/>
        <name val="Calibri"/>
        <scheme val="none"/>
      </font>
    </dxf>
  </rfmt>
  <rfmt sheetId="1" sqref="AX445" start="0" length="0">
    <dxf>
      <font>
        <sz val="11"/>
        <color theme="1"/>
        <name val="Calibri"/>
        <scheme val="none"/>
      </font>
    </dxf>
  </rfmt>
  <rfmt sheetId="1" sqref="AY445" start="0" length="0">
    <dxf>
      <font>
        <sz val="11"/>
        <color theme="1"/>
        <name val="Calibri"/>
        <scheme val="none"/>
      </font>
    </dxf>
  </rfmt>
  <rfmt sheetId="1" sqref="A445:XFD445" start="0" length="0">
    <dxf>
      <font>
        <sz val="11"/>
        <color theme="1"/>
        <name val="Calibri"/>
        <scheme val="none"/>
      </font>
    </dxf>
  </rfmt>
  <rfmt sheetId="1" sqref="A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4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4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46" start="0" length="0">
    <dxf>
      <font>
        <sz val="11"/>
        <color theme="1"/>
        <name val="Calibri"/>
        <scheme val="none"/>
      </font>
    </dxf>
  </rfmt>
  <rfmt sheetId="1" sqref="AM446" start="0" length="0">
    <dxf>
      <font>
        <sz val="11"/>
        <color theme="1"/>
        <name val="Calibri"/>
        <scheme val="none"/>
      </font>
      <numFmt numFmtId="1" formatCode="0"/>
    </dxf>
  </rfmt>
  <rfmt sheetId="1" sqref="AN446" start="0" length="0">
    <dxf>
      <font>
        <sz val="11"/>
        <color theme="1"/>
        <name val="Calibri"/>
        <scheme val="none"/>
      </font>
      <numFmt numFmtId="1" formatCode="0"/>
    </dxf>
  </rfmt>
  <rfmt sheetId="1" sqref="AO446" start="0" length="0">
    <dxf>
      <font>
        <sz val="11"/>
        <color theme="1"/>
        <name val="Calibri"/>
        <scheme val="none"/>
      </font>
    </dxf>
  </rfmt>
  <rfmt sheetId="1" sqref="AP446" start="0" length="0">
    <dxf>
      <font>
        <sz val="11"/>
        <color theme="1"/>
        <name val="Calibri"/>
        <scheme val="none"/>
      </font>
    </dxf>
  </rfmt>
  <rfmt sheetId="1" sqref="AQ446" start="0" length="0">
    <dxf>
      <font>
        <sz val="11"/>
        <color theme="1"/>
        <name val="Calibri"/>
        <scheme val="none"/>
      </font>
      <numFmt numFmtId="164" formatCode="_-* #,##0_-;\-* #,##0_-;_-* &quot;-&quot;??_-;_-@_-"/>
    </dxf>
  </rfmt>
  <rfmt sheetId="1" sqref="AR446" start="0" length="0">
    <dxf>
      <font>
        <sz val="11"/>
        <color theme="1"/>
        <name val="Calibri"/>
        <scheme val="none"/>
      </font>
      <numFmt numFmtId="164" formatCode="_-* #,##0_-;\-* #,##0_-;_-* &quot;-&quot;??_-;_-@_-"/>
    </dxf>
  </rfmt>
  <rfmt sheetId="1" sqref="AS446" start="0" length="0">
    <dxf>
      <font>
        <sz val="11"/>
        <color theme="1"/>
        <name val="Calibri"/>
        <scheme val="none"/>
      </font>
      <numFmt numFmtId="164" formatCode="_-* #,##0_-;\-* #,##0_-;_-* &quot;-&quot;??_-;_-@_-"/>
    </dxf>
  </rfmt>
  <rfmt sheetId="1" sqref="AT446" start="0" length="0">
    <dxf>
      <font>
        <sz val="11"/>
        <color theme="1"/>
        <name val="Calibri"/>
        <scheme val="none"/>
      </font>
      <numFmt numFmtId="164" formatCode="_-* #,##0_-;\-* #,##0_-;_-* &quot;-&quot;??_-;_-@_-"/>
    </dxf>
  </rfmt>
  <rfmt sheetId="1" sqref="AU446" start="0" length="0">
    <dxf>
      <font>
        <sz val="11"/>
        <color theme="1"/>
        <name val="Calibri"/>
        <scheme val="none"/>
      </font>
    </dxf>
  </rfmt>
  <rfmt sheetId="1" sqref="AV446" start="0" length="0">
    <dxf>
      <font>
        <sz val="11"/>
        <color theme="1"/>
        <name val="Calibri"/>
        <scheme val="none"/>
      </font>
    </dxf>
  </rfmt>
  <rfmt sheetId="1" sqref="AW446" start="0" length="0">
    <dxf>
      <font>
        <sz val="11"/>
        <color theme="1"/>
        <name val="Calibri"/>
        <scheme val="none"/>
      </font>
    </dxf>
  </rfmt>
  <rfmt sheetId="1" sqref="AX446" start="0" length="0">
    <dxf>
      <font>
        <sz val="11"/>
        <color theme="1"/>
        <name val="Calibri"/>
        <scheme val="none"/>
      </font>
    </dxf>
  </rfmt>
  <rfmt sheetId="1" sqref="AY446" start="0" length="0">
    <dxf>
      <font>
        <sz val="11"/>
        <color theme="1"/>
        <name val="Calibri"/>
        <scheme val="none"/>
      </font>
    </dxf>
  </rfmt>
  <rfmt sheetId="1" sqref="A446:XFD446" start="0" length="0">
    <dxf>
      <font>
        <sz val="11"/>
        <color theme="1"/>
        <name val="Calibri"/>
        <scheme val="none"/>
      </font>
    </dxf>
  </rfmt>
  <rfmt sheetId="1" sqref="A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4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4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47" start="0" length="0">
    <dxf>
      <font>
        <sz val="11"/>
        <color theme="1"/>
        <name val="Calibri"/>
        <scheme val="none"/>
      </font>
    </dxf>
  </rfmt>
  <rfmt sheetId="1" sqref="AM447" start="0" length="0">
    <dxf>
      <font>
        <sz val="11"/>
        <color theme="1"/>
        <name val="Calibri"/>
        <scheme val="none"/>
      </font>
      <numFmt numFmtId="1" formatCode="0"/>
    </dxf>
  </rfmt>
  <rfmt sheetId="1" sqref="AN447" start="0" length="0">
    <dxf>
      <font>
        <sz val="11"/>
        <color theme="1"/>
        <name val="Calibri"/>
        <scheme val="none"/>
      </font>
      <numFmt numFmtId="1" formatCode="0"/>
    </dxf>
  </rfmt>
  <rfmt sheetId="1" sqref="AO447" start="0" length="0">
    <dxf>
      <font>
        <sz val="11"/>
        <color theme="1"/>
        <name val="Calibri"/>
        <scheme val="none"/>
      </font>
    </dxf>
  </rfmt>
  <rfmt sheetId="1" sqref="AP447" start="0" length="0">
    <dxf>
      <font>
        <sz val="11"/>
        <color theme="1"/>
        <name val="Calibri"/>
        <scheme val="none"/>
      </font>
    </dxf>
  </rfmt>
  <rfmt sheetId="1" sqref="AQ447" start="0" length="0">
    <dxf>
      <font>
        <sz val="11"/>
        <color theme="1"/>
        <name val="Calibri"/>
        <scheme val="none"/>
      </font>
      <numFmt numFmtId="164" formatCode="_-* #,##0_-;\-* #,##0_-;_-* &quot;-&quot;??_-;_-@_-"/>
    </dxf>
  </rfmt>
  <rfmt sheetId="1" sqref="AR447" start="0" length="0">
    <dxf>
      <font>
        <sz val="11"/>
        <color theme="1"/>
        <name val="Calibri"/>
        <scheme val="none"/>
      </font>
      <numFmt numFmtId="164" formatCode="_-* #,##0_-;\-* #,##0_-;_-* &quot;-&quot;??_-;_-@_-"/>
    </dxf>
  </rfmt>
  <rfmt sheetId="1" sqref="AS447" start="0" length="0">
    <dxf>
      <font>
        <sz val="11"/>
        <color theme="1"/>
        <name val="Calibri"/>
        <scheme val="none"/>
      </font>
      <numFmt numFmtId="164" formatCode="_-* #,##0_-;\-* #,##0_-;_-* &quot;-&quot;??_-;_-@_-"/>
    </dxf>
  </rfmt>
  <rfmt sheetId="1" sqref="AT447" start="0" length="0">
    <dxf>
      <font>
        <sz val="11"/>
        <color theme="1"/>
        <name val="Calibri"/>
        <scheme val="none"/>
      </font>
      <numFmt numFmtId="164" formatCode="_-* #,##0_-;\-* #,##0_-;_-* &quot;-&quot;??_-;_-@_-"/>
    </dxf>
  </rfmt>
  <rfmt sheetId="1" sqref="AU447" start="0" length="0">
    <dxf>
      <font>
        <sz val="11"/>
        <color theme="1"/>
        <name val="Calibri"/>
        <scheme val="none"/>
      </font>
    </dxf>
  </rfmt>
  <rfmt sheetId="1" sqref="AV447" start="0" length="0">
    <dxf>
      <font>
        <sz val="11"/>
        <color theme="1"/>
        <name val="Calibri"/>
        <scheme val="none"/>
      </font>
    </dxf>
  </rfmt>
  <rfmt sheetId="1" sqref="AW447" start="0" length="0">
    <dxf>
      <font>
        <sz val="11"/>
        <color theme="1"/>
        <name val="Calibri"/>
        <scheme val="none"/>
      </font>
    </dxf>
  </rfmt>
  <rfmt sheetId="1" sqref="AX447" start="0" length="0">
    <dxf>
      <font>
        <sz val="11"/>
        <color theme="1"/>
        <name val="Calibri"/>
        <scheme val="none"/>
      </font>
    </dxf>
  </rfmt>
  <rfmt sheetId="1" sqref="AY447" start="0" length="0">
    <dxf>
      <font>
        <sz val="11"/>
        <color theme="1"/>
        <name val="Calibri"/>
        <scheme val="none"/>
      </font>
    </dxf>
  </rfmt>
  <rfmt sheetId="1" sqref="A447:XFD447" start="0" length="0">
    <dxf>
      <font>
        <sz val="11"/>
        <color theme="1"/>
        <name val="Calibri"/>
        <scheme val="none"/>
      </font>
    </dxf>
  </rfmt>
  <rfmt sheetId="1" sqref="A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4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4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48" start="0" length="0">
    <dxf>
      <font>
        <sz val="11"/>
        <color theme="1"/>
        <name val="Calibri"/>
        <scheme val="none"/>
      </font>
    </dxf>
  </rfmt>
  <rfmt sheetId="1" sqref="AM448" start="0" length="0">
    <dxf>
      <font>
        <sz val="11"/>
        <color theme="1"/>
        <name val="Calibri"/>
        <scheme val="none"/>
      </font>
      <numFmt numFmtId="1" formatCode="0"/>
    </dxf>
  </rfmt>
  <rfmt sheetId="1" sqref="AN448" start="0" length="0">
    <dxf>
      <font>
        <sz val="11"/>
        <color theme="1"/>
        <name val="Calibri"/>
        <scheme val="none"/>
      </font>
      <numFmt numFmtId="1" formatCode="0"/>
    </dxf>
  </rfmt>
  <rfmt sheetId="1" sqref="AO448" start="0" length="0">
    <dxf>
      <font>
        <sz val="11"/>
        <color theme="1"/>
        <name val="Calibri"/>
        <scheme val="none"/>
      </font>
    </dxf>
  </rfmt>
  <rfmt sheetId="1" sqref="AP448" start="0" length="0">
    <dxf>
      <font>
        <sz val="11"/>
        <color theme="1"/>
        <name val="Calibri"/>
        <scheme val="none"/>
      </font>
    </dxf>
  </rfmt>
  <rfmt sheetId="1" sqref="AQ448" start="0" length="0">
    <dxf>
      <font>
        <sz val="11"/>
        <color theme="1"/>
        <name val="Calibri"/>
        <scheme val="none"/>
      </font>
      <numFmt numFmtId="164" formatCode="_-* #,##0_-;\-* #,##0_-;_-* &quot;-&quot;??_-;_-@_-"/>
    </dxf>
  </rfmt>
  <rfmt sheetId="1" sqref="AR448" start="0" length="0">
    <dxf>
      <font>
        <sz val="11"/>
        <color theme="1"/>
        <name val="Calibri"/>
        <scheme val="none"/>
      </font>
      <numFmt numFmtId="164" formatCode="_-* #,##0_-;\-* #,##0_-;_-* &quot;-&quot;??_-;_-@_-"/>
    </dxf>
  </rfmt>
  <rfmt sheetId="1" sqref="AS448" start="0" length="0">
    <dxf>
      <font>
        <sz val="11"/>
        <color theme="1"/>
        <name val="Calibri"/>
        <scheme val="none"/>
      </font>
      <numFmt numFmtId="164" formatCode="_-* #,##0_-;\-* #,##0_-;_-* &quot;-&quot;??_-;_-@_-"/>
    </dxf>
  </rfmt>
  <rfmt sheetId="1" sqref="AT448" start="0" length="0">
    <dxf>
      <font>
        <sz val="11"/>
        <color theme="1"/>
        <name val="Calibri"/>
        <scheme val="none"/>
      </font>
      <numFmt numFmtId="164" formatCode="_-* #,##0_-;\-* #,##0_-;_-* &quot;-&quot;??_-;_-@_-"/>
    </dxf>
  </rfmt>
  <rfmt sheetId="1" sqref="AU448" start="0" length="0">
    <dxf>
      <font>
        <sz val="11"/>
        <color theme="1"/>
        <name val="Calibri"/>
        <scheme val="none"/>
      </font>
    </dxf>
  </rfmt>
  <rfmt sheetId="1" sqref="AV448" start="0" length="0">
    <dxf>
      <font>
        <sz val="11"/>
        <color theme="1"/>
        <name val="Calibri"/>
        <scheme val="none"/>
      </font>
    </dxf>
  </rfmt>
  <rfmt sheetId="1" sqref="AW448" start="0" length="0">
    <dxf>
      <font>
        <sz val="11"/>
        <color theme="1"/>
        <name val="Calibri"/>
        <scheme val="none"/>
      </font>
    </dxf>
  </rfmt>
  <rfmt sheetId="1" sqref="AX448" start="0" length="0">
    <dxf>
      <font>
        <sz val="11"/>
        <color theme="1"/>
        <name val="Calibri"/>
        <scheme val="none"/>
      </font>
    </dxf>
  </rfmt>
  <rfmt sheetId="1" sqref="AY448" start="0" length="0">
    <dxf>
      <font>
        <sz val="11"/>
        <color theme="1"/>
        <name val="Calibri"/>
        <scheme val="none"/>
      </font>
    </dxf>
  </rfmt>
  <rfmt sheetId="1" sqref="A448:XFD448" start="0" length="0">
    <dxf>
      <font>
        <sz val="11"/>
        <color theme="1"/>
        <name val="Calibri"/>
        <scheme val="none"/>
      </font>
    </dxf>
  </rfmt>
  <rfmt sheetId="1" sqref="A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4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4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49" start="0" length="0">
    <dxf>
      <font>
        <sz val="11"/>
        <color theme="1"/>
        <name val="Calibri"/>
        <scheme val="none"/>
      </font>
    </dxf>
  </rfmt>
  <rfmt sheetId="1" sqref="AM449" start="0" length="0">
    <dxf>
      <font>
        <sz val="11"/>
        <color theme="1"/>
        <name val="Calibri"/>
        <scheme val="none"/>
      </font>
      <numFmt numFmtId="1" formatCode="0"/>
    </dxf>
  </rfmt>
  <rfmt sheetId="1" sqref="AN449" start="0" length="0">
    <dxf>
      <font>
        <sz val="11"/>
        <color theme="1"/>
        <name val="Calibri"/>
        <scheme val="none"/>
      </font>
      <numFmt numFmtId="1" formatCode="0"/>
    </dxf>
  </rfmt>
  <rfmt sheetId="1" sqref="AO449" start="0" length="0">
    <dxf>
      <font>
        <sz val="11"/>
        <color theme="1"/>
        <name val="Calibri"/>
        <scheme val="none"/>
      </font>
    </dxf>
  </rfmt>
  <rfmt sheetId="1" sqref="AP449" start="0" length="0">
    <dxf>
      <font>
        <sz val="11"/>
        <color theme="1"/>
        <name val="Calibri"/>
        <scheme val="none"/>
      </font>
    </dxf>
  </rfmt>
  <rfmt sheetId="1" sqref="AQ449" start="0" length="0">
    <dxf>
      <font>
        <sz val="11"/>
        <color theme="1"/>
        <name val="Calibri"/>
        <scheme val="none"/>
      </font>
      <numFmt numFmtId="164" formatCode="_-* #,##0_-;\-* #,##0_-;_-* &quot;-&quot;??_-;_-@_-"/>
    </dxf>
  </rfmt>
  <rfmt sheetId="1" sqref="AR449" start="0" length="0">
    <dxf>
      <font>
        <sz val="11"/>
        <color theme="1"/>
        <name val="Calibri"/>
        <scheme val="none"/>
      </font>
      <numFmt numFmtId="164" formatCode="_-* #,##0_-;\-* #,##0_-;_-* &quot;-&quot;??_-;_-@_-"/>
    </dxf>
  </rfmt>
  <rfmt sheetId="1" sqref="AS449" start="0" length="0">
    <dxf>
      <font>
        <sz val="11"/>
        <color theme="1"/>
        <name val="Calibri"/>
        <scheme val="none"/>
      </font>
      <numFmt numFmtId="164" formatCode="_-* #,##0_-;\-* #,##0_-;_-* &quot;-&quot;??_-;_-@_-"/>
    </dxf>
  </rfmt>
  <rfmt sheetId="1" sqref="AT449" start="0" length="0">
    <dxf>
      <font>
        <sz val="11"/>
        <color theme="1"/>
        <name val="Calibri"/>
        <scheme val="none"/>
      </font>
      <numFmt numFmtId="164" formatCode="_-* #,##0_-;\-* #,##0_-;_-* &quot;-&quot;??_-;_-@_-"/>
    </dxf>
  </rfmt>
  <rfmt sheetId="1" sqref="AU449" start="0" length="0">
    <dxf>
      <font>
        <sz val="11"/>
        <color theme="1"/>
        <name val="Calibri"/>
        <scheme val="none"/>
      </font>
    </dxf>
  </rfmt>
  <rfmt sheetId="1" sqref="AV449" start="0" length="0">
    <dxf>
      <font>
        <sz val="11"/>
        <color theme="1"/>
        <name val="Calibri"/>
        <scheme val="none"/>
      </font>
    </dxf>
  </rfmt>
  <rfmt sheetId="1" sqref="AW449" start="0" length="0">
    <dxf>
      <font>
        <sz val="11"/>
        <color theme="1"/>
        <name val="Calibri"/>
        <scheme val="none"/>
      </font>
    </dxf>
  </rfmt>
  <rfmt sheetId="1" sqref="AX449" start="0" length="0">
    <dxf>
      <font>
        <sz val="11"/>
        <color theme="1"/>
        <name val="Calibri"/>
        <scheme val="none"/>
      </font>
    </dxf>
  </rfmt>
  <rfmt sheetId="1" sqref="AY449" start="0" length="0">
    <dxf>
      <font>
        <sz val="11"/>
        <color theme="1"/>
        <name val="Calibri"/>
        <scheme val="none"/>
      </font>
    </dxf>
  </rfmt>
  <rfmt sheetId="1" sqref="A449:XFD449" start="0" length="0">
    <dxf>
      <font>
        <sz val="11"/>
        <color theme="1"/>
        <name val="Calibri"/>
        <scheme val="none"/>
      </font>
    </dxf>
  </rfmt>
  <rfmt sheetId="1" sqref="A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5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5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50" start="0" length="0">
    <dxf>
      <font>
        <sz val="11"/>
        <color theme="1"/>
        <name val="Calibri"/>
        <scheme val="none"/>
      </font>
    </dxf>
  </rfmt>
  <rfmt sheetId="1" sqref="AM450" start="0" length="0">
    <dxf>
      <font>
        <sz val="11"/>
        <color theme="1"/>
        <name val="Calibri"/>
        <scheme val="none"/>
      </font>
      <numFmt numFmtId="1" formatCode="0"/>
    </dxf>
  </rfmt>
  <rfmt sheetId="1" sqref="AN450" start="0" length="0">
    <dxf>
      <font>
        <sz val="11"/>
        <color theme="1"/>
        <name val="Calibri"/>
        <scheme val="none"/>
      </font>
      <numFmt numFmtId="1" formatCode="0"/>
    </dxf>
  </rfmt>
  <rfmt sheetId="1" sqref="AO450" start="0" length="0">
    <dxf>
      <font>
        <sz val="11"/>
        <color theme="1"/>
        <name val="Calibri"/>
        <scheme val="none"/>
      </font>
    </dxf>
  </rfmt>
  <rfmt sheetId="1" sqref="AP450" start="0" length="0">
    <dxf>
      <font>
        <sz val="11"/>
        <color theme="1"/>
        <name val="Calibri"/>
        <scheme val="none"/>
      </font>
    </dxf>
  </rfmt>
  <rfmt sheetId="1" sqref="AQ450" start="0" length="0">
    <dxf>
      <font>
        <sz val="11"/>
        <color theme="1"/>
        <name val="Calibri"/>
        <scheme val="none"/>
      </font>
      <numFmt numFmtId="164" formatCode="_-* #,##0_-;\-* #,##0_-;_-* &quot;-&quot;??_-;_-@_-"/>
    </dxf>
  </rfmt>
  <rfmt sheetId="1" sqref="AR450" start="0" length="0">
    <dxf>
      <font>
        <sz val="11"/>
        <color theme="1"/>
        <name val="Calibri"/>
        <scheme val="none"/>
      </font>
      <numFmt numFmtId="164" formatCode="_-* #,##0_-;\-* #,##0_-;_-* &quot;-&quot;??_-;_-@_-"/>
    </dxf>
  </rfmt>
  <rfmt sheetId="1" sqref="AS450" start="0" length="0">
    <dxf>
      <font>
        <sz val="11"/>
        <color theme="1"/>
        <name val="Calibri"/>
        <scheme val="none"/>
      </font>
      <numFmt numFmtId="164" formatCode="_-* #,##0_-;\-* #,##0_-;_-* &quot;-&quot;??_-;_-@_-"/>
    </dxf>
  </rfmt>
  <rfmt sheetId="1" sqref="AT450" start="0" length="0">
    <dxf>
      <font>
        <sz val="11"/>
        <color theme="1"/>
        <name val="Calibri"/>
        <scheme val="none"/>
      </font>
      <numFmt numFmtId="164" formatCode="_-* #,##0_-;\-* #,##0_-;_-* &quot;-&quot;??_-;_-@_-"/>
    </dxf>
  </rfmt>
  <rfmt sheetId="1" sqref="AU450" start="0" length="0">
    <dxf>
      <font>
        <sz val="11"/>
        <color theme="1"/>
        <name val="Calibri"/>
        <scheme val="none"/>
      </font>
    </dxf>
  </rfmt>
  <rfmt sheetId="1" sqref="AV450" start="0" length="0">
    <dxf>
      <font>
        <sz val="11"/>
        <color theme="1"/>
        <name val="Calibri"/>
        <scheme val="none"/>
      </font>
    </dxf>
  </rfmt>
  <rfmt sheetId="1" sqref="AW450" start="0" length="0">
    <dxf>
      <font>
        <sz val="11"/>
        <color theme="1"/>
        <name val="Calibri"/>
        <scheme val="none"/>
      </font>
    </dxf>
  </rfmt>
  <rfmt sheetId="1" sqref="AX450" start="0" length="0">
    <dxf>
      <font>
        <sz val="11"/>
        <color theme="1"/>
        <name val="Calibri"/>
        <scheme val="none"/>
      </font>
    </dxf>
  </rfmt>
  <rfmt sheetId="1" sqref="AY450" start="0" length="0">
    <dxf>
      <font>
        <sz val="11"/>
        <color theme="1"/>
        <name val="Calibri"/>
        <scheme val="none"/>
      </font>
    </dxf>
  </rfmt>
  <rfmt sheetId="1" sqref="A450:XFD450" start="0" length="0">
    <dxf>
      <font>
        <sz val="11"/>
        <color theme="1"/>
        <name val="Calibri"/>
        <scheme val="none"/>
      </font>
    </dxf>
  </rfmt>
  <rfmt sheetId="1" sqref="A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5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5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51" start="0" length="0">
    <dxf>
      <font>
        <sz val="11"/>
        <color theme="1"/>
        <name val="Calibri"/>
        <scheme val="none"/>
      </font>
    </dxf>
  </rfmt>
  <rfmt sheetId="1" sqref="AM451" start="0" length="0">
    <dxf>
      <font>
        <sz val="11"/>
        <color theme="1"/>
        <name val="Calibri"/>
        <scheme val="none"/>
      </font>
      <numFmt numFmtId="1" formatCode="0"/>
    </dxf>
  </rfmt>
  <rfmt sheetId="1" sqref="AN451" start="0" length="0">
    <dxf>
      <font>
        <sz val="11"/>
        <color theme="1"/>
        <name val="Calibri"/>
        <scheme val="none"/>
      </font>
      <numFmt numFmtId="1" formatCode="0"/>
    </dxf>
  </rfmt>
  <rfmt sheetId="1" sqref="AO451" start="0" length="0">
    <dxf>
      <font>
        <sz val="11"/>
        <color theme="1"/>
        <name val="Calibri"/>
        <scheme val="none"/>
      </font>
    </dxf>
  </rfmt>
  <rfmt sheetId="1" sqref="AP451" start="0" length="0">
    <dxf>
      <font>
        <sz val="11"/>
        <color theme="1"/>
        <name val="Calibri"/>
        <scheme val="none"/>
      </font>
    </dxf>
  </rfmt>
  <rfmt sheetId="1" sqref="AQ451" start="0" length="0">
    <dxf>
      <font>
        <sz val="11"/>
        <color theme="1"/>
        <name val="Calibri"/>
        <scheme val="none"/>
      </font>
      <numFmt numFmtId="164" formatCode="_-* #,##0_-;\-* #,##0_-;_-* &quot;-&quot;??_-;_-@_-"/>
    </dxf>
  </rfmt>
  <rfmt sheetId="1" sqref="AR451" start="0" length="0">
    <dxf>
      <font>
        <sz val="11"/>
        <color theme="1"/>
        <name val="Calibri"/>
        <scheme val="none"/>
      </font>
      <numFmt numFmtId="164" formatCode="_-* #,##0_-;\-* #,##0_-;_-* &quot;-&quot;??_-;_-@_-"/>
    </dxf>
  </rfmt>
  <rfmt sheetId="1" sqref="AS451" start="0" length="0">
    <dxf>
      <font>
        <sz val="11"/>
        <color theme="1"/>
        <name val="Calibri"/>
        <scheme val="none"/>
      </font>
      <numFmt numFmtId="164" formatCode="_-* #,##0_-;\-* #,##0_-;_-* &quot;-&quot;??_-;_-@_-"/>
    </dxf>
  </rfmt>
  <rfmt sheetId="1" sqref="AT451" start="0" length="0">
    <dxf>
      <font>
        <sz val="11"/>
        <color theme="1"/>
        <name val="Calibri"/>
        <scheme val="none"/>
      </font>
      <numFmt numFmtId="164" formatCode="_-* #,##0_-;\-* #,##0_-;_-* &quot;-&quot;??_-;_-@_-"/>
    </dxf>
  </rfmt>
  <rfmt sheetId="1" sqref="AU451" start="0" length="0">
    <dxf>
      <font>
        <sz val="11"/>
        <color theme="1"/>
        <name val="Calibri"/>
        <scheme val="none"/>
      </font>
    </dxf>
  </rfmt>
  <rfmt sheetId="1" sqref="AV451" start="0" length="0">
    <dxf>
      <font>
        <sz val="11"/>
        <color theme="1"/>
        <name val="Calibri"/>
        <scheme val="none"/>
      </font>
    </dxf>
  </rfmt>
  <rfmt sheetId="1" sqref="AW451" start="0" length="0">
    <dxf>
      <font>
        <sz val="11"/>
        <color theme="1"/>
        <name val="Calibri"/>
        <scheme val="none"/>
      </font>
    </dxf>
  </rfmt>
  <rfmt sheetId="1" sqref="AX451" start="0" length="0">
    <dxf>
      <font>
        <sz val="11"/>
        <color theme="1"/>
        <name val="Calibri"/>
        <scheme val="none"/>
      </font>
    </dxf>
  </rfmt>
  <rfmt sheetId="1" sqref="AY451" start="0" length="0">
    <dxf>
      <font>
        <sz val="11"/>
        <color theme="1"/>
        <name val="Calibri"/>
        <scheme val="none"/>
      </font>
    </dxf>
  </rfmt>
  <rfmt sheetId="1" sqref="A451:XFD451" start="0" length="0">
    <dxf>
      <font>
        <sz val="11"/>
        <color theme="1"/>
        <name val="Calibri"/>
        <scheme val="none"/>
      </font>
    </dxf>
  </rfmt>
  <rfmt sheetId="1" sqref="A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5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5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52" start="0" length="0">
    <dxf>
      <font>
        <sz val="11"/>
        <color theme="1"/>
        <name val="Calibri"/>
        <scheme val="none"/>
      </font>
    </dxf>
  </rfmt>
  <rfmt sheetId="1" sqref="AM452" start="0" length="0">
    <dxf>
      <font>
        <sz val="11"/>
        <color theme="1"/>
        <name val="Calibri"/>
        <scheme val="none"/>
      </font>
      <numFmt numFmtId="1" formatCode="0"/>
    </dxf>
  </rfmt>
  <rfmt sheetId="1" sqref="AN452" start="0" length="0">
    <dxf>
      <font>
        <sz val="11"/>
        <color theme="1"/>
        <name val="Calibri"/>
        <scheme val="none"/>
      </font>
      <numFmt numFmtId="1" formatCode="0"/>
    </dxf>
  </rfmt>
  <rfmt sheetId="1" sqref="AO452" start="0" length="0">
    <dxf>
      <font>
        <sz val="11"/>
        <color theme="1"/>
        <name val="Calibri"/>
        <scheme val="none"/>
      </font>
    </dxf>
  </rfmt>
  <rfmt sheetId="1" sqref="AP452" start="0" length="0">
    <dxf>
      <font>
        <sz val="11"/>
        <color theme="1"/>
        <name val="Calibri"/>
        <scheme val="none"/>
      </font>
    </dxf>
  </rfmt>
  <rfmt sheetId="1" sqref="AQ452" start="0" length="0">
    <dxf>
      <font>
        <sz val="11"/>
        <color theme="1"/>
        <name val="Calibri"/>
        <scheme val="none"/>
      </font>
      <numFmt numFmtId="164" formatCode="_-* #,##0_-;\-* #,##0_-;_-* &quot;-&quot;??_-;_-@_-"/>
    </dxf>
  </rfmt>
  <rfmt sheetId="1" sqref="AR452" start="0" length="0">
    <dxf>
      <font>
        <sz val="11"/>
        <color theme="1"/>
        <name val="Calibri"/>
        <scheme val="none"/>
      </font>
      <numFmt numFmtId="164" formatCode="_-* #,##0_-;\-* #,##0_-;_-* &quot;-&quot;??_-;_-@_-"/>
    </dxf>
  </rfmt>
  <rfmt sheetId="1" sqref="AS452" start="0" length="0">
    <dxf>
      <font>
        <sz val="11"/>
        <color theme="1"/>
        <name val="Calibri"/>
        <scheme val="none"/>
      </font>
      <numFmt numFmtId="164" formatCode="_-* #,##0_-;\-* #,##0_-;_-* &quot;-&quot;??_-;_-@_-"/>
    </dxf>
  </rfmt>
  <rfmt sheetId="1" sqref="AT452" start="0" length="0">
    <dxf>
      <font>
        <sz val="11"/>
        <color theme="1"/>
        <name val="Calibri"/>
        <scheme val="none"/>
      </font>
      <numFmt numFmtId="164" formatCode="_-* #,##0_-;\-* #,##0_-;_-* &quot;-&quot;??_-;_-@_-"/>
    </dxf>
  </rfmt>
  <rfmt sheetId="1" sqref="AU452" start="0" length="0">
    <dxf>
      <font>
        <sz val="11"/>
        <color theme="1"/>
        <name val="Calibri"/>
        <scheme val="none"/>
      </font>
    </dxf>
  </rfmt>
  <rfmt sheetId="1" sqref="AV452" start="0" length="0">
    <dxf>
      <font>
        <sz val="11"/>
        <color theme="1"/>
        <name val="Calibri"/>
        <scheme val="none"/>
      </font>
    </dxf>
  </rfmt>
  <rfmt sheetId="1" sqref="AW452" start="0" length="0">
    <dxf>
      <font>
        <sz val="11"/>
        <color theme="1"/>
        <name val="Calibri"/>
        <scheme val="none"/>
      </font>
    </dxf>
  </rfmt>
  <rfmt sheetId="1" sqref="AX452" start="0" length="0">
    <dxf>
      <font>
        <sz val="11"/>
        <color theme="1"/>
        <name val="Calibri"/>
        <scheme val="none"/>
      </font>
    </dxf>
  </rfmt>
  <rfmt sheetId="1" sqref="AY452" start="0" length="0">
    <dxf>
      <font>
        <sz val="11"/>
        <color theme="1"/>
        <name val="Calibri"/>
        <scheme val="none"/>
      </font>
    </dxf>
  </rfmt>
  <rfmt sheetId="1" sqref="A452:XFD452" start="0" length="0">
    <dxf>
      <font>
        <sz val="11"/>
        <color theme="1"/>
        <name val="Calibri"/>
        <scheme val="none"/>
      </font>
    </dxf>
  </rfmt>
  <rfmt sheetId="1" sqref="A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5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5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53" start="0" length="0">
    <dxf>
      <font>
        <sz val="11"/>
        <color theme="1"/>
        <name val="Calibri"/>
        <scheme val="none"/>
      </font>
    </dxf>
  </rfmt>
  <rfmt sheetId="1" sqref="AM453" start="0" length="0">
    <dxf>
      <font>
        <sz val="11"/>
        <color theme="1"/>
        <name val="Calibri"/>
        <scheme val="none"/>
      </font>
      <numFmt numFmtId="1" formatCode="0"/>
    </dxf>
  </rfmt>
  <rfmt sheetId="1" sqref="AN453" start="0" length="0">
    <dxf>
      <font>
        <sz val="11"/>
        <color theme="1"/>
        <name val="Calibri"/>
        <scheme val="none"/>
      </font>
      <numFmt numFmtId="1" formatCode="0"/>
    </dxf>
  </rfmt>
  <rfmt sheetId="1" sqref="AO453" start="0" length="0">
    <dxf>
      <font>
        <sz val="11"/>
        <color theme="1"/>
        <name val="Calibri"/>
        <scheme val="none"/>
      </font>
    </dxf>
  </rfmt>
  <rfmt sheetId="1" sqref="AP453" start="0" length="0">
    <dxf>
      <font>
        <sz val="11"/>
        <color theme="1"/>
        <name val="Calibri"/>
        <scheme val="none"/>
      </font>
    </dxf>
  </rfmt>
  <rfmt sheetId="1" sqref="AQ453" start="0" length="0">
    <dxf>
      <font>
        <sz val="11"/>
        <color theme="1"/>
        <name val="Calibri"/>
        <scheme val="none"/>
      </font>
      <numFmt numFmtId="164" formatCode="_-* #,##0_-;\-* #,##0_-;_-* &quot;-&quot;??_-;_-@_-"/>
    </dxf>
  </rfmt>
  <rfmt sheetId="1" sqref="AR453" start="0" length="0">
    <dxf>
      <font>
        <sz val="11"/>
        <color theme="1"/>
        <name val="Calibri"/>
        <scheme val="none"/>
      </font>
      <numFmt numFmtId="164" formatCode="_-* #,##0_-;\-* #,##0_-;_-* &quot;-&quot;??_-;_-@_-"/>
    </dxf>
  </rfmt>
  <rfmt sheetId="1" sqref="AS453" start="0" length="0">
    <dxf>
      <font>
        <sz val="11"/>
        <color theme="1"/>
        <name val="Calibri"/>
        <scheme val="none"/>
      </font>
      <numFmt numFmtId="164" formatCode="_-* #,##0_-;\-* #,##0_-;_-* &quot;-&quot;??_-;_-@_-"/>
    </dxf>
  </rfmt>
  <rfmt sheetId="1" sqref="AT453" start="0" length="0">
    <dxf>
      <font>
        <sz val="11"/>
        <color theme="1"/>
        <name val="Calibri"/>
        <scheme val="none"/>
      </font>
      <numFmt numFmtId="164" formatCode="_-* #,##0_-;\-* #,##0_-;_-* &quot;-&quot;??_-;_-@_-"/>
    </dxf>
  </rfmt>
  <rfmt sheetId="1" sqref="AU453" start="0" length="0">
    <dxf>
      <font>
        <sz val="11"/>
        <color theme="1"/>
        <name val="Calibri"/>
        <scheme val="none"/>
      </font>
    </dxf>
  </rfmt>
  <rfmt sheetId="1" sqref="AV453" start="0" length="0">
    <dxf>
      <font>
        <sz val="11"/>
        <color theme="1"/>
        <name val="Calibri"/>
        <scheme val="none"/>
      </font>
    </dxf>
  </rfmt>
  <rfmt sheetId="1" sqref="AW453" start="0" length="0">
    <dxf>
      <font>
        <sz val="11"/>
        <color theme="1"/>
        <name val="Calibri"/>
        <scheme val="none"/>
      </font>
    </dxf>
  </rfmt>
  <rfmt sheetId="1" sqref="AX453" start="0" length="0">
    <dxf>
      <font>
        <sz val="11"/>
        <color theme="1"/>
        <name val="Calibri"/>
        <scheme val="none"/>
      </font>
    </dxf>
  </rfmt>
  <rfmt sheetId="1" sqref="AY453" start="0" length="0">
    <dxf>
      <font>
        <sz val="11"/>
        <color theme="1"/>
        <name val="Calibri"/>
        <scheme val="none"/>
      </font>
    </dxf>
  </rfmt>
  <rfmt sheetId="1" sqref="A453:XFD453" start="0" length="0">
    <dxf>
      <font>
        <sz val="11"/>
        <color theme="1"/>
        <name val="Calibri"/>
        <scheme val="none"/>
      </font>
    </dxf>
  </rfmt>
  <rfmt sheetId="1" sqref="A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5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5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54" start="0" length="0">
    <dxf>
      <font>
        <sz val="11"/>
        <color theme="1"/>
        <name val="Calibri"/>
        <scheme val="none"/>
      </font>
    </dxf>
  </rfmt>
  <rfmt sheetId="1" sqref="AM454" start="0" length="0">
    <dxf>
      <font>
        <sz val="11"/>
        <color theme="1"/>
        <name val="Calibri"/>
        <scheme val="none"/>
      </font>
      <numFmt numFmtId="1" formatCode="0"/>
    </dxf>
  </rfmt>
  <rfmt sheetId="1" sqref="AN454" start="0" length="0">
    <dxf>
      <font>
        <sz val="11"/>
        <color theme="1"/>
        <name val="Calibri"/>
        <scheme val="none"/>
      </font>
      <numFmt numFmtId="1" formatCode="0"/>
    </dxf>
  </rfmt>
  <rfmt sheetId="1" sqref="AO454" start="0" length="0">
    <dxf>
      <font>
        <sz val="11"/>
        <color theme="1"/>
        <name val="Calibri"/>
        <scheme val="none"/>
      </font>
    </dxf>
  </rfmt>
  <rfmt sheetId="1" sqref="AP454" start="0" length="0">
    <dxf>
      <font>
        <sz val="11"/>
        <color theme="1"/>
        <name val="Calibri"/>
        <scheme val="none"/>
      </font>
    </dxf>
  </rfmt>
  <rfmt sheetId="1" sqref="AQ454" start="0" length="0">
    <dxf>
      <font>
        <sz val="11"/>
        <color theme="1"/>
        <name val="Calibri"/>
        <scheme val="none"/>
      </font>
      <numFmt numFmtId="164" formatCode="_-* #,##0_-;\-* #,##0_-;_-* &quot;-&quot;??_-;_-@_-"/>
    </dxf>
  </rfmt>
  <rfmt sheetId="1" sqref="AR454" start="0" length="0">
    <dxf>
      <font>
        <sz val="11"/>
        <color theme="1"/>
        <name val="Calibri"/>
        <scheme val="none"/>
      </font>
      <numFmt numFmtId="164" formatCode="_-* #,##0_-;\-* #,##0_-;_-* &quot;-&quot;??_-;_-@_-"/>
    </dxf>
  </rfmt>
  <rfmt sheetId="1" sqref="AS454" start="0" length="0">
    <dxf>
      <font>
        <sz val="11"/>
        <color theme="1"/>
        <name val="Calibri"/>
        <scheme val="none"/>
      </font>
      <numFmt numFmtId="164" formatCode="_-* #,##0_-;\-* #,##0_-;_-* &quot;-&quot;??_-;_-@_-"/>
    </dxf>
  </rfmt>
  <rfmt sheetId="1" sqref="AT454" start="0" length="0">
    <dxf>
      <font>
        <sz val="11"/>
        <color theme="1"/>
        <name val="Calibri"/>
        <scheme val="none"/>
      </font>
      <numFmt numFmtId="164" formatCode="_-* #,##0_-;\-* #,##0_-;_-* &quot;-&quot;??_-;_-@_-"/>
    </dxf>
  </rfmt>
  <rfmt sheetId="1" sqref="AU454" start="0" length="0">
    <dxf>
      <font>
        <sz val="11"/>
        <color theme="1"/>
        <name val="Calibri"/>
        <scheme val="none"/>
      </font>
    </dxf>
  </rfmt>
  <rfmt sheetId="1" sqref="AV454" start="0" length="0">
    <dxf>
      <font>
        <sz val="11"/>
        <color theme="1"/>
        <name val="Calibri"/>
        <scheme val="none"/>
      </font>
    </dxf>
  </rfmt>
  <rfmt sheetId="1" sqref="AW454" start="0" length="0">
    <dxf>
      <font>
        <sz val="11"/>
        <color theme="1"/>
        <name val="Calibri"/>
        <scheme val="none"/>
      </font>
    </dxf>
  </rfmt>
  <rfmt sheetId="1" sqref="AX454" start="0" length="0">
    <dxf>
      <font>
        <sz val="11"/>
        <color theme="1"/>
        <name val="Calibri"/>
        <scheme val="none"/>
      </font>
    </dxf>
  </rfmt>
  <rfmt sheetId="1" sqref="AY454" start="0" length="0">
    <dxf>
      <font>
        <sz val="11"/>
        <color theme="1"/>
        <name val="Calibri"/>
        <scheme val="none"/>
      </font>
    </dxf>
  </rfmt>
  <rfmt sheetId="1" sqref="A454:XFD454" start="0" length="0">
    <dxf>
      <font>
        <sz val="11"/>
        <color theme="1"/>
        <name val="Calibri"/>
        <scheme val="none"/>
      </font>
    </dxf>
  </rfmt>
  <rfmt sheetId="1" sqref="A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5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5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55" start="0" length="0">
    <dxf>
      <font>
        <sz val="11"/>
        <color theme="1"/>
        <name val="Calibri"/>
        <scheme val="none"/>
      </font>
    </dxf>
  </rfmt>
  <rfmt sheetId="1" sqref="AM455" start="0" length="0">
    <dxf>
      <font>
        <sz val="11"/>
        <color theme="1"/>
        <name val="Calibri"/>
        <scheme val="none"/>
      </font>
      <numFmt numFmtId="1" formatCode="0"/>
    </dxf>
  </rfmt>
  <rfmt sheetId="1" sqref="AN455" start="0" length="0">
    <dxf>
      <font>
        <sz val="11"/>
        <color theme="1"/>
        <name val="Calibri"/>
        <scheme val="none"/>
      </font>
      <numFmt numFmtId="1" formatCode="0"/>
    </dxf>
  </rfmt>
  <rfmt sheetId="1" sqref="AO455" start="0" length="0">
    <dxf>
      <font>
        <sz val="11"/>
        <color theme="1"/>
        <name val="Calibri"/>
        <scheme val="none"/>
      </font>
    </dxf>
  </rfmt>
  <rfmt sheetId="1" sqref="AP455" start="0" length="0">
    <dxf>
      <font>
        <sz val="11"/>
        <color theme="1"/>
        <name val="Calibri"/>
        <scheme val="none"/>
      </font>
    </dxf>
  </rfmt>
  <rfmt sheetId="1" sqref="AQ455" start="0" length="0">
    <dxf>
      <font>
        <sz val="11"/>
        <color theme="1"/>
        <name val="Calibri"/>
        <scheme val="none"/>
      </font>
      <numFmt numFmtId="164" formatCode="_-* #,##0_-;\-* #,##0_-;_-* &quot;-&quot;??_-;_-@_-"/>
    </dxf>
  </rfmt>
  <rfmt sheetId="1" sqref="AR455" start="0" length="0">
    <dxf>
      <font>
        <sz val="11"/>
        <color theme="1"/>
        <name val="Calibri"/>
        <scheme val="none"/>
      </font>
      <numFmt numFmtId="164" formatCode="_-* #,##0_-;\-* #,##0_-;_-* &quot;-&quot;??_-;_-@_-"/>
    </dxf>
  </rfmt>
  <rfmt sheetId="1" sqref="AS455" start="0" length="0">
    <dxf>
      <font>
        <sz val="11"/>
        <color theme="1"/>
        <name val="Calibri"/>
        <scheme val="none"/>
      </font>
      <numFmt numFmtId="164" formatCode="_-* #,##0_-;\-* #,##0_-;_-* &quot;-&quot;??_-;_-@_-"/>
    </dxf>
  </rfmt>
  <rfmt sheetId="1" sqref="AT455" start="0" length="0">
    <dxf>
      <font>
        <sz val="11"/>
        <color theme="1"/>
        <name val="Calibri"/>
        <scheme val="none"/>
      </font>
      <numFmt numFmtId="164" formatCode="_-* #,##0_-;\-* #,##0_-;_-* &quot;-&quot;??_-;_-@_-"/>
    </dxf>
  </rfmt>
  <rfmt sheetId="1" sqref="AU455" start="0" length="0">
    <dxf>
      <font>
        <sz val="11"/>
        <color theme="1"/>
        <name val="Calibri"/>
        <scheme val="none"/>
      </font>
    </dxf>
  </rfmt>
  <rfmt sheetId="1" sqref="AV455" start="0" length="0">
    <dxf>
      <font>
        <sz val="11"/>
        <color theme="1"/>
        <name val="Calibri"/>
        <scheme val="none"/>
      </font>
    </dxf>
  </rfmt>
  <rfmt sheetId="1" sqref="AW455" start="0" length="0">
    <dxf>
      <font>
        <sz val="11"/>
        <color theme="1"/>
        <name val="Calibri"/>
        <scheme val="none"/>
      </font>
    </dxf>
  </rfmt>
  <rfmt sheetId="1" sqref="AX455" start="0" length="0">
    <dxf>
      <font>
        <sz val="11"/>
        <color theme="1"/>
        <name val="Calibri"/>
        <scheme val="none"/>
      </font>
    </dxf>
  </rfmt>
  <rfmt sheetId="1" sqref="AY455" start="0" length="0">
    <dxf>
      <font>
        <sz val="11"/>
        <color theme="1"/>
        <name val="Calibri"/>
        <scheme val="none"/>
      </font>
    </dxf>
  </rfmt>
  <rfmt sheetId="1" sqref="A455:XFD455" start="0" length="0">
    <dxf>
      <font>
        <sz val="11"/>
        <color theme="1"/>
        <name val="Calibri"/>
        <scheme val="none"/>
      </font>
    </dxf>
  </rfmt>
  <rfmt sheetId="1" sqref="A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5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5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56" start="0" length="0">
    <dxf>
      <font>
        <sz val="11"/>
        <color theme="1"/>
        <name val="Calibri"/>
        <scheme val="none"/>
      </font>
    </dxf>
  </rfmt>
  <rfmt sheetId="1" sqref="AM456" start="0" length="0">
    <dxf>
      <font>
        <sz val="11"/>
        <color theme="1"/>
        <name val="Calibri"/>
        <scheme val="none"/>
      </font>
      <numFmt numFmtId="1" formatCode="0"/>
    </dxf>
  </rfmt>
  <rfmt sheetId="1" sqref="AN456" start="0" length="0">
    <dxf>
      <font>
        <sz val="11"/>
        <color theme="1"/>
        <name val="Calibri"/>
        <scheme val="none"/>
      </font>
      <numFmt numFmtId="1" formatCode="0"/>
    </dxf>
  </rfmt>
  <rfmt sheetId="1" sqref="AO456" start="0" length="0">
    <dxf>
      <font>
        <sz val="11"/>
        <color theme="1"/>
        <name val="Calibri"/>
        <scheme val="none"/>
      </font>
    </dxf>
  </rfmt>
  <rfmt sheetId="1" sqref="AP456" start="0" length="0">
    <dxf>
      <font>
        <sz val="11"/>
        <color theme="1"/>
        <name val="Calibri"/>
        <scheme val="none"/>
      </font>
    </dxf>
  </rfmt>
  <rfmt sheetId="1" sqref="AQ456" start="0" length="0">
    <dxf>
      <font>
        <sz val="11"/>
        <color theme="1"/>
        <name val="Calibri"/>
        <scheme val="none"/>
      </font>
      <numFmt numFmtId="164" formatCode="_-* #,##0_-;\-* #,##0_-;_-* &quot;-&quot;??_-;_-@_-"/>
    </dxf>
  </rfmt>
  <rfmt sheetId="1" sqref="AR456" start="0" length="0">
    <dxf>
      <font>
        <sz val="11"/>
        <color theme="1"/>
        <name val="Calibri"/>
        <scheme val="none"/>
      </font>
      <numFmt numFmtId="164" formatCode="_-* #,##0_-;\-* #,##0_-;_-* &quot;-&quot;??_-;_-@_-"/>
    </dxf>
  </rfmt>
  <rfmt sheetId="1" sqref="AS456" start="0" length="0">
    <dxf>
      <font>
        <sz val="11"/>
        <color theme="1"/>
        <name val="Calibri"/>
        <scheme val="none"/>
      </font>
      <numFmt numFmtId="164" formatCode="_-* #,##0_-;\-* #,##0_-;_-* &quot;-&quot;??_-;_-@_-"/>
    </dxf>
  </rfmt>
  <rfmt sheetId="1" sqref="AT456" start="0" length="0">
    <dxf>
      <font>
        <sz val="11"/>
        <color theme="1"/>
        <name val="Calibri"/>
        <scheme val="none"/>
      </font>
      <numFmt numFmtId="164" formatCode="_-* #,##0_-;\-* #,##0_-;_-* &quot;-&quot;??_-;_-@_-"/>
    </dxf>
  </rfmt>
  <rfmt sheetId="1" sqref="AU456" start="0" length="0">
    <dxf>
      <font>
        <sz val="11"/>
        <color theme="1"/>
        <name val="Calibri"/>
        <scheme val="none"/>
      </font>
    </dxf>
  </rfmt>
  <rfmt sheetId="1" sqref="AV456" start="0" length="0">
    <dxf>
      <font>
        <sz val="11"/>
        <color theme="1"/>
        <name val="Calibri"/>
        <scheme val="none"/>
      </font>
    </dxf>
  </rfmt>
  <rfmt sheetId="1" sqref="AW456" start="0" length="0">
    <dxf>
      <font>
        <sz val="11"/>
        <color theme="1"/>
        <name val="Calibri"/>
        <scheme val="none"/>
      </font>
    </dxf>
  </rfmt>
  <rfmt sheetId="1" sqref="AX456" start="0" length="0">
    <dxf>
      <font>
        <sz val="11"/>
        <color theme="1"/>
        <name val="Calibri"/>
        <scheme val="none"/>
      </font>
    </dxf>
  </rfmt>
  <rfmt sheetId="1" sqref="AY456" start="0" length="0">
    <dxf>
      <font>
        <sz val="11"/>
        <color theme="1"/>
        <name val="Calibri"/>
        <scheme val="none"/>
      </font>
    </dxf>
  </rfmt>
  <rfmt sheetId="1" sqref="A456:XFD456" start="0" length="0">
    <dxf>
      <font>
        <sz val="11"/>
        <color theme="1"/>
        <name val="Calibri"/>
        <scheme val="none"/>
      </font>
    </dxf>
  </rfmt>
  <rfmt sheetId="1" sqref="A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5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5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57" start="0" length="0">
    <dxf>
      <font>
        <sz val="11"/>
        <color theme="1"/>
        <name val="Calibri"/>
        <scheme val="none"/>
      </font>
    </dxf>
  </rfmt>
  <rfmt sheetId="1" sqref="AM457" start="0" length="0">
    <dxf>
      <font>
        <sz val="11"/>
        <color theme="1"/>
        <name val="Calibri"/>
        <scheme val="none"/>
      </font>
      <numFmt numFmtId="1" formatCode="0"/>
    </dxf>
  </rfmt>
  <rfmt sheetId="1" sqref="AN457" start="0" length="0">
    <dxf>
      <font>
        <sz val="11"/>
        <color theme="1"/>
        <name val="Calibri"/>
        <scheme val="none"/>
      </font>
      <numFmt numFmtId="1" formatCode="0"/>
    </dxf>
  </rfmt>
  <rfmt sheetId="1" sqref="AO457" start="0" length="0">
    <dxf>
      <font>
        <sz val="11"/>
        <color theme="1"/>
        <name val="Calibri"/>
        <scheme val="none"/>
      </font>
    </dxf>
  </rfmt>
  <rfmt sheetId="1" sqref="AP457" start="0" length="0">
    <dxf>
      <font>
        <sz val="11"/>
        <color theme="1"/>
        <name val="Calibri"/>
        <scheme val="none"/>
      </font>
    </dxf>
  </rfmt>
  <rfmt sheetId="1" sqref="AQ457" start="0" length="0">
    <dxf>
      <font>
        <sz val="11"/>
        <color theme="1"/>
        <name val="Calibri"/>
        <scheme val="none"/>
      </font>
      <numFmt numFmtId="164" formatCode="_-* #,##0_-;\-* #,##0_-;_-* &quot;-&quot;??_-;_-@_-"/>
    </dxf>
  </rfmt>
  <rfmt sheetId="1" sqref="AR457" start="0" length="0">
    <dxf>
      <font>
        <sz val="11"/>
        <color theme="1"/>
        <name val="Calibri"/>
        <scheme val="none"/>
      </font>
      <numFmt numFmtId="164" formatCode="_-* #,##0_-;\-* #,##0_-;_-* &quot;-&quot;??_-;_-@_-"/>
    </dxf>
  </rfmt>
  <rfmt sheetId="1" sqref="AS457" start="0" length="0">
    <dxf>
      <font>
        <sz val="11"/>
        <color theme="1"/>
        <name val="Calibri"/>
        <scheme val="none"/>
      </font>
      <numFmt numFmtId="164" formatCode="_-* #,##0_-;\-* #,##0_-;_-* &quot;-&quot;??_-;_-@_-"/>
    </dxf>
  </rfmt>
  <rfmt sheetId="1" sqref="AT457" start="0" length="0">
    <dxf>
      <font>
        <sz val="11"/>
        <color theme="1"/>
        <name val="Calibri"/>
        <scheme val="none"/>
      </font>
      <numFmt numFmtId="164" formatCode="_-* #,##0_-;\-* #,##0_-;_-* &quot;-&quot;??_-;_-@_-"/>
    </dxf>
  </rfmt>
  <rfmt sheetId="1" sqref="AU457" start="0" length="0">
    <dxf>
      <font>
        <sz val="11"/>
        <color theme="1"/>
        <name val="Calibri"/>
        <scheme val="none"/>
      </font>
    </dxf>
  </rfmt>
  <rfmt sheetId="1" sqref="AV457" start="0" length="0">
    <dxf>
      <font>
        <sz val="11"/>
        <color theme="1"/>
        <name val="Calibri"/>
        <scheme val="none"/>
      </font>
    </dxf>
  </rfmt>
  <rfmt sheetId="1" sqref="AW457" start="0" length="0">
    <dxf>
      <font>
        <sz val="11"/>
        <color theme="1"/>
        <name val="Calibri"/>
        <scheme val="none"/>
      </font>
    </dxf>
  </rfmt>
  <rfmt sheetId="1" sqref="AX457" start="0" length="0">
    <dxf>
      <font>
        <sz val="11"/>
        <color theme="1"/>
        <name val="Calibri"/>
        <scheme val="none"/>
      </font>
    </dxf>
  </rfmt>
  <rfmt sheetId="1" sqref="AY457" start="0" length="0">
    <dxf>
      <font>
        <sz val="11"/>
        <color theme="1"/>
        <name val="Calibri"/>
        <scheme val="none"/>
      </font>
    </dxf>
  </rfmt>
  <rfmt sheetId="1" sqref="A457:XFD457" start="0" length="0">
    <dxf>
      <font>
        <sz val="11"/>
        <color theme="1"/>
        <name val="Calibri"/>
        <scheme val="none"/>
      </font>
    </dxf>
  </rfmt>
  <rfmt sheetId="1" sqref="A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5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5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58" start="0" length="0">
    <dxf>
      <font>
        <sz val="11"/>
        <color theme="1"/>
        <name val="Calibri"/>
        <scheme val="none"/>
      </font>
    </dxf>
  </rfmt>
  <rfmt sheetId="1" sqref="AM458" start="0" length="0">
    <dxf>
      <font>
        <sz val="11"/>
        <color theme="1"/>
        <name val="Calibri"/>
        <scheme val="none"/>
      </font>
      <numFmt numFmtId="1" formatCode="0"/>
    </dxf>
  </rfmt>
  <rfmt sheetId="1" sqref="AN458" start="0" length="0">
    <dxf>
      <font>
        <sz val="11"/>
        <color theme="1"/>
        <name val="Calibri"/>
        <scheme val="none"/>
      </font>
      <numFmt numFmtId="1" formatCode="0"/>
    </dxf>
  </rfmt>
  <rfmt sheetId="1" sqref="AO458" start="0" length="0">
    <dxf>
      <font>
        <sz val="11"/>
        <color theme="1"/>
        <name val="Calibri"/>
        <scheme val="none"/>
      </font>
    </dxf>
  </rfmt>
  <rfmt sheetId="1" sqref="AP458" start="0" length="0">
    <dxf>
      <font>
        <sz val="11"/>
        <color theme="1"/>
        <name val="Calibri"/>
        <scheme val="none"/>
      </font>
    </dxf>
  </rfmt>
  <rfmt sheetId="1" sqref="AQ458" start="0" length="0">
    <dxf>
      <font>
        <sz val="11"/>
        <color theme="1"/>
        <name val="Calibri"/>
        <scheme val="none"/>
      </font>
      <numFmt numFmtId="164" formatCode="_-* #,##0_-;\-* #,##0_-;_-* &quot;-&quot;??_-;_-@_-"/>
    </dxf>
  </rfmt>
  <rfmt sheetId="1" sqref="AR458" start="0" length="0">
    <dxf>
      <font>
        <sz val="11"/>
        <color theme="1"/>
        <name val="Calibri"/>
        <scheme val="none"/>
      </font>
      <numFmt numFmtId="164" formatCode="_-* #,##0_-;\-* #,##0_-;_-* &quot;-&quot;??_-;_-@_-"/>
    </dxf>
  </rfmt>
  <rfmt sheetId="1" sqref="AS458" start="0" length="0">
    <dxf>
      <font>
        <sz val="11"/>
        <color theme="1"/>
        <name val="Calibri"/>
        <scheme val="none"/>
      </font>
      <numFmt numFmtId="164" formatCode="_-* #,##0_-;\-* #,##0_-;_-* &quot;-&quot;??_-;_-@_-"/>
    </dxf>
  </rfmt>
  <rfmt sheetId="1" sqref="AT458" start="0" length="0">
    <dxf>
      <font>
        <sz val="11"/>
        <color theme="1"/>
        <name val="Calibri"/>
        <scheme val="none"/>
      </font>
      <numFmt numFmtId="164" formatCode="_-* #,##0_-;\-* #,##0_-;_-* &quot;-&quot;??_-;_-@_-"/>
    </dxf>
  </rfmt>
  <rfmt sheetId="1" sqref="AU458" start="0" length="0">
    <dxf>
      <font>
        <sz val="11"/>
        <color theme="1"/>
        <name val="Calibri"/>
        <scheme val="none"/>
      </font>
    </dxf>
  </rfmt>
  <rfmt sheetId="1" sqref="AV458" start="0" length="0">
    <dxf>
      <font>
        <sz val="11"/>
        <color theme="1"/>
        <name val="Calibri"/>
        <scheme val="none"/>
      </font>
    </dxf>
  </rfmt>
  <rfmt sheetId="1" sqref="AW458" start="0" length="0">
    <dxf>
      <font>
        <sz val="11"/>
        <color theme="1"/>
        <name val="Calibri"/>
        <scheme val="none"/>
      </font>
    </dxf>
  </rfmt>
  <rfmt sheetId="1" sqref="AX458" start="0" length="0">
    <dxf>
      <font>
        <sz val="11"/>
        <color theme="1"/>
        <name val="Calibri"/>
        <scheme val="none"/>
      </font>
    </dxf>
  </rfmt>
  <rfmt sheetId="1" sqref="AY458" start="0" length="0">
    <dxf>
      <font>
        <sz val="11"/>
        <color theme="1"/>
        <name val="Calibri"/>
        <scheme val="none"/>
      </font>
    </dxf>
  </rfmt>
  <rfmt sheetId="1" sqref="A458:XFD458" start="0" length="0">
    <dxf>
      <font>
        <sz val="11"/>
        <color theme="1"/>
        <name val="Calibri"/>
        <scheme val="none"/>
      </font>
    </dxf>
  </rfmt>
  <rfmt sheetId="1" sqref="A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5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5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59" start="0" length="0">
    <dxf>
      <font>
        <sz val="11"/>
        <color theme="1"/>
        <name val="Calibri"/>
        <scheme val="none"/>
      </font>
    </dxf>
  </rfmt>
  <rfmt sheetId="1" sqref="AM459" start="0" length="0">
    <dxf>
      <font>
        <sz val="11"/>
        <color theme="1"/>
        <name val="Calibri"/>
        <scheme val="none"/>
      </font>
      <numFmt numFmtId="1" formatCode="0"/>
    </dxf>
  </rfmt>
  <rfmt sheetId="1" sqref="AN459" start="0" length="0">
    <dxf>
      <font>
        <sz val="11"/>
        <color theme="1"/>
        <name val="Calibri"/>
        <scheme val="none"/>
      </font>
      <numFmt numFmtId="1" formatCode="0"/>
    </dxf>
  </rfmt>
  <rfmt sheetId="1" sqref="AO459" start="0" length="0">
    <dxf>
      <font>
        <sz val="11"/>
        <color theme="1"/>
        <name val="Calibri"/>
        <scheme val="none"/>
      </font>
    </dxf>
  </rfmt>
  <rfmt sheetId="1" sqref="AP459" start="0" length="0">
    <dxf>
      <font>
        <sz val="11"/>
        <color theme="1"/>
        <name val="Calibri"/>
        <scheme val="none"/>
      </font>
    </dxf>
  </rfmt>
  <rfmt sheetId="1" sqref="AQ459" start="0" length="0">
    <dxf>
      <font>
        <sz val="11"/>
        <color theme="1"/>
        <name val="Calibri"/>
        <scheme val="none"/>
      </font>
      <numFmt numFmtId="164" formatCode="_-* #,##0_-;\-* #,##0_-;_-* &quot;-&quot;??_-;_-@_-"/>
    </dxf>
  </rfmt>
  <rfmt sheetId="1" sqref="AR459" start="0" length="0">
    <dxf>
      <font>
        <sz val="11"/>
        <color theme="1"/>
        <name val="Calibri"/>
        <scheme val="none"/>
      </font>
      <numFmt numFmtId="164" formatCode="_-* #,##0_-;\-* #,##0_-;_-* &quot;-&quot;??_-;_-@_-"/>
    </dxf>
  </rfmt>
  <rfmt sheetId="1" sqref="AS459" start="0" length="0">
    <dxf>
      <font>
        <sz val="11"/>
        <color theme="1"/>
        <name val="Calibri"/>
        <scheme val="none"/>
      </font>
      <numFmt numFmtId="164" formatCode="_-* #,##0_-;\-* #,##0_-;_-* &quot;-&quot;??_-;_-@_-"/>
    </dxf>
  </rfmt>
  <rfmt sheetId="1" sqref="AT459" start="0" length="0">
    <dxf>
      <font>
        <sz val="11"/>
        <color theme="1"/>
        <name val="Calibri"/>
        <scheme val="none"/>
      </font>
      <numFmt numFmtId="164" formatCode="_-* #,##0_-;\-* #,##0_-;_-* &quot;-&quot;??_-;_-@_-"/>
    </dxf>
  </rfmt>
  <rfmt sheetId="1" sqref="AU459" start="0" length="0">
    <dxf>
      <font>
        <sz val="11"/>
        <color theme="1"/>
        <name val="Calibri"/>
        <scheme val="none"/>
      </font>
    </dxf>
  </rfmt>
  <rfmt sheetId="1" sqref="AV459" start="0" length="0">
    <dxf>
      <font>
        <sz val="11"/>
        <color theme="1"/>
        <name val="Calibri"/>
        <scheme val="none"/>
      </font>
    </dxf>
  </rfmt>
  <rfmt sheetId="1" sqref="AW459" start="0" length="0">
    <dxf>
      <font>
        <sz val="11"/>
        <color theme="1"/>
        <name val="Calibri"/>
        <scheme val="none"/>
      </font>
    </dxf>
  </rfmt>
  <rfmt sheetId="1" sqref="AX459" start="0" length="0">
    <dxf>
      <font>
        <sz val="11"/>
        <color theme="1"/>
        <name val="Calibri"/>
        <scheme val="none"/>
      </font>
    </dxf>
  </rfmt>
  <rfmt sheetId="1" sqref="AY459" start="0" length="0">
    <dxf>
      <font>
        <sz val="11"/>
        <color theme="1"/>
        <name val="Calibri"/>
        <scheme val="none"/>
      </font>
    </dxf>
  </rfmt>
  <rfmt sheetId="1" sqref="A459:XFD459" start="0" length="0">
    <dxf>
      <font>
        <sz val="11"/>
        <color theme="1"/>
        <name val="Calibri"/>
        <scheme val="none"/>
      </font>
    </dxf>
  </rfmt>
  <rfmt sheetId="1" sqref="A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6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6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60" start="0" length="0">
    <dxf>
      <font>
        <sz val="11"/>
        <color theme="1"/>
        <name val="Calibri"/>
        <scheme val="none"/>
      </font>
    </dxf>
  </rfmt>
  <rfmt sheetId="1" sqref="AM460" start="0" length="0">
    <dxf>
      <font>
        <sz val="11"/>
        <color theme="1"/>
        <name val="Calibri"/>
        <scheme val="none"/>
      </font>
      <numFmt numFmtId="1" formatCode="0"/>
    </dxf>
  </rfmt>
  <rfmt sheetId="1" sqref="AN460" start="0" length="0">
    <dxf>
      <font>
        <sz val="11"/>
        <color theme="1"/>
        <name val="Calibri"/>
        <scheme val="none"/>
      </font>
      <numFmt numFmtId="1" formatCode="0"/>
    </dxf>
  </rfmt>
  <rfmt sheetId="1" sqref="AO460" start="0" length="0">
    <dxf>
      <font>
        <sz val="11"/>
        <color theme="1"/>
        <name val="Calibri"/>
        <scheme val="none"/>
      </font>
    </dxf>
  </rfmt>
  <rfmt sheetId="1" sqref="AP460" start="0" length="0">
    <dxf>
      <font>
        <sz val="11"/>
        <color theme="1"/>
        <name val="Calibri"/>
        <scheme val="none"/>
      </font>
    </dxf>
  </rfmt>
  <rfmt sheetId="1" sqref="AQ460" start="0" length="0">
    <dxf>
      <font>
        <sz val="11"/>
        <color theme="1"/>
        <name val="Calibri"/>
        <scheme val="none"/>
      </font>
      <numFmt numFmtId="164" formatCode="_-* #,##0_-;\-* #,##0_-;_-* &quot;-&quot;??_-;_-@_-"/>
    </dxf>
  </rfmt>
  <rfmt sheetId="1" sqref="AR460" start="0" length="0">
    <dxf>
      <font>
        <sz val="11"/>
        <color theme="1"/>
        <name val="Calibri"/>
        <scheme val="none"/>
      </font>
      <numFmt numFmtId="164" formatCode="_-* #,##0_-;\-* #,##0_-;_-* &quot;-&quot;??_-;_-@_-"/>
    </dxf>
  </rfmt>
  <rfmt sheetId="1" sqref="AS460" start="0" length="0">
    <dxf>
      <font>
        <sz val="11"/>
        <color theme="1"/>
        <name val="Calibri"/>
        <scheme val="none"/>
      </font>
      <numFmt numFmtId="164" formatCode="_-* #,##0_-;\-* #,##0_-;_-* &quot;-&quot;??_-;_-@_-"/>
    </dxf>
  </rfmt>
  <rfmt sheetId="1" sqref="AT460" start="0" length="0">
    <dxf>
      <font>
        <sz val="11"/>
        <color theme="1"/>
        <name val="Calibri"/>
        <scheme val="none"/>
      </font>
      <numFmt numFmtId="164" formatCode="_-* #,##0_-;\-* #,##0_-;_-* &quot;-&quot;??_-;_-@_-"/>
    </dxf>
  </rfmt>
  <rfmt sheetId="1" sqref="AU460" start="0" length="0">
    <dxf>
      <font>
        <sz val="11"/>
        <color theme="1"/>
        <name val="Calibri"/>
        <scheme val="none"/>
      </font>
    </dxf>
  </rfmt>
  <rfmt sheetId="1" sqref="AV460" start="0" length="0">
    <dxf>
      <font>
        <sz val="11"/>
        <color theme="1"/>
        <name val="Calibri"/>
        <scheme val="none"/>
      </font>
    </dxf>
  </rfmt>
  <rfmt sheetId="1" sqref="AW460" start="0" length="0">
    <dxf>
      <font>
        <sz val="11"/>
        <color theme="1"/>
        <name val="Calibri"/>
        <scheme val="none"/>
      </font>
    </dxf>
  </rfmt>
  <rfmt sheetId="1" sqref="AX460" start="0" length="0">
    <dxf>
      <font>
        <sz val="11"/>
        <color theme="1"/>
        <name val="Calibri"/>
        <scheme val="none"/>
      </font>
    </dxf>
  </rfmt>
  <rfmt sheetId="1" sqref="AY460" start="0" length="0">
    <dxf>
      <font>
        <sz val="11"/>
        <color theme="1"/>
        <name val="Calibri"/>
        <scheme val="none"/>
      </font>
    </dxf>
  </rfmt>
  <rfmt sheetId="1" sqref="A460:XFD460" start="0" length="0">
    <dxf>
      <font>
        <sz val="11"/>
        <color theme="1"/>
        <name val="Calibri"/>
        <scheme val="none"/>
      </font>
    </dxf>
  </rfmt>
  <rfmt sheetId="1" sqref="A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6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6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61" start="0" length="0">
    <dxf>
      <font>
        <sz val="11"/>
        <color theme="1"/>
        <name val="Calibri"/>
        <scheme val="none"/>
      </font>
    </dxf>
  </rfmt>
  <rfmt sheetId="1" sqref="AM461" start="0" length="0">
    <dxf>
      <font>
        <sz val="11"/>
        <color theme="1"/>
        <name val="Calibri"/>
        <scheme val="none"/>
      </font>
      <numFmt numFmtId="1" formatCode="0"/>
    </dxf>
  </rfmt>
  <rfmt sheetId="1" sqref="AN461" start="0" length="0">
    <dxf>
      <font>
        <sz val="11"/>
        <color theme="1"/>
        <name val="Calibri"/>
        <scheme val="none"/>
      </font>
      <numFmt numFmtId="1" formatCode="0"/>
    </dxf>
  </rfmt>
  <rfmt sheetId="1" sqref="AO461" start="0" length="0">
    <dxf>
      <font>
        <sz val="11"/>
        <color theme="1"/>
        <name val="Calibri"/>
        <scheme val="none"/>
      </font>
    </dxf>
  </rfmt>
  <rfmt sheetId="1" sqref="AP461" start="0" length="0">
    <dxf>
      <font>
        <sz val="11"/>
        <color theme="1"/>
        <name val="Calibri"/>
        <scheme val="none"/>
      </font>
    </dxf>
  </rfmt>
  <rfmt sheetId="1" sqref="AQ461" start="0" length="0">
    <dxf>
      <font>
        <sz val="11"/>
        <color theme="1"/>
        <name val="Calibri"/>
        <scheme val="none"/>
      </font>
      <numFmt numFmtId="164" formatCode="_-* #,##0_-;\-* #,##0_-;_-* &quot;-&quot;??_-;_-@_-"/>
    </dxf>
  </rfmt>
  <rfmt sheetId="1" sqref="AR461" start="0" length="0">
    <dxf>
      <font>
        <sz val="11"/>
        <color theme="1"/>
        <name val="Calibri"/>
        <scheme val="none"/>
      </font>
      <numFmt numFmtId="164" formatCode="_-* #,##0_-;\-* #,##0_-;_-* &quot;-&quot;??_-;_-@_-"/>
    </dxf>
  </rfmt>
  <rfmt sheetId="1" sqref="AS461" start="0" length="0">
    <dxf>
      <font>
        <sz val="11"/>
        <color theme="1"/>
        <name val="Calibri"/>
        <scheme val="none"/>
      </font>
      <numFmt numFmtId="164" formatCode="_-* #,##0_-;\-* #,##0_-;_-* &quot;-&quot;??_-;_-@_-"/>
    </dxf>
  </rfmt>
  <rfmt sheetId="1" sqref="AT461" start="0" length="0">
    <dxf>
      <font>
        <sz val="11"/>
        <color theme="1"/>
        <name val="Calibri"/>
        <scheme val="none"/>
      </font>
      <numFmt numFmtId="164" formatCode="_-* #,##0_-;\-* #,##0_-;_-* &quot;-&quot;??_-;_-@_-"/>
    </dxf>
  </rfmt>
  <rfmt sheetId="1" sqref="AU461" start="0" length="0">
    <dxf>
      <font>
        <sz val="11"/>
        <color theme="1"/>
        <name val="Calibri"/>
        <scheme val="none"/>
      </font>
    </dxf>
  </rfmt>
  <rfmt sheetId="1" sqref="AV461" start="0" length="0">
    <dxf>
      <font>
        <sz val="11"/>
        <color theme="1"/>
        <name val="Calibri"/>
        <scheme val="none"/>
      </font>
    </dxf>
  </rfmt>
  <rfmt sheetId="1" sqref="AW461" start="0" length="0">
    <dxf>
      <font>
        <sz val="11"/>
        <color theme="1"/>
        <name val="Calibri"/>
        <scheme val="none"/>
      </font>
    </dxf>
  </rfmt>
  <rfmt sheetId="1" sqref="AX461" start="0" length="0">
    <dxf>
      <font>
        <sz val="11"/>
        <color theme="1"/>
        <name val="Calibri"/>
        <scheme val="none"/>
      </font>
    </dxf>
  </rfmt>
  <rfmt sheetId="1" sqref="AY461" start="0" length="0">
    <dxf>
      <font>
        <sz val="11"/>
        <color theme="1"/>
        <name val="Calibri"/>
        <scheme val="none"/>
      </font>
    </dxf>
  </rfmt>
  <rfmt sheetId="1" sqref="A461:XFD461" start="0" length="0">
    <dxf>
      <font>
        <sz val="11"/>
        <color theme="1"/>
        <name val="Calibri"/>
        <scheme val="none"/>
      </font>
    </dxf>
  </rfmt>
  <rfmt sheetId="1" sqref="A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6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6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62" start="0" length="0">
    <dxf>
      <font>
        <sz val="11"/>
        <color theme="1"/>
        <name val="Calibri"/>
        <scheme val="none"/>
      </font>
    </dxf>
  </rfmt>
  <rfmt sheetId="1" sqref="AM462" start="0" length="0">
    <dxf>
      <font>
        <sz val="11"/>
        <color theme="1"/>
        <name val="Calibri"/>
        <scheme val="none"/>
      </font>
      <numFmt numFmtId="1" formatCode="0"/>
    </dxf>
  </rfmt>
  <rfmt sheetId="1" sqref="AN462" start="0" length="0">
    <dxf>
      <font>
        <sz val="11"/>
        <color theme="1"/>
        <name val="Calibri"/>
        <scheme val="none"/>
      </font>
      <numFmt numFmtId="1" formatCode="0"/>
    </dxf>
  </rfmt>
  <rfmt sheetId="1" sqref="AO462" start="0" length="0">
    <dxf>
      <font>
        <sz val="11"/>
        <color theme="1"/>
        <name val="Calibri"/>
        <scheme val="none"/>
      </font>
    </dxf>
  </rfmt>
  <rfmt sheetId="1" sqref="AP462" start="0" length="0">
    <dxf>
      <font>
        <sz val="11"/>
        <color theme="1"/>
        <name val="Calibri"/>
        <scheme val="none"/>
      </font>
    </dxf>
  </rfmt>
  <rfmt sheetId="1" sqref="AQ462" start="0" length="0">
    <dxf>
      <font>
        <sz val="11"/>
        <color theme="1"/>
        <name val="Calibri"/>
        <scheme val="none"/>
      </font>
      <numFmt numFmtId="164" formatCode="_-* #,##0_-;\-* #,##0_-;_-* &quot;-&quot;??_-;_-@_-"/>
    </dxf>
  </rfmt>
  <rfmt sheetId="1" sqref="AR462" start="0" length="0">
    <dxf>
      <font>
        <sz val="11"/>
        <color theme="1"/>
        <name val="Calibri"/>
        <scheme val="none"/>
      </font>
      <numFmt numFmtId="164" formatCode="_-* #,##0_-;\-* #,##0_-;_-* &quot;-&quot;??_-;_-@_-"/>
    </dxf>
  </rfmt>
  <rfmt sheetId="1" sqref="AS462" start="0" length="0">
    <dxf>
      <font>
        <sz val="11"/>
        <color theme="1"/>
        <name val="Calibri"/>
        <scheme val="none"/>
      </font>
      <numFmt numFmtId="164" formatCode="_-* #,##0_-;\-* #,##0_-;_-* &quot;-&quot;??_-;_-@_-"/>
    </dxf>
  </rfmt>
  <rfmt sheetId="1" sqref="AT462" start="0" length="0">
    <dxf>
      <font>
        <sz val="11"/>
        <color theme="1"/>
        <name val="Calibri"/>
        <scheme val="none"/>
      </font>
      <numFmt numFmtId="164" formatCode="_-* #,##0_-;\-* #,##0_-;_-* &quot;-&quot;??_-;_-@_-"/>
    </dxf>
  </rfmt>
  <rfmt sheetId="1" sqref="AU462" start="0" length="0">
    <dxf>
      <font>
        <sz val="11"/>
        <color theme="1"/>
        <name val="Calibri"/>
        <scheme val="none"/>
      </font>
    </dxf>
  </rfmt>
  <rfmt sheetId="1" sqref="AV462" start="0" length="0">
    <dxf>
      <font>
        <sz val="11"/>
        <color theme="1"/>
        <name val="Calibri"/>
        <scheme val="none"/>
      </font>
    </dxf>
  </rfmt>
  <rfmt sheetId="1" sqref="AW462" start="0" length="0">
    <dxf>
      <font>
        <sz val="11"/>
        <color theme="1"/>
        <name val="Calibri"/>
        <scheme val="none"/>
      </font>
    </dxf>
  </rfmt>
  <rfmt sheetId="1" sqref="AX462" start="0" length="0">
    <dxf>
      <font>
        <sz val="11"/>
        <color theme="1"/>
        <name val="Calibri"/>
        <scheme val="none"/>
      </font>
    </dxf>
  </rfmt>
  <rfmt sheetId="1" sqref="AY462" start="0" length="0">
    <dxf>
      <font>
        <sz val="11"/>
        <color theme="1"/>
        <name val="Calibri"/>
        <scheme val="none"/>
      </font>
    </dxf>
  </rfmt>
  <rfmt sheetId="1" sqref="A462:XFD462" start="0" length="0">
    <dxf>
      <font>
        <sz val="11"/>
        <color theme="1"/>
        <name val="Calibri"/>
        <scheme val="none"/>
      </font>
    </dxf>
  </rfmt>
  <rfmt sheetId="1" sqref="A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6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6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63" start="0" length="0">
    <dxf>
      <font>
        <sz val="11"/>
        <color theme="1"/>
        <name val="Calibri"/>
        <scheme val="none"/>
      </font>
    </dxf>
  </rfmt>
  <rfmt sheetId="1" sqref="AM463" start="0" length="0">
    <dxf>
      <font>
        <sz val="11"/>
        <color theme="1"/>
        <name val="Calibri"/>
        <scheme val="none"/>
      </font>
      <numFmt numFmtId="1" formatCode="0"/>
    </dxf>
  </rfmt>
  <rfmt sheetId="1" sqref="AN463" start="0" length="0">
    <dxf>
      <font>
        <sz val="11"/>
        <color theme="1"/>
        <name val="Calibri"/>
        <scheme val="none"/>
      </font>
      <numFmt numFmtId="1" formatCode="0"/>
    </dxf>
  </rfmt>
  <rfmt sheetId="1" sqref="AO463" start="0" length="0">
    <dxf>
      <font>
        <sz val="11"/>
        <color theme="1"/>
        <name val="Calibri"/>
        <scheme val="none"/>
      </font>
    </dxf>
  </rfmt>
  <rfmt sheetId="1" sqref="AP463" start="0" length="0">
    <dxf>
      <font>
        <sz val="11"/>
        <color theme="1"/>
        <name val="Calibri"/>
        <scheme val="none"/>
      </font>
    </dxf>
  </rfmt>
  <rfmt sheetId="1" sqref="AQ463" start="0" length="0">
    <dxf>
      <font>
        <sz val="11"/>
        <color theme="1"/>
        <name val="Calibri"/>
        <scheme val="none"/>
      </font>
      <numFmt numFmtId="164" formatCode="_-* #,##0_-;\-* #,##0_-;_-* &quot;-&quot;??_-;_-@_-"/>
    </dxf>
  </rfmt>
  <rfmt sheetId="1" sqref="AR463" start="0" length="0">
    <dxf>
      <font>
        <sz val="11"/>
        <color theme="1"/>
        <name val="Calibri"/>
        <scheme val="none"/>
      </font>
      <numFmt numFmtId="164" formatCode="_-* #,##0_-;\-* #,##0_-;_-* &quot;-&quot;??_-;_-@_-"/>
    </dxf>
  </rfmt>
  <rfmt sheetId="1" sqref="AS463" start="0" length="0">
    <dxf>
      <font>
        <sz val="11"/>
        <color theme="1"/>
        <name val="Calibri"/>
        <scheme val="none"/>
      </font>
      <numFmt numFmtId="164" formatCode="_-* #,##0_-;\-* #,##0_-;_-* &quot;-&quot;??_-;_-@_-"/>
    </dxf>
  </rfmt>
  <rfmt sheetId="1" sqref="AT463" start="0" length="0">
    <dxf>
      <font>
        <sz val="11"/>
        <color theme="1"/>
        <name val="Calibri"/>
        <scheme val="none"/>
      </font>
      <numFmt numFmtId="164" formatCode="_-* #,##0_-;\-* #,##0_-;_-* &quot;-&quot;??_-;_-@_-"/>
    </dxf>
  </rfmt>
  <rfmt sheetId="1" sqref="AU463" start="0" length="0">
    <dxf>
      <font>
        <sz val="11"/>
        <color theme="1"/>
        <name val="Calibri"/>
        <scheme val="none"/>
      </font>
    </dxf>
  </rfmt>
  <rfmt sheetId="1" sqref="AV463" start="0" length="0">
    <dxf>
      <font>
        <sz val="11"/>
        <color theme="1"/>
        <name val="Calibri"/>
        <scheme val="none"/>
      </font>
    </dxf>
  </rfmt>
  <rfmt sheetId="1" sqref="AW463" start="0" length="0">
    <dxf>
      <font>
        <sz val="11"/>
        <color theme="1"/>
        <name val="Calibri"/>
        <scheme val="none"/>
      </font>
    </dxf>
  </rfmt>
  <rfmt sheetId="1" sqref="AX463" start="0" length="0">
    <dxf>
      <font>
        <sz val="11"/>
        <color theme="1"/>
        <name val="Calibri"/>
        <scheme val="none"/>
      </font>
    </dxf>
  </rfmt>
  <rfmt sheetId="1" sqref="AY463" start="0" length="0">
    <dxf>
      <font>
        <sz val="11"/>
        <color theme="1"/>
        <name val="Calibri"/>
        <scheme val="none"/>
      </font>
    </dxf>
  </rfmt>
  <rfmt sheetId="1" sqref="A463:XFD463" start="0" length="0">
    <dxf>
      <font>
        <sz val="11"/>
        <color theme="1"/>
        <name val="Calibri"/>
        <scheme val="none"/>
      </font>
    </dxf>
  </rfmt>
  <rfmt sheetId="1" sqref="A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6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6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64" start="0" length="0">
    <dxf>
      <font>
        <sz val="11"/>
        <color theme="1"/>
        <name val="Calibri"/>
        <scheme val="none"/>
      </font>
    </dxf>
  </rfmt>
  <rfmt sheetId="1" sqref="AM464" start="0" length="0">
    <dxf>
      <font>
        <sz val="11"/>
        <color theme="1"/>
        <name val="Calibri"/>
        <scheme val="none"/>
      </font>
      <numFmt numFmtId="1" formatCode="0"/>
    </dxf>
  </rfmt>
  <rfmt sheetId="1" sqref="AN464" start="0" length="0">
    <dxf>
      <font>
        <sz val="11"/>
        <color theme="1"/>
        <name val="Calibri"/>
        <scheme val="none"/>
      </font>
      <numFmt numFmtId="1" formatCode="0"/>
    </dxf>
  </rfmt>
  <rfmt sheetId="1" sqref="AO464" start="0" length="0">
    <dxf>
      <font>
        <sz val="11"/>
        <color theme="1"/>
        <name val="Calibri"/>
        <scheme val="none"/>
      </font>
    </dxf>
  </rfmt>
  <rfmt sheetId="1" sqref="AP464" start="0" length="0">
    <dxf>
      <font>
        <sz val="11"/>
        <color theme="1"/>
        <name val="Calibri"/>
        <scheme val="none"/>
      </font>
    </dxf>
  </rfmt>
  <rfmt sheetId="1" sqref="AQ464" start="0" length="0">
    <dxf>
      <font>
        <sz val="11"/>
        <color theme="1"/>
        <name val="Calibri"/>
        <scheme val="none"/>
      </font>
      <numFmt numFmtId="164" formatCode="_-* #,##0_-;\-* #,##0_-;_-* &quot;-&quot;??_-;_-@_-"/>
    </dxf>
  </rfmt>
  <rfmt sheetId="1" sqref="AR464" start="0" length="0">
    <dxf>
      <font>
        <sz val="11"/>
        <color theme="1"/>
        <name val="Calibri"/>
        <scheme val="none"/>
      </font>
      <numFmt numFmtId="164" formatCode="_-* #,##0_-;\-* #,##0_-;_-* &quot;-&quot;??_-;_-@_-"/>
    </dxf>
  </rfmt>
  <rfmt sheetId="1" sqref="AS464" start="0" length="0">
    <dxf>
      <font>
        <sz val="11"/>
        <color theme="1"/>
        <name val="Calibri"/>
        <scheme val="none"/>
      </font>
      <numFmt numFmtId="164" formatCode="_-* #,##0_-;\-* #,##0_-;_-* &quot;-&quot;??_-;_-@_-"/>
    </dxf>
  </rfmt>
  <rfmt sheetId="1" sqref="AT464" start="0" length="0">
    <dxf>
      <font>
        <sz val="11"/>
        <color theme="1"/>
        <name val="Calibri"/>
        <scheme val="none"/>
      </font>
      <numFmt numFmtId="164" formatCode="_-* #,##0_-;\-* #,##0_-;_-* &quot;-&quot;??_-;_-@_-"/>
    </dxf>
  </rfmt>
  <rfmt sheetId="1" sqref="AU464" start="0" length="0">
    <dxf>
      <font>
        <sz val="11"/>
        <color theme="1"/>
        <name val="Calibri"/>
        <scheme val="none"/>
      </font>
    </dxf>
  </rfmt>
  <rfmt sheetId="1" sqref="AV464" start="0" length="0">
    <dxf>
      <font>
        <sz val="11"/>
        <color theme="1"/>
        <name val="Calibri"/>
        <scheme val="none"/>
      </font>
    </dxf>
  </rfmt>
  <rfmt sheetId="1" sqref="AW464" start="0" length="0">
    <dxf>
      <font>
        <sz val="11"/>
        <color theme="1"/>
        <name val="Calibri"/>
        <scheme val="none"/>
      </font>
    </dxf>
  </rfmt>
  <rfmt sheetId="1" sqref="AX464" start="0" length="0">
    <dxf>
      <font>
        <sz val="11"/>
        <color theme="1"/>
        <name val="Calibri"/>
        <scheme val="none"/>
      </font>
    </dxf>
  </rfmt>
  <rfmt sheetId="1" sqref="AY464" start="0" length="0">
    <dxf>
      <font>
        <sz val="11"/>
        <color theme="1"/>
        <name val="Calibri"/>
        <scheme val="none"/>
      </font>
    </dxf>
  </rfmt>
  <rfmt sheetId="1" sqref="A464:XFD464" start="0" length="0">
    <dxf>
      <font>
        <sz val="11"/>
        <color theme="1"/>
        <name val="Calibri"/>
        <scheme val="none"/>
      </font>
    </dxf>
  </rfmt>
  <rfmt sheetId="1" sqref="A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6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6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65" start="0" length="0">
    <dxf>
      <font>
        <sz val="11"/>
        <color theme="1"/>
        <name val="Calibri"/>
        <scheme val="none"/>
      </font>
    </dxf>
  </rfmt>
  <rfmt sheetId="1" sqref="AM465" start="0" length="0">
    <dxf>
      <font>
        <sz val="11"/>
        <color theme="1"/>
        <name val="Calibri"/>
        <scheme val="none"/>
      </font>
      <numFmt numFmtId="1" formatCode="0"/>
    </dxf>
  </rfmt>
  <rfmt sheetId="1" sqref="AN465" start="0" length="0">
    <dxf>
      <font>
        <sz val="11"/>
        <color theme="1"/>
        <name val="Calibri"/>
        <scheme val="none"/>
      </font>
      <numFmt numFmtId="1" formatCode="0"/>
    </dxf>
  </rfmt>
  <rfmt sheetId="1" sqref="AO465" start="0" length="0">
    <dxf>
      <font>
        <sz val="11"/>
        <color theme="1"/>
        <name val="Calibri"/>
        <scheme val="none"/>
      </font>
    </dxf>
  </rfmt>
  <rfmt sheetId="1" sqref="AP465" start="0" length="0">
    <dxf>
      <font>
        <sz val="11"/>
        <color theme="1"/>
        <name val="Calibri"/>
        <scheme val="none"/>
      </font>
    </dxf>
  </rfmt>
  <rfmt sheetId="1" sqref="AQ465" start="0" length="0">
    <dxf>
      <font>
        <sz val="11"/>
        <color theme="1"/>
        <name val="Calibri"/>
        <scheme val="none"/>
      </font>
      <numFmt numFmtId="164" formatCode="_-* #,##0_-;\-* #,##0_-;_-* &quot;-&quot;??_-;_-@_-"/>
    </dxf>
  </rfmt>
  <rfmt sheetId="1" sqref="AR465" start="0" length="0">
    <dxf>
      <font>
        <sz val="11"/>
        <color theme="1"/>
        <name val="Calibri"/>
        <scheme val="none"/>
      </font>
      <numFmt numFmtId="164" formatCode="_-* #,##0_-;\-* #,##0_-;_-* &quot;-&quot;??_-;_-@_-"/>
    </dxf>
  </rfmt>
  <rfmt sheetId="1" sqref="AS465" start="0" length="0">
    <dxf>
      <font>
        <sz val="11"/>
        <color theme="1"/>
        <name val="Calibri"/>
        <scheme val="none"/>
      </font>
      <numFmt numFmtId="164" formatCode="_-* #,##0_-;\-* #,##0_-;_-* &quot;-&quot;??_-;_-@_-"/>
    </dxf>
  </rfmt>
  <rfmt sheetId="1" sqref="AT465" start="0" length="0">
    <dxf>
      <font>
        <sz val="11"/>
        <color theme="1"/>
        <name val="Calibri"/>
        <scheme val="none"/>
      </font>
      <numFmt numFmtId="164" formatCode="_-* #,##0_-;\-* #,##0_-;_-* &quot;-&quot;??_-;_-@_-"/>
    </dxf>
  </rfmt>
  <rfmt sheetId="1" sqref="AU465" start="0" length="0">
    <dxf>
      <font>
        <sz val="11"/>
        <color theme="1"/>
        <name val="Calibri"/>
        <scheme val="none"/>
      </font>
    </dxf>
  </rfmt>
  <rfmt sheetId="1" sqref="AV465" start="0" length="0">
    <dxf>
      <font>
        <sz val="11"/>
        <color theme="1"/>
        <name val="Calibri"/>
        <scheme val="none"/>
      </font>
    </dxf>
  </rfmt>
  <rfmt sheetId="1" sqref="AW465" start="0" length="0">
    <dxf>
      <font>
        <sz val="11"/>
        <color theme="1"/>
        <name val="Calibri"/>
        <scheme val="none"/>
      </font>
    </dxf>
  </rfmt>
  <rfmt sheetId="1" sqref="AX465" start="0" length="0">
    <dxf>
      <font>
        <sz val="11"/>
        <color theme="1"/>
        <name val="Calibri"/>
        <scheme val="none"/>
      </font>
    </dxf>
  </rfmt>
  <rfmt sheetId="1" sqref="AY465" start="0" length="0">
    <dxf>
      <font>
        <sz val="11"/>
        <color theme="1"/>
        <name val="Calibri"/>
        <scheme val="none"/>
      </font>
    </dxf>
  </rfmt>
  <rfmt sheetId="1" sqref="A465:XFD465" start="0" length="0">
    <dxf>
      <font>
        <sz val="11"/>
        <color theme="1"/>
        <name val="Calibri"/>
        <scheme val="none"/>
      </font>
    </dxf>
  </rfmt>
  <rfmt sheetId="1" sqref="A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6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6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66" start="0" length="0">
    <dxf>
      <font>
        <sz val="11"/>
        <color theme="1"/>
        <name val="Calibri"/>
        <scheme val="none"/>
      </font>
    </dxf>
  </rfmt>
  <rfmt sheetId="1" sqref="AM466" start="0" length="0">
    <dxf>
      <font>
        <sz val="11"/>
        <color theme="1"/>
        <name val="Calibri"/>
        <scheme val="none"/>
      </font>
      <numFmt numFmtId="1" formatCode="0"/>
    </dxf>
  </rfmt>
  <rfmt sheetId="1" sqref="AN466" start="0" length="0">
    <dxf>
      <font>
        <sz val="11"/>
        <color theme="1"/>
        <name val="Calibri"/>
        <scheme val="none"/>
      </font>
      <numFmt numFmtId="1" formatCode="0"/>
    </dxf>
  </rfmt>
  <rfmt sheetId="1" sqref="AO466" start="0" length="0">
    <dxf>
      <font>
        <sz val="11"/>
        <color theme="1"/>
        <name val="Calibri"/>
        <scheme val="none"/>
      </font>
    </dxf>
  </rfmt>
  <rfmt sheetId="1" sqref="AP466" start="0" length="0">
    <dxf>
      <font>
        <sz val="11"/>
        <color theme="1"/>
        <name val="Calibri"/>
        <scheme val="none"/>
      </font>
    </dxf>
  </rfmt>
  <rfmt sheetId="1" sqref="AQ466" start="0" length="0">
    <dxf>
      <font>
        <sz val="11"/>
        <color theme="1"/>
        <name val="Calibri"/>
        <scheme val="none"/>
      </font>
      <numFmt numFmtId="164" formatCode="_-* #,##0_-;\-* #,##0_-;_-* &quot;-&quot;??_-;_-@_-"/>
    </dxf>
  </rfmt>
  <rfmt sheetId="1" sqref="AR466" start="0" length="0">
    <dxf>
      <font>
        <sz val="11"/>
        <color theme="1"/>
        <name val="Calibri"/>
        <scheme val="none"/>
      </font>
      <numFmt numFmtId="164" formatCode="_-* #,##0_-;\-* #,##0_-;_-* &quot;-&quot;??_-;_-@_-"/>
    </dxf>
  </rfmt>
  <rfmt sheetId="1" sqref="AS466" start="0" length="0">
    <dxf>
      <font>
        <sz val="11"/>
        <color theme="1"/>
        <name val="Calibri"/>
        <scheme val="none"/>
      </font>
      <numFmt numFmtId="164" formatCode="_-* #,##0_-;\-* #,##0_-;_-* &quot;-&quot;??_-;_-@_-"/>
    </dxf>
  </rfmt>
  <rfmt sheetId="1" sqref="AT466" start="0" length="0">
    <dxf>
      <font>
        <sz val="11"/>
        <color theme="1"/>
        <name val="Calibri"/>
        <scheme val="none"/>
      </font>
      <numFmt numFmtId="164" formatCode="_-* #,##0_-;\-* #,##0_-;_-* &quot;-&quot;??_-;_-@_-"/>
    </dxf>
  </rfmt>
  <rfmt sheetId="1" sqref="AU466" start="0" length="0">
    <dxf>
      <font>
        <sz val="11"/>
        <color theme="1"/>
        <name val="Calibri"/>
        <scheme val="none"/>
      </font>
    </dxf>
  </rfmt>
  <rfmt sheetId="1" sqref="AV466" start="0" length="0">
    <dxf>
      <font>
        <sz val="11"/>
        <color theme="1"/>
        <name val="Calibri"/>
        <scheme val="none"/>
      </font>
    </dxf>
  </rfmt>
  <rfmt sheetId="1" sqref="AW466" start="0" length="0">
    <dxf>
      <font>
        <sz val="11"/>
        <color theme="1"/>
        <name val="Calibri"/>
        <scheme val="none"/>
      </font>
    </dxf>
  </rfmt>
  <rfmt sheetId="1" sqref="AX466" start="0" length="0">
    <dxf>
      <font>
        <sz val="11"/>
        <color theme="1"/>
        <name val="Calibri"/>
        <scheme val="none"/>
      </font>
    </dxf>
  </rfmt>
  <rfmt sheetId="1" sqref="AY466" start="0" length="0">
    <dxf>
      <font>
        <sz val="11"/>
        <color theme="1"/>
        <name val="Calibri"/>
        <scheme val="none"/>
      </font>
    </dxf>
  </rfmt>
  <rfmt sheetId="1" sqref="A466:XFD466" start="0" length="0">
    <dxf>
      <font>
        <sz val="11"/>
        <color theme="1"/>
        <name val="Calibri"/>
        <scheme val="none"/>
      </font>
    </dxf>
  </rfmt>
  <rfmt sheetId="1" sqref="A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6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6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67" start="0" length="0">
    <dxf>
      <font>
        <sz val="11"/>
        <color theme="1"/>
        <name val="Calibri"/>
        <scheme val="none"/>
      </font>
    </dxf>
  </rfmt>
  <rfmt sheetId="1" sqref="AM467" start="0" length="0">
    <dxf>
      <font>
        <sz val="11"/>
        <color theme="1"/>
        <name val="Calibri"/>
        <scheme val="none"/>
      </font>
      <numFmt numFmtId="1" formatCode="0"/>
    </dxf>
  </rfmt>
  <rfmt sheetId="1" sqref="AN467" start="0" length="0">
    <dxf>
      <font>
        <sz val="11"/>
        <color theme="1"/>
        <name val="Calibri"/>
        <scheme val="none"/>
      </font>
      <numFmt numFmtId="1" formatCode="0"/>
    </dxf>
  </rfmt>
  <rfmt sheetId="1" sqref="AO467" start="0" length="0">
    <dxf>
      <font>
        <sz val="11"/>
        <color theme="1"/>
        <name val="Calibri"/>
        <scheme val="none"/>
      </font>
    </dxf>
  </rfmt>
  <rfmt sheetId="1" sqref="AP467" start="0" length="0">
    <dxf>
      <font>
        <sz val="11"/>
        <color theme="1"/>
        <name val="Calibri"/>
        <scheme val="none"/>
      </font>
    </dxf>
  </rfmt>
  <rfmt sheetId="1" sqref="AQ467" start="0" length="0">
    <dxf>
      <font>
        <sz val="11"/>
        <color theme="1"/>
        <name val="Calibri"/>
        <scheme val="none"/>
      </font>
      <numFmt numFmtId="164" formatCode="_-* #,##0_-;\-* #,##0_-;_-* &quot;-&quot;??_-;_-@_-"/>
    </dxf>
  </rfmt>
  <rfmt sheetId="1" sqref="AR467" start="0" length="0">
    <dxf>
      <font>
        <sz val="11"/>
        <color theme="1"/>
        <name val="Calibri"/>
        <scheme val="none"/>
      </font>
      <numFmt numFmtId="164" formatCode="_-* #,##0_-;\-* #,##0_-;_-* &quot;-&quot;??_-;_-@_-"/>
    </dxf>
  </rfmt>
  <rfmt sheetId="1" sqref="AS467" start="0" length="0">
    <dxf>
      <font>
        <sz val="11"/>
        <color theme="1"/>
        <name val="Calibri"/>
        <scheme val="none"/>
      </font>
      <numFmt numFmtId="164" formatCode="_-* #,##0_-;\-* #,##0_-;_-* &quot;-&quot;??_-;_-@_-"/>
    </dxf>
  </rfmt>
  <rfmt sheetId="1" sqref="AT467" start="0" length="0">
    <dxf>
      <font>
        <sz val="11"/>
        <color theme="1"/>
        <name val="Calibri"/>
        <scheme val="none"/>
      </font>
      <numFmt numFmtId="164" formatCode="_-* #,##0_-;\-* #,##0_-;_-* &quot;-&quot;??_-;_-@_-"/>
    </dxf>
  </rfmt>
  <rfmt sheetId="1" sqref="AU467" start="0" length="0">
    <dxf>
      <font>
        <sz val="11"/>
        <color theme="1"/>
        <name val="Calibri"/>
        <scheme val="none"/>
      </font>
    </dxf>
  </rfmt>
  <rfmt sheetId="1" sqref="AV467" start="0" length="0">
    <dxf>
      <font>
        <sz val="11"/>
        <color theme="1"/>
        <name val="Calibri"/>
        <scheme val="none"/>
      </font>
    </dxf>
  </rfmt>
  <rfmt sheetId="1" sqref="AW467" start="0" length="0">
    <dxf>
      <font>
        <sz val="11"/>
        <color theme="1"/>
        <name val="Calibri"/>
        <scheme val="none"/>
      </font>
    </dxf>
  </rfmt>
  <rfmt sheetId="1" sqref="AX467" start="0" length="0">
    <dxf>
      <font>
        <sz val="11"/>
        <color theme="1"/>
        <name val="Calibri"/>
        <scheme val="none"/>
      </font>
    </dxf>
  </rfmt>
  <rfmt sheetId="1" sqref="AY467" start="0" length="0">
    <dxf>
      <font>
        <sz val="11"/>
        <color theme="1"/>
        <name val="Calibri"/>
        <scheme val="none"/>
      </font>
    </dxf>
  </rfmt>
  <rfmt sheetId="1" sqref="A467:XFD467" start="0" length="0">
    <dxf>
      <font>
        <sz val="11"/>
        <color theme="1"/>
        <name val="Calibri"/>
        <scheme val="none"/>
      </font>
    </dxf>
  </rfmt>
  <rfmt sheetId="1" sqref="A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6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6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68" start="0" length="0">
    <dxf>
      <font>
        <sz val="11"/>
        <color theme="1"/>
        <name val="Calibri"/>
        <scheme val="none"/>
      </font>
    </dxf>
  </rfmt>
  <rfmt sheetId="1" sqref="AM468" start="0" length="0">
    <dxf>
      <font>
        <sz val="11"/>
        <color theme="1"/>
        <name val="Calibri"/>
        <scheme val="none"/>
      </font>
      <numFmt numFmtId="1" formatCode="0"/>
    </dxf>
  </rfmt>
  <rfmt sheetId="1" sqref="AN468" start="0" length="0">
    <dxf>
      <font>
        <sz val="11"/>
        <color theme="1"/>
        <name val="Calibri"/>
        <scheme val="none"/>
      </font>
      <numFmt numFmtId="1" formatCode="0"/>
    </dxf>
  </rfmt>
  <rfmt sheetId="1" sqref="AO468" start="0" length="0">
    <dxf>
      <font>
        <sz val="11"/>
        <color theme="1"/>
        <name val="Calibri"/>
        <scheme val="none"/>
      </font>
    </dxf>
  </rfmt>
  <rfmt sheetId="1" sqref="AP468" start="0" length="0">
    <dxf>
      <font>
        <sz val="11"/>
        <color theme="1"/>
        <name val="Calibri"/>
        <scheme val="none"/>
      </font>
    </dxf>
  </rfmt>
  <rfmt sheetId="1" sqref="AQ468" start="0" length="0">
    <dxf>
      <font>
        <sz val="11"/>
        <color theme="1"/>
        <name val="Calibri"/>
        <scheme val="none"/>
      </font>
      <numFmt numFmtId="164" formatCode="_-* #,##0_-;\-* #,##0_-;_-* &quot;-&quot;??_-;_-@_-"/>
    </dxf>
  </rfmt>
  <rfmt sheetId="1" sqref="AR468" start="0" length="0">
    <dxf>
      <font>
        <sz val="11"/>
        <color theme="1"/>
        <name val="Calibri"/>
        <scheme val="none"/>
      </font>
      <numFmt numFmtId="164" formatCode="_-* #,##0_-;\-* #,##0_-;_-* &quot;-&quot;??_-;_-@_-"/>
    </dxf>
  </rfmt>
  <rfmt sheetId="1" sqref="AS468" start="0" length="0">
    <dxf>
      <font>
        <sz val="11"/>
        <color theme="1"/>
        <name val="Calibri"/>
        <scheme val="none"/>
      </font>
      <numFmt numFmtId="164" formatCode="_-* #,##0_-;\-* #,##0_-;_-* &quot;-&quot;??_-;_-@_-"/>
    </dxf>
  </rfmt>
  <rfmt sheetId="1" sqref="AT468" start="0" length="0">
    <dxf>
      <font>
        <sz val="11"/>
        <color theme="1"/>
        <name val="Calibri"/>
        <scheme val="none"/>
      </font>
      <numFmt numFmtId="164" formatCode="_-* #,##0_-;\-* #,##0_-;_-* &quot;-&quot;??_-;_-@_-"/>
    </dxf>
  </rfmt>
  <rfmt sheetId="1" sqref="AU468" start="0" length="0">
    <dxf>
      <font>
        <sz val="11"/>
        <color theme="1"/>
        <name val="Calibri"/>
        <scheme val="none"/>
      </font>
    </dxf>
  </rfmt>
  <rfmt sheetId="1" sqref="AV468" start="0" length="0">
    <dxf>
      <font>
        <sz val="11"/>
        <color theme="1"/>
        <name val="Calibri"/>
        <scheme val="none"/>
      </font>
    </dxf>
  </rfmt>
  <rfmt sheetId="1" sqref="AW468" start="0" length="0">
    <dxf>
      <font>
        <sz val="11"/>
        <color theme="1"/>
        <name val="Calibri"/>
        <scheme val="none"/>
      </font>
    </dxf>
  </rfmt>
  <rfmt sheetId="1" sqref="AX468" start="0" length="0">
    <dxf>
      <font>
        <sz val="11"/>
        <color theme="1"/>
        <name val="Calibri"/>
        <scheme val="none"/>
      </font>
    </dxf>
  </rfmt>
  <rfmt sheetId="1" sqref="AY468" start="0" length="0">
    <dxf>
      <font>
        <sz val="11"/>
        <color theme="1"/>
        <name val="Calibri"/>
        <scheme val="none"/>
      </font>
    </dxf>
  </rfmt>
  <rfmt sheetId="1" sqref="A468:XFD468" start="0" length="0">
    <dxf>
      <font>
        <sz val="11"/>
        <color theme="1"/>
        <name val="Calibri"/>
        <scheme val="none"/>
      </font>
    </dxf>
  </rfmt>
  <rfmt sheetId="1" sqref="A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6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6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69" start="0" length="0">
    <dxf>
      <font>
        <sz val="11"/>
        <color theme="1"/>
        <name val="Calibri"/>
        <scheme val="none"/>
      </font>
    </dxf>
  </rfmt>
  <rfmt sheetId="1" sqref="AM469" start="0" length="0">
    <dxf>
      <font>
        <sz val="11"/>
        <color theme="1"/>
        <name val="Calibri"/>
        <scheme val="none"/>
      </font>
      <numFmt numFmtId="1" formatCode="0"/>
    </dxf>
  </rfmt>
  <rfmt sheetId="1" sqref="AN469" start="0" length="0">
    <dxf>
      <font>
        <sz val="11"/>
        <color theme="1"/>
        <name val="Calibri"/>
        <scheme val="none"/>
      </font>
      <numFmt numFmtId="1" formatCode="0"/>
    </dxf>
  </rfmt>
  <rfmt sheetId="1" sqref="AO469" start="0" length="0">
    <dxf>
      <font>
        <sz val="11"/>
        <color theme="1"/>
        <name val="Calibri"/>
        <scheme val="none"/>
      </font>
    </dxf>
  </rfmt>
  <rfmt sheetId="1" sqref="AP469" start="0" length="0">
    <dxf>
      <font>
        <sz val="11"/>
        <color theme="1"/>
        <name val="Calibri"/>
        <scheme val="none"/>
      </font>
    </dxf>
  </rfmt>
  <rfmt sheetId="1" sqref="AQ469" start="0" length="0">
    <dxf>
      <font>
        <sz val="11"/>
        <color theme="1"/>
        <name val="Calibri"/>
        <scheme val="none"/>
      </font>
      <numFmt numFmtId="164" formatCode="_-* #,##0_-;\-* #,##0_-;_-* &quot;-&quot;??_-;_-@_-"/>
    </dxf>
  </rfmt>
  <rfmt sheetId="1" sqref="AR469" start="0" length="0">
    <dxf>
      <font>
        <sz val="11"/>
        <color theme="1"/>
        <name val="Calibri"/>
        <scheme val="none"/>
      </font>
      <numFmt numFmtId="164" formatCode="_-* #,##0_-;\-* #,##0_-;_-* &quot;-&quot;??_-;_-@_-"/>
    </dxf>
  </rfmt>
  <rfmt sheetId="1" sqref="AS469" start="0" length="0">
    <dxf>
      <font>
        <sz val="11"/>
        <color theme="1"/>
        <name val="Calibri"/>
        <scheme val="none"/>
      </font>
      <numFmt numFmtId="164" formatCode="_-* #,##0_-;\-* #,##0_-;_-* &quot;-&quot;??_-;_-@_-"/>
    </dxf>
  </rfmt>
  <rfmt sheetId="1" sqref="AT469" start="0" length="0">
    <dxf>
      <font>
        <sz val="11"/>
        <color theme="1"/>
        <name val="Calibri"/>
        <scheme val="none"/>
      </font>
      <numFmt numFmtId="164" formatCode="_-* #,##0_-;\-* #,##0_-;_-* &quot;-&quot;??_-;_-@_-"/>
    </dxf>
  </rfmt>
  <rfmt sheetId="1" sqref="AU469" start="0" length="0">
    <dxf>
      <font>
        <sz val="11"/>
        <color theme="1"/>
        <name val="Calibri"/>
        <scheme val="none"/>
      </font>
    </dxf>
  </rfmt>
  <rfmt sheetId="1" sqref="AV469" start="0" length="0">
    <dxf>
      <font>
        <sz val="11"/>
        <color theme="1"/>
        <name val="Calibri"/>
        <scheme val="none"/>
      </font>
    </dxf>
  </rfmt>
  <rfmt sheetId="1" sqref="AW469" start="0" length="0">
    <dxf>
      <font>
        <sz val="11"/>
        <color theme="1"/>
        <name val="Calibri"/>
        <scheme val="none"/>
      </font>
    </dxf>
  </rfmt>
  <rfmt sheetId="1" sqref="AX469" start="0" length="0">
    <dxf>
      <font>
        <sz val="11"/>
        <color theme="1"/>
        <name val="Calibri"/>
        <scheme val="none"/>
      </font>
    </dxf>
  </rfmt>
  <rfmt sheetId="1" sqref="AY469" start="0" length="0">
    <dxf>
      <font>
        <sz val="11"/>
        <color theme="1"/>
        <name val="Calibri"/>
        <scheme val="none"/>
      </font>
    </dxf>
  </rfmt>
  <rfmt sheetId="1" sqref="A469:XFD469" start="0" length="0">
    <dxf>
      <font>
        <sz val="11"/>
        <color theme="1"/>
        <name val="Calibri"/>
        <scheme val="none"/>
      </font>
    </dxf>
  </rfmt>
  <rfmt sheetId="1" sqref="A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7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7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70" start="0" length="0">
    <dxf>
      <font>
        <sz val="11"/>
        <color theme="1"/>
        <name val="Calibri"/>
        <scheme val="none"/>
      </font>
    </dxf>
  </rfmt>
  <rfmt sheetId="1" sqref="AM470" start="0" length="0">
    <dxf>
      <font>
        <sz val="11"/>
        <color theme="1"/>
        <name val="Calibri"/>
        <scheme val="none"/>
      </font>
      <numFmt numFmtId="1" formatCode="0"/>
    </dxf>
  </rfmt>
  <rfmt sheetId="1" sqref="AN470" start="0" length="0">
    <dxf>
      <font>
        <sz val="11"/>
        <color theme="1"/>
        <name val="Calibri"/>
        <scheme val="none"/>
      </font>
      <numFmt numFmtId="1" formatCode="0"/>
    </dxf>
  </rfmt>
  <rfmt sheetId="1" sqref="AO470" start="0" length="0">
    <dxf>
      <font>
        <sz val="11"/>
        <color theme="1"/>
        <name val="Calibri"/>
        <scheme val="none"/>
      </font>
    </dxf>
  </rfmt>
  <rfmt sheetId="1" sqref="AP470" start="0" length="0">
    <dxf>
      <font>
        <sz val="11"/>
        <color theme="1"/>
        <name val="Calibri"/>
        <scheme val="none"/>
      </font>
    </dxf>
  </rfmt>
  <rfmt sheetId="1" sqref="AQ470" start="0" length="0">
    <dxf>
      <font>
        <sz val="11"/>
        <color theme="1"/>
        <name val="Calibri"/>
        <scheme val="none"/>
      </font>
      <numFmt numFmtId="164" formatCode="_-* #,##0_-;\-* #,##0_-;_-* &quot;-&quot;??_-;_-@_-"/>
    </dxf>
  </rfmt>
  <rfmt sheetId="1" sqref="AR470" start="0" length="0">
    <dxf>
      <font>
        <sz val="11"/>
        <color theme="1"/>
        <name val="Calibri"/>
        <scheme val="none"/>
      </font>
      <numFmt numFmtId="164" formatCode="_-* #,##0_-;\-* #,##0_-;_-* &quot;-&quot;??_-;_-@_-"/>
    </dxf>
  </rfmt>
  <rfmt sheetId="1" sqref="AS470" start="0" length="0">
    <dxf>
      <font>
        <sz val="11"/>
        <color theme="1"/>
        <name val="Calibri"/>
        <scheme val="none"/>
      </font>
      <numFmt numFmtId="164" formatCode="_-* #,##0_-;\-* #,##0_-;_-* &quot;-&quot;??_-;_-@_-"/>
    </dxf>
  </rfmt>
  <rfmt sheetId="1" sqref="AT470" start="0" length="0">
    <dxf>
      <font>
        <sz val="11"/>
        <color theme="1"/>
        <name val="Calibri"/>
        <scheme val="none"/>
      </font>
      <numFmt numFmtId="164" formatCode="_-* #,##0_-;\-* #,##0_-;_-* &quot;-&quot;??_-;_-@_-"/>
    </dxf>
  </rfmt>
  <rfmt sheetId="1" sqref="AU470" start="0" length="0">
    <dxf>
      <font>
        <sz val="11"/>
        <color theme="1"/>
        <name val="Calibri"/>
        <scheme val="none"/>
      </font>
    </dxf>
  </rfmt>
  <rfmt sheetId="1" sqref="AV470" start="0" length="0">
    <dxf>
      <font>
        <sz val="11"/>
        <color theme="1"/>
        <name val="Calibri"/>
        <scheme val="none"/>
      </font>
    </dxf>
  </rfmt>
  <rfmt sheetId="1" sqref="AW470" start="0" length="0">
    <dxf>
      <font>
        <sz val="11"/>
        <color theme="1"/>
        <name val="Calibri"/>
        <scheme val="none"/>
      </font>
    </dxf>
  </rfmt>
  <rfmt sheetId="1" sqref="AX470" start="0" length="0">
    <dxf>
      <font>
        <sz val="11"/>
        <color theme="1"/>
        <name val="Calibri"/>
        <scheme val="none"/>
      </font>
    </dxf>
  </rfmt>
  <rfmt sheetId="1" sqref="AY470" start="0" length="0">
    <dxf>
      <font>
        <sz val="11"/>
        <color theme="1"/>
        <name val="Calibri"/>
        <scheme val="none"/>
      </font>
    </dxf>
  </rfmt>
  <rfmt sheetId="1" sqref="A470:XFD470" start="0" length="0">
    <dxf>
      <font>
        <sz val="11"/>
        <color theme="1"/>
        <name val="Calibri"/>
        <scheme val="none"/>
      </font>
    </dxf>
  </rfmt>
  <rfmt sheetId="1" sqref="A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7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7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71" start="0" length="0">
    <dxf>
      <font>
        <sz val="11"/>
        <color theme="1"/>
        <name val="Calibri"/>
        <scheme val="none"/>
      </font>
    </dxf>
  </rfmt>
  <rfmt sheetId="1" sqref="AM471" start="0" length="0">
    <dxf>
      <font>
        <sz val="11"/>
        <color theme="1"/>
        <name val="Calibri"/>
        <scheme val="none"/>
      </font>
      <numFmt numFmtId="1" formatCode="0"/>
    </dxf>
  </rfmt>
  <rfmt sheetId="1" sqref="AN471" start="0" length="0">
    <dxf>
      <font>
        <sz val="11"/>
        <color theme="1"/>
        <name val="Calibri"/>
        <scheme val="none"/>
      </font>
      <numFmt numFmtId="1" formatCode="0"/>
    </dxf>
  </rfmt>
  <rfmt sheetId="1" sqref="AO471" start="0" length="0">
    <dxf>
      <font>
        <sz val="11"/>
        <color theme="1"/>
        <name val="Calibri"/>
        <scheme val="none"/>
      </font>
    </dxf>
  </rfmt>
  <rfmt sheetId="1" sqref="AP471" start="0" length="0">
    <dxf>
      <font>
        <sz val="11"/>
        <color theme="1"/>
        <name val="Calibri"/>
        <scheme val="none"/>
      </font>
    </dxf>
  </rfmt>
  <rfmt sheetId="1" sqref="AQ471" start="0" length="0">
    <dxf>
      <font>
        <sz val="11"/>
        <color theme="1"/>
        <name val="Calibri"/>
        <scheme val="none"/>
      </font>
      <numFmt numFmtId="164" formatCode="_-* #,##0_-;\-* #,##0_-;_-* &quot;-&quot;??_-;_-@_-"/>
    </dxf>
  </rfmt>
  <rfmt sheetId="1" sqref="AR471" start="0" length="0">
    <dxf>
      <font>
        <sz val="11"/>
        <color theme="1"/>
        <name val="Calibri"/>
        <scheme val="none"/>
      </font>
      <numFmt numFmtId="164" formatCode="_-* #,##0_-;\-* #,##0_-;_-* &quot;-&quot;??_-;_-@_-"/>
    </dxf>
  </rfmt>
  <rfmt sheetId="1" sqref="AS471" start="0" length="0">
    <dxf>
      <font>
        <sz val="11"/>
        <color theme="1"/>
        <name val="Calibri"/>
        <scheme val="none"/>
      </font>
      <numFmt numFmtId="164" formatCode="_-* #,##0_-;\-* #,##0_-;_-* &quot;-&quot;??_-;_-@_-"/>
    </dxf>
  </rfmt>
  <rfmt sheetId="1" sqref="AT471" start="0" length="0">
    <dxf>
      <font>
        <sz val="11"/>
        <color theme="1"/>
        <name val="Calibri"/>
        <scheme val="none"/>
      </font>
      <numFmt numFmtId="164" formatCode="_-* #,##0_-;\-* #,##0_-;_-* &quot;-&quot;??_-;_-@_-"/>
    </dxf>
  </rfmt>
  <rfmt sheetId="1" sqref="AU471" start="0" length="0">
    <dxf>
      <font>
        <sz val="11"/>
        <color theme="1"/>
        <name val="Calibri"/>
        <scheme val="none"/>
      </font>
    </dxf>
  </rfmt>
  <rfmt sheetId="1" sqref="AV471" start="0" length="0">
    <dxf>
      <font>
        <sz val="11"/>
        <color theme="1"/>
        <name val="Calibri"/>
        <scheme val="none"/>
      </font>
    </dxf>
  </rfmt>
  <rfmt sheetId="1" sqref="AW471" start="0" length="0">
    <dxf>
      <font>
        <sz val="11"/>
        <color theme="1"/>
        <name val="Calibri"/>
        <scheme val="none"/>
      </font>
    </dxf>
  </rfmt>
  <rfmt sheetId="1" sqref="AX471" start="0" length="0">
    <dxf>
      <font>
        <sz val="11"/>
        <color theme="1"/>
        <name val="Calibri"/>
        <scheme val="none"/>
      </font>
    </dxf>
  </rfmt>
  <rfmt sheetId="1" sqref="AY471" start="0" length="0">
    <dxf>
      <font>
        <sz val="11"/>
        <color theme="1"/>
        <name val="Calibri"/>
        <scheme val="none"/>
      </font>
    </dxf>
  </rfmt>
  <rfmt sheetId="1" sqref="A471:XFD471" start="0" length="0">
    <dxf>
      <font>
        <sz val="11"/>
        <color theme="1"/>
        <name val="Calibri"/>
        <scheme val="none"/>
      </font>
    </dxf>
  </rfmt>
  <rfmt sheetId="1" sqref="A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7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7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72" start="0" length="0">
    <dxf>
      <font>
        <sz val="11"/>
        <color theme="1"/>
        <name val="Calibri"/>
        <scheme val="none"/>
      </font>
    </dxf>
  </rfmt>
  <rfmt sheetId="1" sqref="AM472" start="0" length="0">
    <dxf>
      <font>
        <sz val="11"/>
        <color theme="1"/>
        <name val="Calibri"/>
        <scheme val="none"/>
      </font>
      <numFmt numFmtId="1" formatCode="0"/>
    </dxf>
  </rfmt>
  <rfmt sheetId="1" sqref="AN472" start="0" length="0">
    <dxf>
      <font>
        <sz val="11"/>
        <color theme="1"/>
        <name val="Calibri"/>
        <scheme val="none"/>
      </font>
      <numFmt numFmtId="1" formatCode="0"/>
    </dxf>
  </rfmt>
  <rfmt sheetId="1" sqref="AO472" start="0" length="0">
    <dxf>
      <font>
        <sz val="11"/>
        <color theme="1"/>
        <name val="Calibri"/>
        <scheme val="none"/>
      </font>
    </dxf>
  </rfmt>
  <rfmt sheetId="1" sqref="AP472" start="0" length="0">
    <dxf>
      <font>
        <sz val="11"/>
        <color theme="1"/>
        <name val="Calibri"/>
        <scheme val="none"/>
      </font>
    </dxf>
  </rfmt>
  <rfmt sheetId="1" sqref="AQ472" start="0" length="0">
    <dxf>
      <font>
        <sz val="11"/>
        <color theme="1"/>
        <name val="Calibri"/>
        <scheme val="none"/>
      </font>
      <numFmt numFmtId="164" formatCode="_-* #,##0_-;\-* #,##0_-;_-* &quot;-&quot;??_-;_-@_-"/>
    </dxf>
  </rfmt>
  <rfmt sheetId="1" sqref="AR472" start="0" length="0">
    <dxf>
      <font>
        <sz val="11"/>
        <color theme="1"/>
        <name val="Calibri"/>
        <scheme val="none"/>
      </font>
      <numFmt numFmtId="164" formatCode="_-* #,##0_-;\-* #,##0_-;_-* &quot;-&quot;??_-;_-@_-"/>
    </dxf>
  </rfmt>
  <rfmt sheetId="1" sqref="AS472" start="0" length="0">
    <dxf>
      <font>
        <sz val="11"/>
        <color theme="1"/>
        <name val="Calibri"/>
        <scheme val="none"/>
      </font>
      <numFmt numFmtId="164" formatCode="_-* #,##0_-;\-* #,##0_-;_-* &quot;-&quot;??_-;_-@_-"/>
    </dxf>
  </rfmt>
  <rfmt sheetId="1" sqref="AT472" start="0" length="0">
    <dxf>
      <font>
        <sz val="11"/>
        <color theme="1"/>
        <name val="Calibri"/>
        <scheme val="none"/>
      </font>
      <numFmt numFmtId="164" formatCode="_-* #,##0_-;\-* #,##0_-;_-* &quot;-&quot;??_-;_-@_-"/>
    </dxf>
  </rfmt>
  <rfmt sheetId="1" sqref="AU472" start="0" length="0">
    <dxf>
      <font>
        <sz val="11"/>
        <color theme="1"/>
        <name val="Calibri"/>
        <scheme val="none"/>
      </font>
    </dxf>
  </rfmt>
  <rfmt sheetId="1" sqref="AV472" start="0" length="0">
    <dxf>
      <font>
        <sz val="11"/>
        <color theme="1"/>
        <name val="Calibri"/>
        <scheme val="none"/>
      </font>
    </dxf>
  </rfmt>
  <rfmt sheetId="1" sqref="AW472" start="0" length="0">
    <dxf>
      <font>
        <sz val="11"/>
        <color theme="1"/>
        <name val="Calibri"/>
        <scheme val="none"/>
      </font>
    </dxf>
  </rfmt>
  <rfmt sheetId="1" sqref="AX472" start="0" length="0">
    <dxf>
      <font>
        <sz val="11"/>
        <color theme="1"/>
        <name val="Calibri"/>
        <scheme val="none"/>
      </font>
    </dxf>
  </rfmt>
  <rfmt sheetId="1" sqref="AY472" start="0" length="0">
    <dxf>
      <font>
        <sz val="11"/>
        <color theme="1"/>
        <name val="Calibri"/>
        <scheme val="none"/>
      </font>
    </dxf>
  </rfmt>
  <rfmt sheetId="1" sqref="A472:XFD472" start="0" length="0">
    <dxf>
      <font>
        <sz val="11"/>
        <color theme="1"/>
        <name val="Calibri"/>
        <scheme val="none"/>
      </font>
    </dxf>
  </rfmt>
  <rfmt sheetId="1" sqref="A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7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7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73" start="0" length="0">
    <dxf>
      <font>
        <sz val="11"/>
        <color theme="1"/>
        <name val="Calibri"/>
        <scheme val="none"/>
      </font>
    </dxf>
  </rfmt>
  <rfmt sheetId="1" sqref="AM473" start="0" length="0">
    <dxf>
      <font>
        <sz val="11"/>
        <color theme="1"/>
        <name val="Calibri"/>
        <scheme val="none"/>
      </font>
      <numFmt numFmtId="1" formatCode="0"/>
    </dxf>
  </rfmt>
  <rfmt sheetId="1" sqref="AN473" start="0" length="0">
    <dxf>
      <font>
        <sz val="11"/>
        <color theme="1"/>
        <name val="Calibri"/>
        <scheme val="none"/>
      </font>
      <numFmt numFmtId="1" formatCode="0"/>
    </dxf>
  </rfmt>
  <rfmt sheetId="1" sqref="AO473" start="0" length="0">
    <dxf>
      <font>
        <sz val="11"/>
        <color theme="1"/>
        <name val="Calibri"/>
        <scheme val="none"/>
      </font>
    </dxf>
  </rfmt>
  <rfmt sheetId="1" sqref="AP473" start="0" length="0">
    <dxf>
      <font>
        <sz val="11"/>
        <color theme="1"/>
        <name val="Calibri"/>
        <scheme val="none"/>
      </font>
    </dxf>
  </rfmt>
  <rfmt sheetId="1" sqref="AQ473" start="0" length="0">
    <dxf>
      <font>
        <sz val="11"/>
        <color theme="1"/>
        <name val="Calibri"/>
        <scheme val="none"/>
      </font>
      <numFmt numFmtId="164" formatCode="_-* #,##0_-;\-* #,##0_-;_-* &quot;-&quot;??_-;_-@_-"/>
    </dxf>
  </rfmt>
  <rfmt sheetId="1" sqref="AR473" start="0" length="0">
    <dxf>
      <font>
        <sz val="11"/>
        <color theme="1"/>
        <name val="Calibri"/>
        <scheme val="none"/>
      </font>
      <numFmt numFmtId="164" formatCode="_-* #,##0_-;\-* #,##0_-;_-* &quot;-&quot;??_-;_-@_-"/>
    </dxf>
  </rfmt>
  <rfmt sheetId="1" sqref="AS473" start="0" length="0">
    <dxf>
      <font>
        <sz val="11"/>
        <color theme="1"/>
        <name val="Calibri"/>
        <scheme val="none"/>
      </font>
      <numFmt numFmtId="164" formatCode="_-* #,##0_-;\-* #,##0_-;_-* &quot;-&quot;??_-;_-@_-"/>
    </dxf>
  </rfmt>
  <rfmt sheetId="1" sqref="AT473" start="0" length="0">
    <dxf>
      <font>
        <sz val="11"/>
        <color theme="1"/>
        <name val="Calibri"/>
        <scheme val="none"/>
      </font>
      <numFmt numFmtId="164" formatCode="_-* #,##0_-;\-* #,##0_-;_-* &quot;-&quot;??_-;_-@_-"/>
    </dxf>
  </rfmt>
  <rfmt sheetId="1" sqref="AU473" start="0" length="0">
    <dxf>
      <font>
        <sz val="11"/>
        <color theme="1"/>
        <name val="Calibri"/>
        <scheme val="none"/>
      </font>
    </dxf>
  </rfmt>
  <rfmt sheetId="1" sqref="AV473" start="0" length="0">
    <dxf>
      <font>
        <sz val="11"/>
        <color theme="1"/>
        <name val="Calibri"/>
        <scheme val="none"/>
      </font>
    </dxf>
  </rfmt>
  <rfmt sheetId="1" sqref="AW473" start="0" length="0">
    <dxf>
      <font>
        <sz val="11"/>
        <color theme="1"/>
        <name val="Calibri"/>
        <scheme val="none"/>
      </font>
    </dxf>
  </rfmt>
  <rfmt sheetId="1" sqref="AX473" start="0" length="0">
    <dxf>
      <font>
        <sz val="11"/>
        <color theme="1"/>
        <name val="Calibri"/>
        <scheme val="none"/>
      </font>
    </dxf>
  </rfmt>
  <rfmt sheetId="1" sqref="AY473" start="0" length="0">
    <dxf>
      <font>
        <sz val="11"/>
        <color theme="1"/>
        <name val="Calibri"/>
        <scheme val="none"/>
      </font>
    </dxf>
  </rfmt>
  <rfmt sheetId="1" sqref="A473:XFD473" start="0" length="0">
    <dxf>
      <font>
        <sz val="11"/>
        <color theme="1"/>
        <name val="Calibri"/>
        <scheme val="none"/>
      </font>
    </dxf>
  </rfmt>
  <rfmt sheetId="1" sqref="A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7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7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74" start="0" length="0">
    <dxf>
      <font>
        <sz val="11"/>
        <color theme="1"/>
        <name val="Calibri"/>
        <scheme val="none"/>
      </font>
    </dxf>
  </rfmt>
  <rfmt sheetId="1" sqref="AM474" start="0" length="0">
    <dxf>
      <font>
        <sz val="11"/>
        <color theme="1"/>
        <name val="Calibri"/>
        <scheme val="none"/>
      </font>
      <numFmt numFmtId="1" formatCode="0"/>
    </dxf>
  </rfmt>
  <rfmt sheetId="1" sqref="AN474" start="0" length="0">
    <dxf>
      <font>
        <sz val="11"/>
        <color theme="1"/>
        <name val="Calibri"/>
        <scheme val="none"/>
      </font>
      <numFmt numFmtId="1" formatCode="0"/>
    </dxf>
  </rfmt>
  <rfmt sheetId="1" sqref="AO474" start="0" length="0">
    <dxf>
      <font>
        <sz val="11"/>
        <color theme="1"/>
        <name val="Calibri"/>
        <scheme val="none"/>
      </font>
    </dxf>
  </rfmt>
  <rfmt sheetId="1" sqref="AP474" start="0" length="0">
    <dxf>
      <font>
        <sz val="11"/>
        <color theme="1"/>
        <name val="Calibri"/>
        <scheme val="none"/>
      </font>
    </dxf>
  </rfmt>
  <rfmt sheetId="1" sqref="AQ474" start="0" length="0">
    <dxf>
      <font>
        <sz val="11"/>
        <color theme="1"/>
        <name val="Calibri"/>
        <scheme val="none"/>
      </font>
      <numFmt numFmtId="164" formatCode="_-* #,##0_-;\-* #,##0_-;_-* &quot;-&quot;??_-;_-@_-"/>
    </dxf>
  </rfmt>
  <rfmt sheetId="1" sqref="AR474" start="0" length="0">
    <dxf>
      <font>
        <sz val="11"/>
        <color theme="1"/>
        <name val="Calibri"/>
        <scheme val="none"/>
      </font>
      <numFmt numFmtId="164" formatCode="_-* #,##0_-;\-* #,##0_-;_-* &quot;-&quot;??_-;_-@_-"/>
    </dxf>
  </rfmt>
  <rfmt sheetId="1" sqref="AS474" start="0" length="0">
    <dxf>
      <font>
        <sz val="11"/>
        <color theme="1"/>
        <name val="Calibri"/>
        <scheme val="none"/>
      </font>
      <numFmt numFmtId="164" formatCode="_-* #,##0_-;\-* #,##0_-;_-* &quot;-&quot;??_-;_-@_-"/>
    </dxf>
  </rfmt>
  <rfmt sheetId="1" sqref="AT474" start="0" length="0">
    <dxf>
      <font>
        <sz val="11"/>
        <color theme="1"/>
        <name val="Calibri"/>
        <scheme val="none"/>
      </font>
      <numFmt numFmtId="164" formatCode="_-* #,##0_-;\-* #,##0_-;_-* &quot;-&quot;??_-;_-@_-"/>
    </dxf>
  </rfmt>
  <rfmt sheetId="1" sqref="AU474" start="0" length="0">
    <dxf>
      <font>
        <sz val="11"/>
        <color theme="1"/>
        <name val="Calibri"/>
        <scheme val="none"/>
      </font>
    </dxf>
  </rfmt>
  <rfmt sheetId="1" sqref="AV474" start="0" length="0">
    <dxf>
      <font>
        <sz val="11"/>
        <color theme="1"/>
        <name val="Calibri"/>
        <scheme val="none"/>
      </font>
    </dxf>
  </rfmt>
  <rfmt sheetId="1" sqref="AW474" start="0" length="0">
    <dxf>
      <font>
        <sz val="11"/>
        <color theme="1"/>
        <name val="Calibri"/>
        <scheme val="none"/>
      </font>
    </dxf>
  </rfmt>
  <rfmt sheetId="1" sqref="AX474" start="0" length="0">
    <dxf>
      <font>
        <sz val="11"/>
        <color theme="1"/>
        <name val="Calibri"/>
        <scheme val="none"/>
      </font>
    </dxf>
  </rfmt>
  <rfmt sheetId="1" sqref="AY474" start="0" length="0">
    <dxf>
      <font>
        <sz val="11"/>
        <color theme="1"/>
        <name val="Calibri"/>
        <scheme val="none"/>
      </font>
    </dxf>
  </rfmt>
  <rfmt sheetId="1" sqref="A474:XFD474" start="0" length="0">
    <dxf>
      <font>
        <sz val="11"/>
        <color theme="1"/>
        <name val="Calibri"/>
        <scheme val="none"/>
      </font>
    </dxf>
  </rfmt>
  <rfmt sheetId="1" sqref="A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7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7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75" start="0" length="0">
    <dxf>
      <font>
        <sz val="11"/>
        <color theme="1"/>
        <name val="Calibri"/>
        <scheme val="none"/>
      </font>
    </dxf>
  </rfmt>
  <rfmt sheetId="1" sqref="AM475" start="0" length="0">
    <dxf>
      <font>
        <sz val="11"/>
        <color theme="1"/>
        <name val="Calibri"/>
        <scheme val="none"/>
      </font>
      <numFmt numFmtId="1" formatCode="0"/>
    </dxf>
  </rfmt>
  <rfmt sheetId="1" sqref="AN475" start="0" length="0">
    <dxf>
      <font>
        <sz val="11"/>
        <color theme="1"/>
        <name val="Calibri"/>
        <scheme val="none"/>
      </font>
      <numFmt numFmtId="1" formatCode="0"/>
    </dxf>
  </rfmt>
  <rfmt sheetId="1" sqref="AO475" start="0" length="0">
    <dxf>
      <font>
        <sz val="11"/>
        <color theme="1"/>
        <name val="Calibri"/>
        <scheme val="none"/>
      </font>
    </dxf>
  </rfmt>
  <rfmt sheetId="1" sqref="AP475" start="0" length="0">
    <dxf>
      <font>
        <sz val="11"/>
        <color theme="1"/>
        <name val="Calibri"/>
        <scheme val="none"/>
      </font>
    </dxf>
  </rfmt>
  <rfmt sheetId="1" sqref="AQ475" start="0" length="0">
    <dxf>
      <font>
        <sz val="11"/>
        <color theme="1"/>
        <name val="Calibri"/>
        <scheme val="none"/>
      </font>
      <numFmt numFmtId="164" formatCode="_-* #,##0_-;\-* #,##0_-;_-* &quot;-&quot;??_-;_-@_-"/>
    </dxf>
  </rfmt>
  <rfmt sheetId="1" sqref="AR475" start="0" length="0">
    <dxf>
      <font>
        <sz val="11"/>
        <color theme="1"/>
        <name val="Calibri"/>
        <scheme val="none"/>
      </font>
      <numFmt numFmtId="164" formatCode="_-* #,##0_-;\-* #,##0_-;_-* &quot;-&quot;??_-;_-@_-"/>
    </dxf>
  </rfmt>
  <rfmt sheetId="1" sqref="AS475" start="0" length="0">
    <dxf>
      <font>
        <sz val="11"/>
        <color theme="1"/>
        <name val="Calibri"/>
        <scheme val="none"/>
      </font>
      <numFmt numFmtId="164" formatCode="_-* #,##0_-;\-* #,##0_-;_-* &quot;-&quot;??_-;_-@_-"/>
    </dxf>
  </rfmt>
  <rfmt sheetId="1" sqref="AT475" start="0" length="0">
    <dxf>
      <font>
        <sz val="11"/>
        <color theme="1"/>
        <name val="Calibri"/>
        <scheme val="none"/>
      </font>
      <numFmt numFmtId="164" formatCode="_-* #,##0_-;\-* #,##0_-;_-* &quot;-&quot;??_-;_-@_-"/>
    </dxf>
  </rfmt>
  <rfmt sheetId="1" sqref="AU475" start="0" length="0">
    <dxf>
      <font>
        <sz val="11"/>
        <color theme="1"/>
        <name val="Calibri"/>
        <scheme val="none"/>
      </font>
    </dxf>
  </rfmt>
  <rfmt sheetId="1" sqref="AV475" start="0" length="0">
    <dxf>
      <font>
        <sz val="11"/>
        <color theme="1"/>
        <name val="Calibri"/>
        <scheme val="none"/>
      </font>
    </dxf>
  </rfmt>
  <rfmt sheetId="1" sqref="AW475" start="0" length="0">
    <dxf>
      <font>
        <sz val="11"/>
        <color theme="1"/>
        <name val="Calibri"/>
        <scheme val="none"/>
      </font>
    </dxf>
  </rfmt>
  <rfmt sheetId="1" sqref="AX475" start="0" length="0">
    <dxf>
      <font>
        <sz val="11"/>
        <color theme="1"/>
        <name val="Calibri"/>
        <scheme val="none"/>
      </font>
    </dxf>
  </rfmt>
  <rfmt sheetId="1" sqref="AY475" start="0" length="0">
    <dxf>
      <font>
        <sz val="11"/>
        <color theme="1"/>
        <name val="Calibri"/>
        <scheme val="none"/>
      </font>
    </dxf>
  </rfmt>
  <rfmt sheetId="1" sqref="A475:XFD475" start="0" length="0">
    <dxf>
      <font>
        <sz val="11"/>
        <color theme="1"/>
        <name val="Calibri"/>
        <scheme val="none"/>
      </font>
    </dxf>
  </rfmt>
  <rfmt sheetId="1" sqref="A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7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7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76" start="0" length="0">
    <dxf>
      <font>
        <sz val="11"/>
        <color theme="1"/>
        <name val="Calibri"/>
        <scheme val="none"/>
      </font>
    </dxf>
  </rfmt>
  <rfmt sheetId="1" sqref="AM476" start="0" length="0">
    <dxf>
      <font>
        <sz val="11"/>
        <color theme="1"/>
        <name val="Calibri"/>
        <scheme val="none"/>
      </font>
      <numFmt numFmtId="1" formatCode="0"/>
    </dxf>
  </rfmt>
  <rfmt sheetId="1" sqref="AN476" start="0" length="0">
    <dxf>
      <font>
        <sz val="11"/>
        <color theme="1"/>
        <name val="Calibri"/>
        <scheme val="none"/>
      </font>
      <numFmt numFmtId="1" formatCode="0"/>
    </dxf>
  </rfmt>
  <rfmt sheetId="1" sqref="AO476" start="0" length="0">
    <dxf>
      <font>
        <sz val="11"/>
        <color theme="1"/>
        <name val="Calibri"/>
        <scheme val="none"/>
      </font>
    </dxf>
  </rfmt>
  <rfmt sheetId="1" sqref="AP476" start="0" length="0">
    <dxf>
      <font>
        <sz val="11"/>
        <color theme="1"/>
        <name val="Calibri"/>
        <scheme val="none"/>
      </font>
    </dxf>
  </rfmt>
  <rfmt sheetId="1" sqref="AQ476" start="0" length="0">
    <dxf>
      <font>
        <sz val="11"/>
        <color theme="1"/>
        <name val="Calibri"/>
        <scheme val="none"/>
      </font>
      <numFmt numFmtId="164" formatCode="_-* #,##0_-;\-* #,##0_-;_-* &quot;-&quot;??_-;_-@_-"/>
    </dxf>
  </rfmt>
  <rfmt sheetId="1" sqref="AR476" start="0" length="0">
    <dxf>
      <font>
        <sz val="11"/>
        <color theme="1"/>
        <name val="Calibri"/>
        <scheme val="none"/>
      </font>
      <numFmt numFmtId="164" formatCode="_-* #,##0_-;\-* #,##0_-;_-* &quot;-&quot;??_-;_-@_-"/>
    </dxf>
  </rfmt>
  <rfmt sheetId="1" sqref="AS476" start="0" length="0">
    <dxf>
      <font>
        <sz val="11"/>
        <color theme="1"/>
        <name val="Calibri"/>
        <scheme val="none"/>
      </font>
      <numFmt numFmtId="164" formatCode="_-* #,##0_-;\-* #,##0_-;_-* &quot;-&quot;??_-;_-@_-"/>
    </dxf>
  </rfmt>
  <rfmt sheetId="1" sqref="AT476" start="0" length="0">
    <dxf>
      <font>
        <sz val="11"/>
        <color theme="1"/>
        <name val="Calibri"/>
        <scheme val="none"/>
      </font>
      <numFmt numFmtId="164" formatCode="_-* #,##0_-;\-* #,##0_-;_-* &quot;-&quot;??_-;_-@_-"/>
    </dxf>
  </rfmt>
  <rfmt sheetId="1" sqref="AU476" start="0" length="0">
    <dxf>
      <font>
        <sz val="11"/>
        <color theme="1"/>
        <name val="Calibri"/>
        <scheme val="none"/>
      </font>
    </dxf>
  </rfmt>
  <rfmt sheetId="1" sqref="AV476" start="0" length="0">
    <dxf>
      <font>
        <sz val="11"/>
        <color theme="1"/>
        <name val="Calibri"/>
        <scheme val="none"/>
      </font>
    </dxf>
  </rfmt>
  <rfmt sheetId="1" sqref="AW476" start="0" length="0">
    <dxf>
      <font>
        <sz val="11"/>
        <color theme="1"/>
        <name val="Calibri"/>
        <scheme val="none"/>
      </font>
    </dxf>
  </rfmt>
  <rfmt sheetId="1" sqref="AX476" start="0" length="0">
    <dxf>
      <font>
        <sz val="11"/>
        <color theme="1"/>
        <name val="Calibri"/>
        <scheme val="none"/>
      </font>
    </dxf>
  </rfmt>
  <rfmt sheetId="1" sqref="AY476" start="0" length="0">
    <dxf>
      <font>
        <sz val="11"/>
        <color theme="1"/>
        <name val="Calibri"/>
        <scheme val="none"/>
      </font>
    </dxf>
  </rfmt>
  <rfmt sheetId="1" sqref="A476:XFD476" start="0" length="0">
    <dxf>
      <font>
        <sz val="11"/>
        <color theme="1"/>
        <name val="Calibri"/>
        <scheme val="none"/>
      </font>
    </dxf>
  </rfmt>
  <rfmt sheetId="1" sqref="A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7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7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77" start="0" length="0">
    <dxf>
      <font>
        <sz val="11"/>
        <color theme="1"/>
        <name val="Calibri"/>
        <scheme val="none"/>
      </font>
    </dxf>
  </rfmt>
  <rfmt sheetId="1" sqref="AM477" start="0" length="0">
    <dxf>
      <font>
        <sz val="11"/>
        <color theme="1"/>
        <name val="Calibri"/>
        <scheme val="none"/>
      </font>
      <numFmt numFmtId="1" formatCode="0"/>
    </dxf>
  </rfmt>
  <rfmt sheetId="1" sqref="AN477" start="0" length="0">
    <dxf>
      <font>
        <sz val="11"/>
        <color theme="1"/>
        <name val="Calibri"/>
        <scheme val="none"/>
      </font>
      <numFmt numFmtId="1" formatCode="0"/>
    </dxf>
  </rfmt>
  <rfmt sheetId="1" sqref="AO477" start="0" length="0">
    <dxf>
      <font>
        <sz val="11"/>
        <color theme="1"/>
        <name val="Calibri"/>
        <scheme val="none"/>
      </font>
    </dxf>
  </rfmt>
  <rfmt sheetId="1" sqref="AP477" start="0" length="0">
    <dxf>
      <font>
        <sz val="11"/>
        <color theme="1"/>
        <name val="Calibri"/>
        <scheme val="none"/>
      </font>
    </dxf>
  </rfmt>
  <rfmt sheetId="1" sqref="AQ477" start="0" length="0">
    <dxf>
      <font>
        <sz val="11"/>
        <color theme="1"/>
        <name val="Calibri"/>
        <scheme val="none"/>
      </font>
      <numFmt numFmtId="164" formatCode="_-* #,##0_-;\-* #,##0_-;_-* &quot;-&quot;??_-;_-@_-"/>
    </dxf>
  </rfmt>
  <rfmt sheetId="1" sqref="AR477" start="0" length="0">
    <dxf>
      <font>
        <sz val="11"/>
        <color theme="1"/>
        <name val="Calibri"/>
        <scheme val="none"/>
      </font>
      <numFmt numFmtId="164" formatCode="_-* #,##0_-;\-* #,##0_-;_-* &quot;-&quot;??_-;_-@_-"/>
    </dxf>
  </rfmt>
  <rfmt sheetId="1" sqref="AS477" start="0" length="0">
    <dxf>
      <font>
        <sz val="11"/>
        <color theme="1"/>
        <name val="Calibri"/>
        <scheme val="none"/>
      </font>
      <numFmt numFmtId="164" formatCode="_-* #,##0_-;\-* #,##0_-;_-* &quot;-&quot;??_-;_-@_-"/>
    </dxf>
  </rfmt>
  <rfmt sheetId="1" sqref="AT477" start="0" length="0">
    <dxf>
      <font>
        <sz val="11"/>
        <color theme="1"/>
        <name val="Calibri"/>
        <scheme val="none"/>
      </font>
      <numFmt numFmtId="164" formatCode="_-* #,##0_-;\-* #,##0_-;_-* &quot;-&quot;??_-;_-@_-"/>
    </dxf>
  </rfmt>
  <rfmt sheetId="1" sqref="AU477" start="0" length="0">
    <dxf>
      <font>
        <sz val="11"/>
        <color theme="1"/>
        <name val="Calibri"/>
        <scheme val="none"/>
      </font>
    </dxf>
  </rfmt>
  <rfmt sheetId="1" sqref="AV477" start="0" length="0">
    <dxf>
      <font>
        <sz val="11"/>
        <color theme="1"/>
        <name val="Calibri"/>
        <scheme val="none"/>
      </font>
    </dxf>
  </rfmt>
  <rfmt sheetId="1" sqref="AW477" start="0" length="0">
    <dxf>
      <font>
        <sz val="11"/>
        <color theme="1"/>
        <name val="Calibri"/>
        <scheme val="none"/>
      </font>
    </dxf>
  </rfmt>
  <rfmt sheetId="1" sqref="AX477" start="0" length="0">
    <dxf>
      <font>
        <sz val="11"/>
        <color theme="1"/>
        <name val="Calibri"/>
        <scheme val="none"/>
      </font>
    </dxf>
  </rfmt>
  <rfmt sheetId="1" sqref="AY477" start="0" length="0">
    <dxf>
      <font>
        <sz val="11"/>
        <color theme="1"/>
        <name val="Calibri"/>
        <scheme val="none"/>
      </font>
    </dxf>
  </rfmt>
  <rfmt sheetId="1" sqref="A477:XFD477" start="0" length="0">
    <dxf>
      <font>
        <sz val="11"/>
        <color theme="1"/>
        <name val="Calibri"/>
        <scheme val="none"/>
      </font>
    </dxf>
  </rfmt>
  <rfmt sheetId="1" sqref="A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7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7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78" start="0" length="0">
    <dxf>
      <font>
        <sz val="11"/>
        <color theme="1"/>
        <name val="Calibri"/>
        <scheme val="none"/>
      </font>
    </dxf>
  </rfmt>
  <rfmt sheetId="1" sqref="AM478" start="0" length="0">
    <dxf>
      <font>
        <sz val="11"/>
        <color theme="1"/>
        <name val="Calibri"/>
        <scheme val="none"/>
      </font>
      <numFmt numFmtId="1" formatCode="0"/>
    </dxf>
  </rfmt>
  <rfmt sheetId="1" sqref="AN478" start="0" length="0">
    <dxf>
      <font>
        <sz val="11"/>
        <color theme="1"/>
        <name val="Calibri"/>
        <scheme val="none"/>
      </font>
      <numFmt numFmtId="1" formatCode="0"/>
    </dxf>
  </rfmt>
  <rfmt sheetId="1" sqref="AO478" start="0" length="0">
    <dxf>
      <font>
        <sz val="11"/>
        <color theme="1"/>
        <name val="Calibri"/>
        <scheme val="none"/>
      </font>
    </dxf>
  </rfmt>
  <rfmt sheetId="1" sqref="AP478" start="0" length="0">
    <dxf>
      <font>
        <sz val="11"/>
        <color theme="1"/>
        <name val="Calibri"/>
        <scheme val="none"/>
      </font>
    </dxf>
  </rfmt>
  <rfmt sheetId="1" sqref="AQ478" start="0" length="0">
    <dxf>
      <font>
        <sz val="11"/>
        <color theme="1"/>
        <name val="Calibri"/>
        <scheme val="none"/>
      </font>
      <numFmt numFmtId="164" formatCode="_-* #,##0_-;\-* #,##0_-;_-* &quot;-&quot;??_-;_-@_-"/>
    </dxf>
  </rfmt>
  <rfmt sheetId="1" sqref="AR478" start="0" length="0">
    <dxf>
      <font>
        <sz val="11"/>
        <color theme="1"/>
        <name val="Calibri"/>
        <scheme val="none"/>
      </font>
      <numFmt numFmtId="164" formatCode="_-* #,##0_-;\-* #,##0_-;_-* &quot;-&quot;??_-;_-@_-"/>
    </dxf>
  </rfmt>
  <rfmt sheetId="1" sqref="AS478" start="0" length="0">
    <dxf>
      <font>
        <sz val="11"/>
        <color theme="1"/>
        <name val="Calibri"/>
        <scheme val="none"/>
      </font>
      <numFmt numFmtId="164" formatCode="_-* #,##0_-;\-* #,##0_-;_-* &quot;-&quot;??_-;_-@_-"/>
    </dxf>
  </rfmt>
  <rfmt sheetId="1" sqref="AT478" start="0" length="0">
    <dxf>
      <font>
        <sz val="11"/>
        <color theme="1"/>
        <name val="Calibri"/>
        <scheme val="none"/>
      </font>
      <numFmt numFmtId="164" formatCode="_-* #,##0_-;\-* #,##0_-;_-* &quot;-&quot;??_-;_-@_-"/>
    </dxf>
  </rfmt>
  <rfmt sheetId="1" sqref="AU478" start="0" length="0">
    <dxf>
      <font>
        <sz val="11"/>
        <color theme="1"/>
        <name val="Calibri"/>
        <scheme val="none"/>
      </font>
    </dxf>
  </rfmt>
  <rfmt sheetId="1" sqref="AV478" start="0" length="0">
    <dxf>
      <font>
        <sz val="11"/>
        <color theme="1"/>
        <name val="Calibri"/>
        <scheme val="none"/>
      </font>
    </dxf>
  </rfmt>
  <rfmt sheetId="1" sqref="AW478" start="0" length="0">
    <dxf>
      <font>
        <sz val="11"/>
        <color theme="1"/>
        <name val="Calibri"/>
        <scheme val="none"/>
      </font>
    </dxf>
  </rfmt>
  <rfmt sheetId="1" sqref="AX478" start="0" length="0">
    <dxf>
      <font>
        <sz val="11"/>
        <color theme="1"/>
        <name val="Calibri"/>
        <scheme val="none"/>
      </font>
    </dxf>
  </rfmt>
  <rfmt sheetId="1" sqref="AY478" start="0" length="0">
    <dxf>
      <font>
        <sz val="11"/>
        <color theme="1"/>
        <name val="Calibri"/>
        <scheme val="none"/>
      </font>
    </dxf>
  </rfmt>
  <rfmt sheetId="1" sqref="A478:XFD478" start="0" length="0">
    <dxf>
      <font>
        <sz val="11"/>
        <color theme="1"/>
        <name val="Calibri"/>
        <scheme val="none"/>
      </font>
    </dxf>
  </rfmt>
  <rfmt sheetId="1" sqref="A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7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7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79" start="0" length="0">
    <dxf>
      <font>
        <sz val="11"/>
        <color theme="1"/>
        <name val="Calibri"/>
        <scheme val="none"/>
      </font>
    </dxf>
  </rfmt>
  <rfmt sheetId="1" sqref="AM479" start="0" length="0">
    <dxf>
      <font>
        <sz val="11"/>
        <color theme="1"/>
        <name val="Calibri"/>
        <scheme val="none"/>
      </font>
      <numFmt numFmtId="1" formatCode="0"/>
    </dxf>
  </rfmt>
  <rfmt sheetId="1" sqref="AN479" start="0" length="0">
    <dxf>
      <font>
        <sz val="11"/>
        <color theme="1"/>
        <name val="Calibri"/>
        <scheme val="none"/>
      </font>
      <numFmt numFmtId="1" formatCode="0"/>
    </dxf>
  </rfmt>
  <rfmt sheetId="1" sqref="AO479" start="0" length="0">
    <dxf>
      <font>
        <sz val="11"/>
        <color theme="1"/>
        <name val="Calibri"/>
        <scheme val="none"/>
      </font>
    </dxf>
  </rfmt>
  <rfmt sheetId="1" sqref="AP479" start="0" length="0">
    <dxf>
      <font>
        <sz val="11"/>
        <color theme="1"/>
        <name val="Calibri"/>
        <scheme val="none"/>
      </font>
    </dxf>
  </rfmt>
  <rfmt sheetId="1" sqref="AQ479" start="0" length="0">
    <dxf>
      <font>
        <sz val="11"/>
        <color theme="1"/>
        <name val="Calibri"/>
        <scheme val="none"/>
      </font>
      <numFmt numFmtId="164" formatCode="_-* #,##0_-;\-* #,##0_-;_-* &quot;-&quot;??_-;_-@_-"/>
    </dxf>
  </rfmt>
  <rfmt sheetId="1" sqref="AR479" start="0" length="0">
    <dxf>
      <font>
        <sz val="11"/>
        <color theme="1"/>
        <name val="Calibri"/>
        <scheme val="none"/>
      </font>
      <numFmt numFmtId="164" formatCode="_-* #,##0_-;\-* #,##0_-;_-* &quot;-&quot;??_-;_-@_-"/>
    </dxf>
  </rfmt>
  <rfmt sheetId="1" sqref="AS479" start="0" length="0">
    <dxf>
      <font>
        <sz val="11"/>
        <color theme="1"/>
        <name val="Calibri"/>
        <scheme val="none"/>
      </font>
      <numFmt numFmtId="164" formatCode="_-* #,##0_-;\-* #,##0_-;_-* &quot;-&quot;??_-;_-@_-"/>
    </dxf>
  </rfmt>
  <rfmt sheetId="1" sqref="AT479" start="0" length="0">
    <dxf>
      <font>
        <sz val="11"/>
        <color theme="1"/>
        <name val="Calibri"/>
        <scheme val="none"/>
      </font>
      <numFmt numFmtId="164" formatCode="_-* #,##0_-;\-* #,##0_-;_-* &quot;-&quot;??_-;_-@_-"/>
    </dxf>
  </rfmt>
  <rfmt sheetId="1" sqref="AU479" start="0" length="0">
    <dxf>
      <font>
        <sz val="11"/>
        <color theme="1"/>
        <name val="Calibri"/>
        <scheme val="none"/>
      </font>
    </dxf>
  </rfmt>
  <rfmt sheetId="1" sqref="AV479" start="0" length="0">
    <dxf>
      <font>
        <sz val="11"/>
        <color theme="1"/>
        <name val="Calibri"/>
        <scheme val="none"/>
      </font>
    </dxf>
  </rfmt>
  <rfmt sheetId="1" sqref="AW479" start="0" length="0">
    <dxf>
      <font>
        <sz val="11"/>
        <color theme="1"/>
        <name val="Calibri"/>
        <scheme val="none"/>
      </font>
    </dxf>
  </rfmt>
  <rfmt sheetId="1" sqref="AX479" start="0" length="0">
    <dxf>
      <font>
        <sz val="11"/>
        <color theme="1"/>
        <name val="Calibri"/>
        <scheme val="none"/>
      </font>
    </dxf>
  </rfmt>
  <rfmt sheetId="1" sqref="AY479" start="0" length="0">
    <dxf>
      <font>
        <sz val="11"/>
        <color theme="1"/>
        <name val="Calibri"/>
        <scheme val="none"/>
      </font>
    </dxf>
  </rfmt>
  <rfmt sheetId="1" sqref="A479:XFD479" start="0" length="0">
    <dxf>
      <font>
        <sz val="11"/>
        <color theme="1"/>
        <name val="Calibri"/>
        <scheme val="none"/>
      </font>
    </dxf>
  </rfmt>
  <rfmt sheetId="1" sqref="A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8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8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80" start="0" length="0">
    <dxf>
      <font>
        <sz val="11"/>
        <color theme="1"/>
        <name val="Calibri"/>
        <scheme val="none"/>
      </font>
    </dxf>
  </rfmt>
  <rfmt sheetId="1" sqref="AM480" start="0" length="0">
    <dxf>
      <font>
        <sz val="11"/>
        <color theme="1"/>
        <name val="Calibri"/>
        <scheme val="none"/>
      </font>
      <numFmt numFmtId="1" formatCode="0"/>
    </dxf>
  </rfmt>
  <rfmt sheetId="1" sqref="AN480" start="0" length="0">
    <dxf>
      <font>
        <sz val="11"/>
        <color theme="1"/>
        <name val="Calibri"/>
        <scheme val="none"/>
      </font>
      <numFmt numFmtId="1" formatCode="0"/>
    </dxf>
  </rfmt>
  <rfmt sheetId="1" sqref="AO480" start="0" length="0">
    <dxf>
      <font>
        <sz val="11"/>
        <color theme="1"/>
        <name val="Calibri"/>
        <scheme val="none"/>
      </font>
    </dxf>
  </rfmt>
  <rfmt sheetId="1" sqref="AP480" start="0" length="0">
    <dxf>
      <font>
        <sz val="11"/>
        <color theme="1"/>
        <name val="Calibri"/>
        <scheme val="none"/>
      </font>
    </dxf>
  </rfmt>
  <rfmt sheetId="1" sqref="AQ480" start="0" length="0">
    <dxf>
      <font>
        <sz val="11"/>
        <color theme="1"/>
        <name val="Calibri"/>
        <scheme val="none"/>
      </font>
      <numFmt numFmtId="164" formatCode="_-* #,##0_-;\-* #,##0_-;_-* &quot;-&quot;??_-;_-@_-"/>
    </dxf>
  </rfmt>
  <rfmt sheetId="1" sqref="AR480" start="0" length="0">
    <dxf>
      <font>
        <sz val="11"/>
        <color theme="1"/>
        <name val="Calibri"/>
        <scheme val="none"/>
      </font>
      <numFmt numFmtId="164" formatCode="_-* #,##0_-;\-* #,##0_-;_-* &quot;-&quot;??_-;_-@_-"/>
    </dxf>
  </rfmt>
  <rfmt sheetId="1" sqref="AS480" start="0" length="0">
    <dxf>
      <font>
        <sz val="11"/>
        <color theme="1"/>
        <name val="Calibri"/>
        <scheme val="none"/>
      </font>
      <numFmt numFmtId="164" formatCode="_-* #,##0_-;\-* #,##0_-;_-* &quot;-&quot;??_-;_-@_-"/>
    </dxf>
  </rfmt>
  <rfmt sheetId="1" sqref="AT480" start="0" length="0">
    <dxf>
      <font>
        <sz val="11"/>
        <color theme="1"/>
        <name val="Calibri"/>
        <scheme val="none"/>
      </font>
      <numFmt numFmtId="164" formatCode="_-* #,##0_-;\-* #,##0_-;_-* &quot;-&quot;??_-;_-@_-"/>
    </dxf>
  </rfmt>
  <rfmt sheetId="1" sqref="AU480" start="0" length="0">
    <dxf>
      <font>
        <sz val="11"/>
        <color theme="1"/>
        <name val="Calibri"/>
        <scheme val="none"/>
      </font>
    </dxf>
  </rfmt>
  <rfmt sheetId="1" sqref="AV480" start="0" length="0">
    <dxf>
      <font>
        <sz val="11"/>
        <color theme="1"/>
        <name val="Calibri"/>
        <scheme val="none"/>
      </font>
    </dxf>
  </rfmt>
  <rfmt sheetId="1" sqref="AW480" start="0" length="0">
    <dxf>
      <font>
        <sz val="11"/>
        <color theme="1"/>
        <name val="Calibri"/>
        <scheme val="none"/>
      </font>
    </dxf>
  </rfmt>
  <rfmt sheetId="1" sqref="AX480" start="0" length="0">
    <dxf>
      <font>
        <sz val="11"/>
        <color theme="1"/>
        <name val="Calibri"/>
        <scheme val="none"/>
      </font>
    </dxf>
  </rfmt>
  <rfmt sheetId="1" sqref="AY480" start="0" length="0">
    <dxf>
      <font>
        <sz val="11"/>
        <color theme="1"/>
        <name val="Calibri"/>
        <scheme val="none"/>
      </font>
    </dxf>
  </rfmt>
  <rfmt sheetId="1" sqref="A480:XFD480" start="0" length="0">
    <dxf>
      <font>
        <sz val="11"/>
        <color theme="1"/>
        <name val="Calibri"/>
        <scheme val="none"/>
      </font>
    </dxf>
  </rfmt>
  <rfmt sheetId="1" sqref="A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8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8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81" start="0" length="0">
    <dxf>
      <font>
        <sz val="11"/>
        <color theme="1"/>
        <name val="Calibri"/>
        <scheme val="none"/>
      </font>
    </dxf>
  </rfmt>
  <rfmt sheetId="1" sqref="AM481" start="0" length="0">
    <dxf>
      <font>
        <sz val="11"/>
        <color theme="1"/>
        <name val="Calibri"/>
        <scheme val="none"/>
      </font>
      <numFmt numFmtId="1" formatCode="0"/>
    </dxf>
  </rfmt>
  <rfmt sheetId="1" sqref="AN481" start="0" length="0">
    <dxf>
      <font>
        <sz val="11"/>
        <color theme="1"/>
        <name val="Calibri"/>
        <scheme val="none"/>
      </font>
      <numFmt numFmtId="1" formatCode="0"/>
    </dxf>
  </rfmt>
  <rfmt sheetId="1" sqref="AO481" start="0" length="0">
    <dxf>
      <font>
        <sz val="11"/>
        <color theme="1"/>
        <name val="Calibri"/>
        <scheme val="none"/>
      </font>
    </dxf>
  </rfmt>
  <rfmt sheetId="1" sqref="AP481" start="0" length="0">
    <dxf>
      <font>
        <sz val="11"/>
        <color theme="1"/>
        <name val="Calibri"/>
        <scheme val="none"/>
      </font>
    </dxf>
  </rfmt>
  <rfmt sheetId="1" sqref="AQ481" start="0" length="0">
    <dxf>
      <font>
        <sz val="11"/>
        <color theme="1"/>
        <name val="Calibri"/>
        <scheme val="none"/>
      </font>
      <numFmt numFmtId="164" formatCode="_-* #,##0_-;\-* #,##0_-;_-* &quot;-&quot;??_-;_-@_-"/>
    </dxf>
  </rfmt>
  <rfmt sheetId="1" sqref="AR481" start="0" length="0">
    <dxf>
      <font>
        <sz val="11"/>
        <color theme="1"/>
        <name val="Calibri"/>
        <scheme val="none"/>
      </font>
      <numFmt numFmtId="164" formatCode="_-* #,##0_-;\-* #,##0_-;_-* &quot;-&quot;??_-;_-@_-"/>
    </dxf>
  </rfmt>
  <rfmt sheetId="1" sqref="AS481" start="0" length="0">
    <dxf>
      <font>
        <sz val="11"/>
        <color theme="1"/>
        <name val="Calibri"/>
        <scheme val="none"/>
      </font>
      <numFmt numFmtId="164" formatCode="_-* #,##0_-;\-* #,##0_-;_-* &quot;-&quot;??_-;_-@_-"/>
    </dxf>
  </rfmt>
  <rfmt sheetId="1" sqref="AT481" start="0" length="0">
    <dxf>
      <font>
        <sz val="11"/>
        <color theme="1"/>
        <name val="Calibri"/>
        <scheme val="none"/>
      </font>
      <numFmt numFmtId="164" formatCode="_-* #,##0_-;\-* #,##0_-;_-* &quot;-&quot;??_-;_-@_-"/>
    </dxf>
  </rfmt>
  <rfmt sheetId="1" sqref="AU481" start="0" length="0">
    <dxf>
      <font>
        <sz val="11"/>
        <color theme="1"/>
        <name val="Calibri"/>
        <scheme val="none"/>
      </font>
    </dxf>
  </rfmt>
  <rfmt sheetId="1" sqref="AV481" start="0" length="0">
    <dxf>
      <font>
        <sz val="11"/>
        <color theme="1"/>
        <name val="Calibri"/>
        <scheme val="none"/>
      </font>
    </dxf>
  </rfmt>
  <rfmt sheetId="1" sqref="AW481" start="0" length="0">
    <dxf>
      <font>
        <sz val="11"/>
        <color theme="1"/>
        <name val="Calibri"/>
        <scheme val="none"/>
      </font>
    </dxf>
  </rfmt>
  <rfmt sheetId="1" sqref="AX481" start="0" length="0">
    <dxf>
      <font>
        <sz val="11"/>
        <color theme="1"/>
        <name val="Calibri"/>
        <scheme val="none"/>
      </font>
    </dxf>
  </rfmt>
  <rfmt sheetId="1" sqref="AY481" start="0" length="0">
    <dxf>
      <font>
        <sz val="11"/>
        <color theme="1"/>
        <name val="Calibri"/>
        <scheme val="none"/>
      </font>
    </dxf>
  </rfmt>
  <rfmt sheetId="1" sqref="A481:XFD481" start="0" length="0">
    <dxf>
      <font>
        <sz val="11"/>
        <color theme="1"/>
        <name val="Calibri"/>
        <scheme val="none"/>
      </font>
    </dxf>
  </rfmt>
  <rfmt sheetId="1" sqref="A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8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8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82" start="0" length="0">
    <dxf>
      <font>
        <sz val="11"/>
        <color theme="1"/>
        <name val="Calibri"/>
        <scheme val="none"/>
      </font>
    </dxf>
  </rfmt>
  <rfmt sheetId="1" sqref="AM482" start="0" length="0">
    <dxf>
      <font>
        <sz val="11"/>
        <color theme="1"/>
        <name val="Calibri"/>
        <scheme val="none"/>
      </font>
      <numFmt numFmtId="1" formatCode="0"/>
    </dxf>
  </rfmt>
  <rfmt sheetId="1" sqref="AN482" start="0" length="0">
    <dxf>
      <font>
        <sz val="11"/>
        <color theme="1"/>
        <name val="Calibri"/>
        <scheme val="none"/>
      </font>
      <numFmt numFmtId="1" formatCode="0"/>
    </dxf>
  </rfmt>
  <rfmt sheetId="1" sqref="AO482" start="0" length="0">
    <dxf>
      <font>
        <sz val="11"/>
        <color theme="1"/>
        <name val="Calibri"/>
        <scheme val="none"/>
      </font>
    </dxf>
  </rfmt>
  <rfmt sheetId="1" sqref="AP482" start="0" length="0">
    <dxf>
      <font>
        <sz val="11"/>
        <color theme="1"/>
        <name val="Calibri"/>
        <scheme val="none"/>
      </font>
    </dxf>
  </rfmt>
  <rfmt sheetId="1" sqref="AQ482" start="0" length="0">
    <dxf>
      <font>
        <sz val="11"/>
        <color theme="1"/>
        <name val="Calibri"/>
        <scheme val="none"/>
      </font>
      <numFmt numFmtId="164" formatCode="_-* #,##0_-;\-* #,##0_-;_-* &quot;-&quot;??_-;_-@_-"/>
    </dxf>
  </rfmt>
  <rfmt sheetId="1" sqref="AR482" start="0" length="0">
    <dxf>
      <font>
        <sz val="11"/>
        <color theme="1"/>
        <name val="Calibri"/>
        <scheme val="none"/>
      </font>
      <numFmt numFmtId="164" formatCode="_-* #,##0_-;\-* #,##0_-;_-* &quot;-&quot;??_-;_-@_-"/>
    </dxf>
  </rfmt>
  <rfmt sheetId="1" sqref="AS482" start="0" length="0">
    <dxf>
      <font>
        <sz val="11"/>
        <color theme="1"/>
        <name val="Calibri"/>
        <scheme val="none"/>
      </font>
      <numFmt numFmtId="164" formatCode="_-* #,##0_-;\-* #,##0_-;_-* &quot;-&quot;??_-;_-@_-"/>
    </dxf>
  </rfmt>
  <rfmt sheetId="1" sqref="AT482" start="0" length="0">
    <dxf>
      <font>
        <sz val="11"/>
        <color theme="1"/>
        <name val="Calibri"/>
        <scheme val="none"/>
      </font>
      <numFmt numFmtId="164" formatCode="_-* #,##0_-;\-* #,##0_-;_-* &quot;-&quot;??_-;_-@_-"/>
    </dxf>
  </rfmt>
  <rfmt sheetId="1" sqref="AU482" start="0" length="0">
    <dxf>
      <font>
        <sz val="11"/>
        <color theme="1"/>
        <name val="Calibri"/>
        <scheme val="none"/>
      </font>
    </dxf>
  </rfmt>
  <rfmt sheetId="1" sqref="AV482" start="0" length="0">
    <dxf>
      <font>
        <sz val="11"/>
        <color theme="1"/>
        <name val="Calibri"/>
        <scheme val="none"/>
      </font>
    </dxf>
  </rfmt>
  <rfmt sheetId="1" sqref="AW482" start="0" length="0">
    <dxf>
      <font>
        <sz val="11"/>
        <color theme="1"/>
        <name val="Calibri"/>
        <scheme val="none"/>
      </font>
    </dxf>
  </rfmt>
  <rfmt sheetId="1" sqref="AX482" start="0" length="0">
    <dxf>
      <font>
        <sz val="11"/>
        <color theme="1"/>
        <name val="Calibri"/>
        <scheme val="none"/>
      </font>
    </dxf>
  </rfmt>
  <rfmt sheetId="1" sqref="AY482" start="0" length="0">
    <dxf>
      <font>
        <sz val="11"/>
        <color theme="1"/>
        <name val="Calibri"/>
        <scheme val="none"/>
      </font>
    </dxf>
  </rfmt>
  <rfmt sheetId="1" sqref="A482:XFD482" start="0" length="0">
    <dxf>
      <font>
        <sz val="11"/>
        <color theme="1"/>
        <name val="Calibri"/>
        <scheme val="none"/>
      </font>
    </dxf>
  </rfmt>
  <rfmt sheetId="1" sqref="A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8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8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83" start="0" length="0">
    <dxf>
      <font>
        <sz val="11"/>
        <color theme="1"/>
        <name val="Calibri"/>
        <scheme val="none"/>
      </font>
    </dxf>
  </rfmt>
  <rfmt sheetId="1" sqref="AM483" start="0" length="0">
    <dxf>
      <font>
        <sz val="11"/>
        <color theme="1"/>
        <name val="Calibri"/>
        <scheme val="none"/>
      </font>
      <numFmt numFmtId="1" formatCode="0"/>
    </dxf>
  </rfmt>
  <rfmt sheetId="1" sqref="AN483" start="0" length="0">
    <dxf>
      <font>
        <sz val="11"/>
        <color theme="1"/>
        <name val="Calibri"/>
        <scheme val="none"/>
      </font>
      <numFmt numFmtId="1" formatCode="0"/>
    </dxf>
  </rfmt>
  <rfmt sheetId="1" sqref="AO483" start="0" length="0">
    <dxf>
      <font>
        <sz val="11"/>
        <color theme="1"/>
        <name val="Calibri"/>
        <scheme val="none"/>
      </font>
    </dxf>
  </rfmt>
  <rfmt sheetId="1" sqref="AP483" start="0" length="0">
    <dxf>
      <font>
        <sz val="11"/>
        <color theme="1"/>
        <name val="Calibri"/>
        <scheme val="none"/>
      </font>
    </dxf>
  </rfmt>
  <rfmt sheetId="1" sqref="AQ483" start="0" length="0">
    <dxf>
      <font>
        <sz val="11"/>
        <color theme="1"/>
        <name val="Calibri"/>
        <scheme val="none"/>
      </font>
      <numFmt numFmtId="164" formatCode="_-* #,##0_-;\-* #,##0_-;_-* &quot;-&quot;??_-;_-@_-"/>
    </dxf>
  </rfmt>
  <rfmt sheetId="1" sqref="AR483" start="0" length="0">
    <dxf>
      <font>
        <sz val="11"/>
        <color theme="1"/>
        <name val="Calibri"/>
        <scheme val="none"/>
      </font>
      <numFmt numFmtId="164" formatCode="_-* #,##0_-;\-* #,##0_-;_-* &quot;-&quot;??_-;_-@_-"/>
    </dxf>
  </rfmt>
  <rfmt sheetId="1" sqref="AS483" start="0" length="0">
    <dxf>
      <font>
        <sz val="11"/>
        <color theme="1"/>
        <name val="Calibri"/>
        <scheme val="none"/>
      </font>
      <numFmt numFmtId="164" formatCode="_-* #,##0_-;\-* #,##0_-;_-* &quot;-&quot;??_-;_-@_-"/>
    </dxf>
  </rfmt>
  <rfmt sheetId="1" sqref="AT483" start="0" length="0">
    <dxf>
      <font>
        <sz val="11"/>
        <color theme="1"/>
        <name val="Calibri"/>
        <scheme val="none"/>
      </font>
      <numFmt numFmtId="164" formatCode="_-* #,##0_-;\-* #,##0_-;_-* &quot;-&quot;??_-;_-@_-"/>
    </dxf>
  </rfmt>
  <rfmt sheetId="1" sqref="AU483" start="0" length="0">
    <dxf>
      <font>
        <sz val="11"/>
        <color theme="1"/>
        <name val="Calibri"/>
        <scheme val="none"/>
      </font>
    </dxf>
  </rfmt>
  <rfmt sheetId="1" sqref="AV483" start="0" length="0">
    <dxf>
      <font>
        <sz val="11"/>
        <color theme="1"/>
        <name val="Calibri"/>
        <scheme val="none"/>
      </font>
    </dxf>
  </rfmt>
  <rfmt sheetId="1" sqref="AW483" start="0" length="0">
    <dxf>
      <font>
        <sz val="11"/>
        <color theme="1"/>
        <name val="Calibri"/>
        <scheme val="none"/>
      </font>
    </dxf>
  </rfmt>
  <rfmt sheetId="1" sqref="AX483" start="0" length="0">
    <dxf>
      <font>
        <sz val="11"/>
        <color theme="1"/>
        <name val="Calibri"/>
        <scheme val="none"/>
      </font>
    </dxf>
  </rfmt>
  <rfmt sheetId="1" sqref="AY483" start="0" length="0">
    <dxf>
      <font>
        <sz val="11"/>
        <color theme="1"/>
        <name val="Calibri"/>
        <scheme val="none"/>
      </font>
    </dxf>
  </rfmt>
  <rfmt sheetId="1" sqref="A483:XFD483" start="0" length="0">
    <dxf>
      <font>
        <sz val="11"/>
        <color theme="1"/>
        <name val="Calibri"/>
        <scheme val="none"/>
      </font>
    </dxf>
  </rfmt>
  <rfmt sheetId="1" sqref="A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8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8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84" start="0" length="0">
    <dxf>
      <font>
        <sz val="11"/>
        <color theme="1"/>
        <name val="Calibri"/>
        <scheme val="none"/>
      </font>
    </dxf>
  </rfmt>
  <rfmt sheetId="1" sqref="AM484" start="0" length="0">
    <dxf>
      <font>
        <sz val="11"/>
        <color theme="1"/>
        <name val="Calibri"/>
        <scheme val="none"/>
      </font>
      <numFmt numFmtId="1" formatCode="0"/>
    </dxf>
  </rfmt>
  <rfmt sheetId="1" sqref="AN484" start="0" length="0">
    <dxf>
      <font>
        <sz val="11"/>
        <color theme="1"/>
        <name val="Calibri"/>
        <scheme val="none"/>
      </font>
      <numFmt numFmtId="1" formatCode="0"/>
    </dxf>
  </rfmt>
  <rfmt sheetId="1" sqref="AO484" start="0" length="0">
    <dxf>
      <font>
        <sz val="11"/>
        <color theme="1"/>
        <name val="Calibri"/>
        <scheme val="none"/>
      </font>
    </dxf>
  </rfmt>
  <rfmt sheetId="1" sqref="AP484" start="0" length="0">
    <dxf>
      <font>
        <sz val="11"/>
        <color theme="1"/>
        <name val="Calibri"/>
        <scheme val="none"/>
      </font>
    </dxf>
  </rfmt>
  <rfmt sheetId="1" sqref="AQ484" start="0" length="0">
    <dxf>
      <font>
        <sz val="11"/>
        <color theme="1"/>
        <name val="Calibri"/>
        <scheme val="none"/>
      </font>
      <numFmt numFmtId="164" formatCode="_-* #,##0_-;\-* #,##0_-;_-* &quot;-&quot;??_-;_-@_-"/>
    </dxf>
  </rfmt>
  <rfmt sheetId="1" sqref="AR484" start="0" length="0">
    <dxf>
      <font>
        <sz val="11"/>
        <color theme="1"/>
        <name val="Calibri"/>
        <scheme val="none"/>
      </font>
      <numFmt numFmtId="164" formatCode="_-* #,##0_-;\-* #,##0_-;_-* &quot;-&quot;??_-;_-@_-"/>
    </dxf>
  </rfmt>
  <rfmt sheetId="1" sqref="AS484" start="0" length="0">
    <dxf>
      <font>
        <sz val="11"/>
        <color theme="1"/>
        <name val="Calibri"/>
        <scheme val="none"/>
      </font>
      <numFmt numFmtId="164" formatCode="_-* #,##0_-;\-* #,##0_-;_-* &quot;-&quot;??_-;_-@_-"/>
    </dxf>
  </rfmt>
  <rfmt sheetId="1" sqref="AT484" start="0" length="0">
    <dxf>
      <font>
        <sz val="11"/>
        <color theme="1"/>
        <name val="Calibri"/>
        <scheme val="none"/>
      </font>
      <numFmt numFmtId="164" formatCode="_-* #,##0_-;\-* #,##0_-;_-* &quot;-&quot;??_-;_-@_-"/>
    </dxf>
  </rfmt>
  <rfmt sheetId="1" sqref="AU484" start="0" length="0">
    <dxf>
      <font>
        <sz val="11"/>
        <color theme="1"/>
        <name val="Calibri"/>
        <scheme val="none"/>
      </font>
    </dxf>
  </rfmt>
  <rfmt sheetId="1" sqref="AV484" start="0" length="0">
    <dxf>
      <font>
        <sz val="11"/>
        <color theme="1"/>
        <name val="Calibri"/>
        <scheme val="none"/>
      </font>
    </dxf>
  </rfmt>
  <rfmt sheetId="1" sqref="AW484" start="0" length="0">
    <dxf>
      <font>
        <sz val="11"/>
        <color theme="1"/>
        <name val="Calibri"/>
        <scheme val="none"/>
      </font>
    </dxf>
  </rfmt>
  <rfmt sheetId="1" sqref="AX484" start="0" length="0">
    <dxf>
      <font>
        <sz val="11"/>
        <color theme="1"/>
        <name val="Calibri"/>
        <scheme val="none"/>
      </font>
    </dxf>
  </rfmt>
  <rfmt sheetId="1" sqref="AY484" start="0" length="0">
    <dxf>
      <font>
        <sz val="11"/>
        <color theme="1"/>
        <name val="Calibri"/>
        <scheme val="none"/>
      </font>
    </dxf>
  </rfmt>
  <rfmt sheetId="1" sqref="A484:XFD484" start="0" length="0">
    <dxf>
      <font>
        <sz val="11"/>
        <color theme="1"/>
        <name val="Calibri"/>
        <scheme val="none"/>
      </font>
    </dxf>
  </rfmt>
  <rfmt sheetId="1" sqref="A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8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8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85" start="0" length="0">
    <dxf>
      <font>
        <sz val="11"/>
        <color theme="1"/>
        <name val="Calibri"/>
        <scheme val="none"/>
      </font>
    </dxf>
  </rfmt>
  <rfmt sheetId="1" sqref="AM485" start="0" length="0">
    <dxf>
      <font>
        <sz val="11"/>
        <color theme="1"/>
        <name val="Calibri"/>
        <scheme val="none"/>
      </font>
      <numFmt numFmtId="1" formatCode="0"/>
    </dxf>
  </rfmt>
  <rfmt sheetId="1" sqref="AN485" start="0" length="0">
    <dxf>
      <font>
        <sz val="11"/>
        <color theme="1"/>
        <name val="Calibri"/>
        <scheme val="none"/>
      </font>
      <numFmt numFmtId="1" formatCode="0"/>
    </dxf>
  </rfmt>
  <rfmt sheetId="1" sqref="AO485" start="0" length="0">
    <dxf>
      <font>
        <sz val="11"/>
        <color theme="1"/>
        <name val="Calibri"/>
        <scheme val="none"/>
      </font>
    </dxf>
  </rfmt>
  <rfmt sheetId="1" sqref="AP485" start="0" length="0">
    <dxf>
      <font>
        <sz val="11"/>
        <color theme="1"/>
        <name val="Calibri"/>
        <scheme val="none"/>
      </font>
    </dxf>
  </rfmt>
  <rfmt sheetId="1" sqref="AQ485" start="0" length="0">
    <dxf>
      <font>
        <sz val="11"/>
        <color theme="1"/>
        <name val="Calibri"/>
        <scheme val="none"/>
      </font>
      <numFmt numFmtId="164" formatCode="_-* #,##0_-;\-* #,##0_-;_-* &quot;-&quot;??_-;_-@_-"/>
    </dxf>
  </rfmt>
  <rfmt sheetId="1" sqref="AR485" start="0" length="0">
    <dxf>
      <font>
        <sz val="11"/>
        <color theme="1"/>
        <name val="Calibri"/>
        <scheme val="none"/>
      </font>
      <numFmt numFmtId="164" formatCode="_-* #,##0_-;\-* #,##0_-;_-* &quot;-&quot;??_-;_-@_-"/>
    </dxf>
  </rfmt>
  <rfmt sheetId="1" sqref="AS485" start="0" length="0">
    <dxf>
      <font>
        <sz val="11"/>
        <color theme="1"/>
        <name val="Calibri"/>
        <scheme val="none"/>
      </font>
      <numFmt numFmtId="164" formatCode="_-* #,##0_-;\-* #,##0_-;_-* &quot;-&quot;??_-;_-@_-"/>
    </dxf>
  </rfmt>
  <rfmt sheetId="1" sqref="AT485" start="0" length="0">
    <dxf>
      <font>
        <sz val="11"/>
        <color theme="1"/>
        <name val="Calibri"/>
        <scheme val="none"/>
      </font>
      <numFmt numFmtId="164" formatCode="_-* #,##0_-;\-* #,##0_-;_-* &quot;-&quot;??_-;_-@_-"/>
    </dxf>
  </rfmt>
  <rfmt sheetId="1" sqref="AU485" start="0" length="0">
    <dxf>
      <font>
        <sz val="11"/>
        <color theme="1"/>
        <name val="Calibri"/>
        <scheme val="none"/>
      </font>
    </dxf>
  </rfmt>
  <rfmt sheetId="1" sqref="AV485" start="0" length="0">
    <dxf>
      <font>
        <sz val="11"/>
        <color theme="1"/>
        <name val="Calibri"/>
        <scheme val="none"/>
      </font>
    </dxf>
  </rfmt>
  <rfmt sheetId="1" sqref="AW485" start="0" length="0">
    <dxf>
      <font>
        <sz val="11"/>
        <color theme="1"/>
        <name val="Calibri"/>
        <scheme val="none"/>
      </font>
    </dxf>
  </rfmt>
  <rfmt sheetId="1" sqref="AX485" start="0" length="0">
    <dxf>
      <font>
        <sz val="11"/>
        <color theme="1"/>
        <name val="Calibri"/>
        <scheme val="none"/>
      </font>
    </dxf>
  </rfmt>
  <rfmt sheetId="1" sqref="AY485" start="0" length="0">
    <dxf>
      <font>
        <sz val="11"/>
        <color theme="1"/>
        <name val="Calibri"/>
        <scheme val="none"/>
      </font>
    </dxf>
  </rfmt>
  <rfmt sheetId="1" sqref="A485:XFD485" start="0" length="0">
    <dxf>
      <font>
        <sz val="11"/>
        <color theme="1"/>
        <name val="Calibri"/>
        <scheme val="none"/>
      </font>
    </dxf>
  </rfmt>
  <rfmt sheetId="1" sqref="A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8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8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86" start="0" length="0">
    <dxf>
      <font>
        <sz val="11"/>
        <color theme="1"/>
        <name val="Calibri"/>
        <scheme val="none"/>
      </font>
    </dxf>
  </rfmt>
  <rfmt sheetId="1" sqref="AM486" start="0" length="0">
    <dxf>
      <font>
        <sz val="11"/>
        <color theme="1"/>
        <name val="Calibri"/>
        <scheme val="none"/>
      </font>
      <numFmt numFmtId="1" formatCode="0"/>
    </dxf>
  </rfmt>
  <rfmt sheetId="1" sqref="AN486" start="0" length="0">
    <dxf>
      <font>
        <sz val="11"/>
        <color theme="1"/>
        <name val="Calibri"/>
        <scheme val="none"/>
      </font>
      <numFmt numFmtId="1" formatCode="0"/>
    </dxf>
  </rfmt>
  <rfmt sheetId="1" sqref="AO486" start="0" length="0">
    <dxf>
      <font>
        <sz val="11"/>
        <color theme="1"/>
        <name val="Calibri"/>
        <scheme val="none"/>
      </font>
    </dxf>
  </rfmt>
  <rfmt sheetId="1" sqref="AP486" start="0" length="0">
    <dxf>
      <font>
        <sz val="11"/>
        <color theme="1"/>
        <name val="Calibri"/>
        <scheme val="none"/>
      </font>
    </dxf>
  </rfmt>
  <rfmt sheetId="1" sqref="AQ486" start="0" length="0">
    <dxf>
      <font>
        <sz val="11"/>
        <color theme="1"/>
        <name val="Calibri"/>
        <scheme val="none"/>
      </font>
      <numFmt numFmtId="164" formatCode="_-* #,##0_-;\-* #,##0_-;_-* &quot;-&quot;??_-;_-@_-"/>
    </dxf>
  </rfmt>
  <rfmt sheetId="1" sqref="AR486" start="0" length="0">
    <dxf>
      <font>
        <sz val="11"/>
        <color theme="1"/>
        <name val="Calibri"/>
        <scheme val="none"/>
      </font>
      <numFmt numFmtId="164" formatCode="_-* #,##0_-;\-* #,##0_-;_-* &quot;-&quot;??_-;_-@_-"/>
    </dxf>
  </rfmt>
  <rfmt sheetId="1" sqref="AS486" start="0" length="0">
    <dxf>
      <font>
        <sz val="11"/>
        <color theme="1"/>
        <name val="Calibri"/>
        <scheme val="none"/>
      </font>
      <numFmt numFmtId="164" formatCode="_-* #,##0_-;\-* #,##0_-;_-* &quot;-&quot;??_-;_-@_-"/>
    </dxf>
  </rfmt>
  <rfmt sheetId="1" sqref="AT486" start="0" length="0">
    <dxf>
      <font>
        <sz val="11"/>
        <color theme="1"/>
        <name val="Calibri"/>
        <scheme val="none"/>
      </font>
      <numFmt numFmtId="164" formatCode="_-* #,##0_-;\-* #,##0_-;_-* &quot;-&quot;??_-;_-@_-"/>
    </dxf>
  </rfmt>
  <rfmt sheetId="1" sqref="AU486" start="0" length="0">
    <dxf>
      <font>
        <sz val="11"/>
        <color theme="1"/>
        <name val="Calibri"/>
        <scheme val="none"/>
      </font>
    </dxf>
  </rfmt>
  <rfmt sheetId="1" sqref="AV486" start="0" length="0">
    <dxf>
      <font>
        <sz val="11"/>
        <color theme="1"/>
        <name val="Calibri"/>
        <scheme val="none"/>
      </font>
    </dxf>
  </rfmt>
  <rfmt sheetId="1" sqref="AW486" start="0" length="0">
    <dxf>
      <font>
        <sz val="11"/>
        <color theme="1"/>
        <name val="Calibri"/>
        <scheme val="none"/>
      </font>
    </dxf>
  </rfmt>
  <rfmt sheetId="1" sqref="AX486" start="0" length="0">
    <dxf>
      <font>
        <sz val="11"/>
        <color theme="1"/>
        <name val="Calibri"/>
        <scheme val="none"/>
      </font>
    </dxf>
  </rfmt>
  <rfmt sheetId="1" sqref="AY486" start="0" length="0">
    <dxf>
      <font>
        <sz val="11"/>
        <color theme="1"/>
        <name val="Calibri"/>
        <scheme val="none"/>
      </font>
    </dxf>
  </rfmt>
  <rfmt sheetId="1" sqref="A486:XFD486" start="0" length="0">
    <dxf>
      <font>
        <sz val="11"/>
        <color theme="1"/>
        <name val="Calibri"/>
        <scheme val="none"/>
      </font>
    </dxf>
  </rfmt>
  <rfmt sheetId="1" sqref="A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8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8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87" start="0" length="0">
    <dxf>
      <font>
        <sz val="11"/>
        <color theme="1"/>
        <name val="Calibri"/>
        <scheme val="none"/>
      </font>
    </dxf>
  </rfmt>
  <rfmt sheetId="1" sqref="AM487" start="0" length="0">
    <dxf>
      <font>
        <sz val="11"/>
        <color theme="1"/>
        <name val="Calibri"/>
        <scheme val="none"/>
      </font>
      <numFmt numFmtId="1" formatCode="0"/>
    </dxf>
  </rfmt>
  <rfmt sheetId="1" sqref="AN487" start="0" length="0">
    <dxf>
      <font>
        <sz val="11"/>
        <color theme="1"/>
        <name val="Calibri"/>
        <scheme val="none"/>
      </font>
      <numFmt numFmtId="1" formatCode="0"/>
    </dxf>
  </rfmt>
  <rfmt sheetId="1" sqref="AO487" start="0" length="0">
    <dxf>
      <font>
        <sz val="11"/>
        <color theme="1"/>
        <name val="Calibri"/>
        <scheme val="none"/>
      </font>
    </dxf>
  </rfmt>
  <rfmt sheetId="1" sqref="AP487" start="0" length="0">
    <dxf>
      <font>
        <sz val="11"/>
        <color theme="1"/>
        <name val="Calibri"/>
        <scheme val="none"/>
      </font>
    </dxf>
  </rfmt>
  <rfmt sheetId="1" sqref="AQ487" start="0" length="0">
    <dxf>
      <font>
        <sz val="11"/>
        <color theme="1"/>
        <name val="Calibri"/>
        <scheme val="none"/>
      </font>
      <numFmt numFmtId="164" formatCode="_-* #,##0_-;\-* #,##0_-;_-* &quot;-&quot;??_-;_-@_-"/>
    </dxf>
  </rfmt>
  <rfmt sheetId="1" sqref="AR487" start="0" length="0">
    <dxf>
      <font>
        <sz val="11"/>
        <color theme="1"/>
        <name val="Calibri"/>
        <scheme val="none"/>
      </font>
      <numFmt numFmtId="164" formatCode="_-* #,##0_-;\-* #,##0_-;_-* &quot;-&quot;??_-;_-@_-"/>
    </dxf>
  </rfmt>
  <rfmt sheetId="1" sqref="AS487" start="0" length="0">
    <dxf>
      <font>
        <sz val="11"/>
        <color theme="1"/>
        <name val="Calibri"/>
        <scheme val="none"/>
      </font>
      <numFmt numFmtId="164" formatCode="_-* #,##0_-;\-* #,##0_-;_-* &quot;-&quot;??_-;_-@_-"/>
    </dxf>
  </rfmt>
  <rfmt sheetId="1" sqref="AT487" start="0" length="0">
    <dxf>
      <font>
        <sz val="11"/>
        <color theme="1"/>
        <name val="Calibri"/>
        <scheme val="none"/>
      </font>
      <numFmt numFmtId="164" formatCode="_-* #,##0_-;\-* #,##0_-;_-* &quot;-&quot;??_-;_-@_-"/>
    </dxf>
  </rfmt>
  <rfmt sheetId="1" sqref="AU487" start="0" length="0">
    <dxf>
      <font>
        <sz val="11"/>
        <color theme="1"/>
        <name val="Calibri"/>
        <scheme val="none"/>
      </font>
    </dxf>
  </rfmt>
  <rfmt sheetId="1" sqref="AV487" start="0" length="0">
    <dxf>
      <font>
        <sz val="11"/>
        <color theme="1"/>
        <name val="Calibri"/>
        <scheme val="none"/>
      </font>
    </dxf>
  </rfmt>
  <rfmt sheetId="1" sqref="AW487" start="0" length="0">
    <dxf>
      <font>
        <sz val="11"/>
        <color theme="1"/>
        <name val="Calibri"/>
        <scheme val="none"/>
      </font>
    </dxf>
  </rfmt>
  <rfmt sheetId="1" sqref="AX487" start="0" length="0">
    <dxf>
      <font>
        <sz val="11"/>
        <color theme="1"/>
        <name val="Calibri"/>
        <scheme val="none"/>
      </font>
    </dxf>
  </rfmt>
  <rfmt sheetId="1" sqref="AY487" start="0" length="0">
    <dxf>
      <font>
        <sz val="11"/>
        <color theme="1"/>
        <name val="Calibri"/>
        <scheme val="none"/>
      </font>
    </dxf>
  </rfmt>
  <rfmt sheetId="1" sqref="A487:XFD487" start="0" length="0">
    <dxf>
      <font>
        <sz val="11"/>
        <color theme="1"/>
        <name val="Calibri"/>
        <scheme val="none"/>
      </font>
    </dxf>
  </rfmt>
  <rfmt sheetId="1" sqref="A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8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8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88" start="0" length="0">
    <dxf>
      <font>
        <sz val="11"/>
        <color theme="1"/>
        <name val="Calibri"/>
        <scheme val="none"/>
      </font>
    </dxf>
  </rfmt>
  <rfmt sheetId="1" sqref="AM488" start="0" length="0">
    <dxf>
      <font>
        <sz val="11"/>
        <color theme="1"/>
        <name val="Calibri"/>
        <scheme val="none"/>
      </font>
      <numFmt numFmtId="1" formatCode="0"/>
    </dxf>
  </rfmt>
  <rfmt sheetId="1" sqref="AN488" start="0" length="0">
    <dxf>
      <font>
        <sz val="11"/>
        <color theme="1"/>
        <name val="Calibri"/>
        <scheme val="none"/>
      </font>
      <numFmt numFmtId="1" formatCode="0"/>
    </dxf>
  </rfmt>
  <rfmt sheetId="1" sqref="AO488" start="0" length="0">
    <dxf>
      <font>
        <sz val="11"/>
        <color theme="1"/>
        <name val="Calibri"/>
        <scheme val="none"/>
      </font>
    </dxf>
  </rfmt>
  <rfmt sheetId="1" sqref="AP488" start="0" length="0">
    <dxf>
      <font>
        <sz val="11"/>
        <color theme="1"/>
        <name val="Calibri"/>
        <scheme val="none"/>
      </font>
    </dxf>
  </rfmt>
  <rfmt sheetId="1" sqref="AQ488" start="0" length="0">
    <dxf>
      <font>
        <sz val="11"/>
        <color theme="1"/>
        <name val="Calibri"/>
        <scheme val="none"/>
      </font>
      <numFmt numFmtId="164" formatCode="_-* #,##0_-;\-* #,##0_-;_-* &quot;-&quot;??_-;_-@_-"/>
    </dxf>
  </rfmt>
  <rfmt sheetId="1" sqref="AR488" start="0" length="0">
    <dxf>
      <font>
        <sz val="11"/>
        <color theme="1"/>
        <name val="Calibri"/>
        <scheme val="none"/>
      </font>
      <numFmt numFmtId="164" formatCode="_-* #,##0_-;\-* #,##0_-;_-* &quot;-&quot;??_-;_-@_-"/>
    </dxf>
  </rfmt>
  <rfmt sheetId="1" sqref="AS488" start="0" length="0">
    <dxf>
      <font>
        <sz val="11"/>
        <color theme="1"/>
        <name val="Calibri"/>
        <scheme val="none"/>
      </font>
      <numFmt numFmtId="164" formatCode="_-* #,##0_-;\-* #,##0_-;_-* &quot;-&quot;??_-;_-@_-"/>
    </dxf>
  </rfmt>
  <rfmt sheetId="1" sqref="AT488" start="0" length="0">
    <dxf>
      <font>
        <sz val="11"/>
        <color theme="1"/>
        <name val="Calibri"/>
        <scheme val="none"/>
      </font>
      <numFmt numFmtId="164" formatCode="_-* #,##0_-;\-* #,##0_-;_-* &quot;-&quot;??_-;_-@_-"/>
    </dxf>
  </rfmt>
  <rfmt sheetId="1" sqref="AU488" start="0" length="0">
    <dxf>
      <font>
        <sz val="11"/>
        <color theme="1"/>
        <name val="Calibri"/>
        <scheme val="none"/>
      </font>
    </dxf>
  </rfmt>
  <rfmt sheetId="1" sqref="AV488" start="0" length="0">
    <dxf>
      <font>
        <sz val="11"/>
        <color theme="1"/>
        <name val="Calibri"/>
        <scheme val="none"/>
      </font>
    </dxf>
  </rfmt>
  <rfmt sheetId="1" sqref="AW488" start="0" length="0">
    <dxf>
      <font>
        <sz val="11"/>
        <color theme="1"/>
        <name val="Calibri"/>
        <scheme val="none"/>
      </font>
    </dxf>
  </rfmt>
  <rfmt sheetId="1" sqref="AX488" start="0" length="0">
    <dxf>
      <font>
        <sz val="11"/>
        <color theme="1"/>
        <name val="Calibri"/>
        <scheme val="none"/>
      </font>
    </dxf>
  </rfmt>
  <rfmt sheetId="1" sqref="AY488" start="0" length="0">
    <dxf>
      <font>
        <sz val="11"/>
        <color theme="1"/>
        <name val="Calibri"/>
        <scheme val="none"/>
      </font>
    </dxf>
  </rfmt>
  <rfmt sheetId="1" sqref="A488:XFD488" start="0" length="0">
    <dxf>
      <font>
        <sz val="11"/>
        <color theme="1"/>
        <name val="Calibri"/>
        <scheme val="none"/>
      </font>
    </dxf>
  </rfmt>
  <rfmt sheetId="1" sqref="A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8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8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89" start="0" length="0">
    <dxf>
      <font>
        <sz val="11"/>
        <color theme="1"/>
        <name val="Calibri"/>
        <scheme val="none"/>
      </font>
    </dxf>
  </rfmt>
  <rfmt sheetId="1" sqref="AM489" start="0" length="0">
    <dxf>
      <font>
        <sz val="11"/>
        <color theme="1"/>
        <name val="Calibri"/>
        <scheme val="none"/>
      </font>
      <numFmt numFmtId="1" formatCode="0"/>
    </dxf>
  </rfmt>
  <rfmt sheetId="1" sqref="AN489" start="0" length="0">
    <dxf>
      <font>
        <sz val="11"/>
        <color theme="1"/>
        <name val="Calibri"/>
        <scheme val="none"/>
      </font>
      <numFmt numFmtId="1" formatCode="0"/>
    </dxf>
  </rfmt>
  <rfmt sheetId="1" sqref="AO489" start="0" length="0">
    <dxf>
      <font>
        <sz val="11"/>
        <color theme="1"/>
        <name val="Calibri"/>
        <scheme val="none"/>
      </font>
    </dxf>
  </rfmt>
  <rfmt sheetId="1" sqref="AP489" start="0" length="0">
    <dxf>
      <font>
        <sz val="11"/>
        <color theme="1"/>
        <name val="Calibri"/>
        <scheme val="none"/>
      </font>
    </dxf>
  </rfmt>
  <rfmt sheetId="1" sqref="AQ489" start="0" length="0">
    <dxf>
      <font>
        <sz val="11"/>
        <color theme="1"/>
        <name val="Calibri"/>
        <scheme val="none"/>
      </font>
      <numFmt numFmtId="164" formatCode="_-* #,##0_-;\-* #,##0_-;_-* &quot;-&quot;??_-;_-@_-"/>
    </dxf>
  </rfmt>
  <rfmt sheetId="1" sqref="AR489" start="0" length="0">
    <dxf>
      <font>
        <sz val="11"/>
        <color theme="1"/>
        <name val="Calibri"/>
        <scheme val="none"/>
      </font>
      <numFmt numFmtId="164" formatCode="_-* #,##0_-;\-* #,##0_-;_-* &quot;-&quot;??_-;_-@_-"/>
    </dxf>
  </rfmt>
  <rfmt sheetId="1" sqref="AS489" start="0" length="0">
    <dxf>
      <font>
        <sz val="11"/>
        <color theme="1"/>
        <name val="Calibri"/>
        <scheme val="none"/>
      </font>
      <numFmt numFmtId="164" formatCode="_-* #,##0_-;\-* #,##0_-;_-* &quot;-&quot;??_-;_-@_-"/>
    </dxf>
  </rfmt>
  <rfmt sheetId="1" sqref="AT489" start="0" length="0">
    <dxf>
      <font>
        <sz val="11"/>
        <color theme="1"/>
        <name val="Calibri"/>
        <scheme val="none"/>
      </font>
      <numFmt numFmtId="164" formatCode="_-* #,##0_-;\-* #,##0_-;_-* &quot;-&quot;??_-;_-@_-"/>
    </dxf>
  </rfmt>
  <rfmt sheetId="1" sqref="AU489" start="0" length="0">
    <dxf>
      <font>
        <sz val="11"/>
        <color theme="1"/>
        <name val="Calibri"/>
        <scheme val="none"/>
      </font>
    </dxf>
  </rfmt>
  <rfmt sheetId="1" sqref="AV489" start="0" length="0">
    <dxf>
      <font>
        <sz val="11"/>
        <color theme="1"/>
        <name val="Calibri"/>
        <scheme val="none"/>
      </font>
    </dxf>
  </rfmt>
  <rfmt sheetId="1" sqref="AW489" start="0" length="0">
    <dxf>
      <font>
        <sz val="11"/>
        <color theme="1"/>
        <name val="Calibri"/>
        <scheme val="none"/>
      </font>
    </dxf>
  </rfmt>
  <rfmt sheetId="1" sqref="AX489" start="0" length="0">
    <dxf>
      <font>
        <sz val="11"/>
        <color theme="1"/>
        <name val="Calibri"/>
        <scheme val="none"/>
      </font>
    </dxf>
  </rfmt>
  <rfmt sheetId="1" sqref="AY489" start="0" length="0">
    <dxf>
      <font>
        <sz val="11"/>
        <color theme="1"/>
        <name val="Calibri"/>
        <scheme val="none"/>
      </font>
    </dxf>
  </rfmt>
  <rfmt sheetId="1" sqref="A489:XFD489" start="0" length="0">
    <dxf>
      <font>
        <sz val="11"/>
        <color theme="1"/>
        <name val="Calibri"/>
        <scheme val="none"/>
      </font>
    </dxf>
  </rfmt>
  <rfmt sheetId="1" sqref="A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9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9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90" start="0" length="0">
    <dxf>
      <font>
        <sz val="11"/>
        <color theme="1"/>
        <name val="Calibri"/>
        <scheme val="none"/>
      </font>
    </dxf>
  </rfmt>
  <rfmt sheetId="1" sqref="AM490" start="0" length="0">
    <dxf>
      <font>
        <sz val="11"/>
        <color theme="1"/>
        <name val="Calibri"/>
        <scheme val="none"/>
      </font>
      <numFmt numFmtId="1" formatCode="0"/>
    </dxf>
  </rfmt>
  <rfmt sheetId="1" sqref="AN490" start="0" length="0">
    <dxf>
      <font>
        <sz val="11"/>
        <color theme="1"/>
        <name val="Calibri"/>
        <scheme val="none"/>
      </font>
      <numFmt numFmtId="1" formatCode="0"/>
    </dxf>
  </rfmt>
  <rfmt sheetId="1" sqref="AO490" start="0" length="0">
    <dxf>
      <font>
        <sz val="11"/>
        <color theme="1"/>
        <name val="Calibri"/>
        <scheme val="none"/>
      </font>
    </dxf>
  </rfmt>
  <rfmt sheetId="1" sqref="AP490" start="0" length="0">
    <dxf>
      <font>
        <sz val="11"/>
        <color theme="1"/>
        <name val="Calibri"/>
        <scheme val="none"/>
      </font>
    </dxf>
  </rfmt>
  <rfmt sheetId="1" sqref="AQ490" start="0" length="0">
    <dxf>
      <font>
        <sz val="11"/>
        <color theme="1"/>
        <name val="Calibri"/>
        <scheme val="none"/>
      </font>
      <numFmt numFmtId="164" formatCode="_-* #,##0_-;\-* #,##0_-;_-* &quot;-&quot;??_-;_-@_-"/>
    </dxf>
  </rfmt>
  <rfmt sheetId="1" sqref="AR490" start="0" length="0">
    <dxf>
      <font>
        <sz val="11"/>
        <color theme="1"/>
        <name val="Calibri"/>
        <scheme val="none"/>
      </font>
      <numFmt numFmtId="164" formatCode="_-* #,##0_-;\-* #,##0_-;_-* &quot;-&quot;??_-;_-@_-"/>
    </dxf>
  </rfmt>
  <rfmt sheetId="1" sqref="AS490" start="0" length="0">
    <dxf>
      <font>
        <sz val="11"/>
        <color theme="1"/>
        <name val="Calibri"/>
        <scheme val="none"/>
      </font>
      <numFmt numFmtId="164" formatCode="_-* #,##0_-;\-* #,##0_-;_-* &quot;-&quot;??_-;_-@_-"/>
    </dxf>
  </rfmt>
  <rfmt sheetId="1" sqref="AT490" start="0" length="0">
    <dxf>
      <font>
        <sz val="11"/>
        <color theme="1"/>
        <name val="Calibri"/>
        <scheme val="none"/>
      </font>
      <numFmt numFmtId="164" formatCode="_-* #,##0_-;\-* #,##0_-;_-* &quot;-&quot;??_-;_-@_-"/>
    </dxf>
  </rfmt>
  <rfmt sheetId="1" sqref="AU490" start="0" length="0">
    <dxf>
      <font>
        <sz val="11"/>
        <color theme="1"/>
        <name val="Calibri"/>
        <scheme val="none"/>
      </font>
    </dxf>
  </rfmt>
  <rfmt sheetId="1" sqref="AV490" start="0" length="0">
    <dxf>
      <font>
        <sz val="11"/>
        <color theme="1"/>
        <name val="Calibri"/>
        <scheme val="none"/>
      </font>
    </dxf>
  </rfmt>
  <rfmt sheetId="1" sqref="AW490" start="0" length="0">
    <dxf>
      <font>
        <sz val="11"/>
        <color theme="1"/>
        <name val="Calibri"/>
        <scheme val="none"/>
      </font>
    </dxf>
  </rfmt>
  <rfmt sheetId="1" sqref="AX490" start="0" length="0">
    <dxf>
      <font>
        <sz val="11"/>
        <color theme="1"/>
        <name val="Calibri"/>
        <scheme val="none"/>
      </font>
    </dxf>
  </rfmt>
  <rfmt sheetId="1" sqref="AY490" start="0" length="0">
    <dxf>
      <font>
        <sz val="11"/>
        <color theme="1"/>
        <name val="Calibri"/>
        <scheme val="none"/>
      </font>
    </dxf>
  </rfmt>
  <rfmt sheetId="1" sqref="A490:XFD490" start="0" length="0">
    <dxf>
      <font>
        <sz val="11"/>
        <color theme="1"/>
        <name val="Calibri"/>
        <scheme val="none"/>
      </font>
    </dxf>
  </rfmt>
  <rfmt sheetId="1" sqref="A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9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9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91" start="0" length="0">
    <dxf>
      <font>
        <sz val="11"/>
        <color theme="1"/>
        <name val="Calibri"/>
        <scheme val="none"/>
      </font>
    </dxf>
  </rfmt>
  <rfmt sheetId="1" sqref="AM491" start="0" length="0">
    <dxf>
      <font>
        <sz val="11"/>
        <color theme="1"/>
        <name val="Calibri"/>
        <scheme val="none"/>
      </font>
      <numFmt numFmtId="1" formatCode="0"/>
    </dxf>
  </rfmt>
  <rfmt sheetId="1" sqref="AN491" start="0" length="0">
    <dxf>
      <font>
        <sz val="11"/>
        <color theme="1"/>
        <name val="Calibri"/>
        <scheme val="none"/>
      </font>
      <numFmt numFmtId="1" formatCode="0"/>
    </dxf>
  </rfmt>
  <rfmt sheetId="1" sqref="AO491" start="0" length="0">
    <dxf>
      <font>
        <sz val="11"/>
        <color theme="1"/>
        <name val="Calibri"/>
        <scheme val="none"/>
      </font>
    </dxf>
  </rfmt>
  <rfmt sheetId="1" sqref="AP491" start="0" length="0">
    <dxf>
      <font>
        <sz val="11"/>
        <color theme="1"/>
        <name val="Calibri"/>
        <scheme val="none"/>
      </font>
    </dxf>
  </rfmt>
  <rfmt sheetId="1" sqref="AQ491" start="0" length="0">
    <dxf>
      <font>
        <sz val="11"/>
        <color theme="1"/>
        <name val="Calibri"/>
        <scheme val="none"/>
      </font>
      <numFmt numFmtId="164" formatCode="_-* #,##0_-;\-* #,##0_-;_-* &quot;-&quot;??_-;_-@_-"/>
    </dxf>
  </rfmt>
  <rfmt sheetId="1" sqref="AR491" start="0" length="0">
    <dxf>
      <font>
        <sz val="11"/>
        <color theme="1"/>
        <name val="Calibri"/>
        <scheme val="none"/>
      </font>
      <numFmt numFmtId="164" formatCode="_-* #,##0_-;\-* #,##0_-;_-* &quot;-&quot;??_-;_-@_-"/>
    </dxf>
  </rfmt>
  <rfmt sheetId="1" sqref="AS491" start="0" length="0">
    <dxf>
      <font>
        <sz val="11"/>
        <color theme="1"/>
        <name val="Calibri"/>
        <scheme val="none"/>
      </font>
      <numFmt numFmtId="164" formatCode="_-* #,##0_-;\-* #,##0_-;_-* &quot;-&quot;??_-;_-@_-"/>
    </dxf>
  </rfmt>
  <rfmt sheetId="1" sqref="AT491" start="0" length="0">
    <dxf>
      <font>
        <sz val="11"/>
        <color theme="1"/>
        <name val="Calibri"/>
        <scheme val="none"/>
      </font>
      <numFmt numFmtId="164" formatCode="_-* #,##0_-;\-* #,##0_-;_-* &quot;-&quot;??_-;_-@_-"/>
    </dxf>
  </rfmt>
  <rfmt sheetId="1" sqref="AU491" start="0" length="0">
    <dxf>
      <font>
        <sz val="11"/>
        <color theme="1"/>
        <name val="Calibri"/>
        <scheme val="none"/>
      </font>
    </dxf>
  </rfmt>
  <rfmt sheetId="1" sqref="AV491" start="0" length="0">
    <dxf>
      <font>
        <sz val="11"/>
        <color theme="1"/>
        <name val="Calibri"/>
        <scheme val="none"/>
      </font>
    </dxf>
  </rfmt>
  <rfmt sheetId="1" sqref="AW491" start="0" length="0">
    <dxf>
      <font>
        <sz val="11"/>
        <color theme="1"/>
        <name val="Calibri"/>
        <scheme val="none"/>
      </font>
    </dxf>
  </rfmt>
  <rfmt sheetId="1" sqref="AX491" start="0" length="0">
    <dxf>
      <font>
        <sz val="11"/>
        <color theme="1"/>
        <name val="Calibri"/>
        <scheme val="none"/>
      </font>
    </dxf>
  </rfmt>
  <rfmt sheetId="1" sqref="AY491" start="0" length="0">
    <dxf>
      <font>
        <sz val="11"/>
        <color theme="1"/>
        <name val="Calibri"/>
        <scheme val="none"/>
      </font>
    </dxf>
  </rfmt>
  <rfmt sheetId="1" sqref="A491:XFD491" start="0" length="0">
    <dxf>
      <font>
        <sz val="11"/>
        <color theme="1"/>
        <name val="Calibri"/>
        <scheme val="none"/>
      </font>
    </dxf>
  </rfmt>
  <rfmt sheetId="1" sqref="A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9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9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92" start="0" length="0">
    <dxf>
      <font>
        <sz val="11"/>
        <color theme="1"/>
        <name val="Calibri"/>
        <scheme val="none"/>
      </font>
    </dxf>
  </rfmt>
  <rfmt sheetId="1" sqref="AM492" start="0" length="0">
    <dxf>
      <font>
        <sz val="11"/>
        <color theme="1"/>
        <name val="Calibri"/>
        <scheme val="none"/>
      </font>
      <numFmt numFmtId="1" formatCode="0"/>
    </dxf>
  </rfmt>
  <rfmt sheetId="1" sqref="AN492" start="0" length="0">
    <dxf>
      <font>
        <sz val="11"/>
        <color theme="1"/>
        <name val="Calibri"/>
        <scheme val="none"/>
      </font>
      <numFmt numFmtId="1" formatCode="0"/>
    </dxf>
  </rfmt>
  <rfmt sheetId="1" sqref="AO492" start="0" length="0">
    <dxf>
      <font>
        <sz val="11"/>
        <color theme="1"/>
        <name val="Calibri"/>
        <scheme val="none"/>
      </font>
    </dxf>
  </rfmt>
  <rfmt sheetId="1" sqref="AP492" start="0" length="0">
    <dxf>
      <font>
        <sz val="11"/>
        <color theme="1"/>
        <name val="Calibri"/>
        <scheme val="none"/>
      </font>
    </dxf>
  </rfmt>
  <rfmt sheetId="1" sqref="AQ492" start="0" length="0">
    <dxf>
      <font>
        <sz val="11"/>
        <color theme="1"/>
        <name val="Calibri"/>
        <scheme val="none"/>
      </font>
      <numFmt numFmtId="164" formatCode="_-* #,##0_-;\-* #,##0_-;_-* &quot;-&quot;??_-;_-@_-"/>
    </dxf>
  </rfmt>
  <rfmt sheetId="1" sqref="AR492" start="0" length="0">
    <dxf>
      <font>
        <sz val="11"/>
        <color theme="1"/>
        <name val="Calibri"/>
        <scheme val="none"/>
      </font>
      <numFmt numFmtId="164" formatCode="_-* #,##0_-;\-* #,##0_-;_-* &quot;-&quot;??_-;_-@_-"/>
    </dxf>
  </rfmt>
  <rfmt sheetId="1" sqref="AS492" start="0" length="0">
    <dxf>
      <font>
        <sz val="11"/>
        <color theme="1"/>
        <name val="Calibri"/>
        <scheme val="none"/>
      </font>
      <numFmt numFmtId="164" formatCode="_-* #,##0_-;\-* #,##0_-;_-* &quot;-&quot;??_-;_-@_-"/>
    </dxf>
  </rfmt>
  <rfmt sheetId="1" sqref="AT492" start="0" length="0">
    <dxf>
      <font>
        <sz val="11"/>
        <color theme="1"/>
        <name val="Calibri"/>
        <scheme val="none"/>
      </font>
      <numFmt numFmtId="164" formatCode="_-* #,##0_-;\-* #,##0_-;_-* &quot;-&quot;??_-;_-@_-"/>
    </dxf>
  </rfmt>
  <rfmt sheetId="1" sqref="AU492" start="0" length="0">
    <dxf>
      <font>
        <sz val="11"/>
        <color theme="1"/>
        <name val="Calibri"/>
        <scheme val="none"/>
      </font>
    </dxf>
  </rfmt>
  <rfmt sheetId="1" sqref="AV492" start="0" length="0">
    <dxf>
      <font>
        <sz val="11"/>
        <color theme="1"/>
        <name val="Calibri"/>
        <scheme val="none"/>
      </font>
    </dxf>
  </rfmt>
  <rfmt sheetId="1" sqref="AW492" start="0" length="0">
    <dxf>
      <font>
        <sz val="11"/>
        <color theme="1"/>
        <name val="Calibri"/>
        <scheme val="none"/>
      </font>
    </dxf>
  </rfmt>
  <rfmt sheetId="1" sqref="AX492" start="0" length="0">
    <dxf>
      <font>
        <sz val="11"/>
        <color theme="1"/>
        <name val="Calibri"/>
        <scheme val="none"/>
      </font>
    </dxf>
  </rfmt>
  <rfmt sheetId="1" sqref="AY492" start="0" length="0">
    <dxf>
      <font>
        <sz val="11"/>
        <color theme="1"/>
        <name val="Calibri"/>
        <scheme val="none"/>
      </font>
    </dxf>
  </rfmt>
  <rfmt sheetId="1" sqref="A492:XFD492" start="0" length="0">
    <dxf>
      <font>
        <sz val="11"/>
        <color theme="1"/>
        <name val="Calibri"/>
        <scheme val="none"/>
      </font>
    </dxf>
  </rfmt>
  <rfmt sheetId="1" sqref="A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9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9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93" start="0" length="0">
    <dxf>
      <font>
        <sz val="11"/>
        <color theme="1"/>
        <name val="Calibri"/>
        <scheme val="none"/>
      </font>
    </dxf>
  </rfmt>
  <rfmt sheetId="1" sqref="AM493" start="0" length="0">
    <dxf>
      <font>
        <sz val="11"/>
        <color theme="1"/>
        <name val="Calibri"/>
        <scheme val="none"/>
      </font>
      <numFmt numFmtId="1" formatCode="0"/>
    </dxf>
  </rfmt>
  <rfmt sheetId="1" sqref="AN493" start="0" length="0">
    <dxf>
      <font>
        <sz val="11"/>
        <color theme="1"/>
        <name val="Calibri"/>
        <scheme val="none"/>
      </font>
      <numFmt numFmtId="1" formatCode="0"/>
    </dxf>
  </rfmt>
  <rfmt sheetId="1" sqref="AO493" start="0" length="0">
    <dxf>
      <font>
        <sz val="11"/>
        <color theme="1"/>
        <name val="Calibri"/>
        <scheme val="none"/>
      </font>
    </dxf>
  </rfmt>
  <rfmt sheetId="1" sqref="AP493" start="0" length="0">
    <dxf>
      <font>
        <sz val="11"/>
        <color theme="1"/>
        <name val="Calibri"/>
        <scheme val="none"/>
      </font>
    </dxf>
  </rfmt>
  <rfmt sheetId="1" sqref="AQ493" start="0" length="0">
    <dxf>
      <font>
        <sz val="11"/>
        <color theme="1"/>
        <name val="Calibri"/>
        <scheme val="none"/>
      </font>
      <numFmt numFmtId="164" formatCode="_-* #,##0_-;\-* #,##0_-;_-* &quot;-&quot;??_-;_-@_-"/>
    </dxf>
  </rfmt>
  <rfmt sheetId="1" sqref="AR493" start="0" length="0">
    <dxf>
      <font>
        <sz val="11"/>
        <color theme="1"/>
        <name val="Calibri"/>
        <scheme val="none"/>
      </font>
      <numFmt numFmtId="164" formatCode="_-* #,##0_-;\-* #,##0_-;_-* &quot;-&quot;??_-;_-@_-"/>
    </dxf>
  </rfmt>
  <rfmt sheetId="1" sqref="AS493" start="0" length="0">
    <dxf>
      <font>
        <sz val="11"/>
        <color theme="1"/>
        <name val="Calibri"/>
        <scheme val="none"/>
      </font>
      <numFmt numFmtId="164" formatCode="_-* #,##0_-;\-* #,##0_-;_-* &quot;-&quot;??_-;_-@_-"/>
    </dxf>
  </rfmt>
  <rfmt sheetId="1" sqref="AT493" start="0" length="0">
    <dxf>
      <font>
        <sz val="11"/>
        <color theme="1"/>
        <name val="Calibri"/>
        <scheme val="none"/>
      </font>
      <numFmt numFmtId="164" formatCode="_-* #,##0_-;\-* #,##0_-;_-* &quot;-&quot;??_-;_-@_-"/>
    </dxf>
  </rfmt>
  <rfmt sheetId="1" sqref="AU493" start="0" length="0">
    <dxf>
      <font>
        <sz val="11"/>
        <color theme="1"/>
        <name val="Calibri"/>
        <scheme val="none"/>
      </font>
    </dxf>
  </rfmt>
  <rfmt sheetId="1" sqref="AV493" start="0" length="0">
    <dxf>
      <font>
        <sz val="11"/>
        <color theme="1"/>
        <name val="Calibri"/>
        <scheme val="none"/>
      </font>
    </dxf>
  </rfmt>
  <rfmt sheetId="1" sqref="AW493" start="0" length="0">
    <dxf>
      <font>
        <sz val="11"/>
        <color theme="1"/>
        <name val="Calibri"/>
        <scheme val="none"/>
      </font>
    </dxf>
  </rfmt>
  <rfmt sheetId="1" sqref="AX493" start="0" length="0">
    <dxf>
      <font>
        <sz val="11"/>
        <color theme="1"/>
        <name val="Calibri"/>
        <scheme val="none"/>
      </font>
    </dxf>
  </rfmt>
  <rfmt sheetId="1" sqref="AY493" start="0" length="0">
    <dxf>
      <font>
        <sz val="11"/>
        <color theme="1"/>
        <name val="Calibri"/>
        <scheme val="none"/>
      </font>
    </dxf>
  </rfmt>
  <rfmt sheetId="1" sqref="A493:XFD493" start="0" length="0">
    <dxf>
      <font>
        <sz val="11"/>
        <color theme="1"/>
        <name val="Calibri"/>
        <scheme val="none"/>
      </font>
    </dxf>
  </rfmt>
  <rfmt sheetId="1" sqref="A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9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9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94" start="0" length="0">
    <dxf>
      <font>
        <sz val="11"/>
        <color theme="1"/>
        <name val="Calibri"/>
        <scheme val="none"/>
      </font>
    </dxf>
  </rfmt>
  <rfmt sheetId="1" sqref="AM494" start="0" length="0">
    <dxf>
      <font>
        <sz val="11"/>
        <color theme="1"/>
        <name val="Calibri"/>
        <scheme val="none"/>
      </font>
      <numFmt numFmtId="1" formatCode="0"/>
    </dxf>
  </rfmt>
  <rfmt sheetId="1" sqref="AN494" start="0" length="0">
    <dxf>
      <font>
        <sz val="11"/>
        <color theme="1"/>
        <name val="Calibri"/>
        <scheme val="none"/>
      </font>
      <numFmt numFmtId="1" formatCode="0"/>
    </dxf>
  </rfmt>
  <rfmt sheetId="1" sqref="AO494" start="0" length="0">
    <dxf>
      <font>
        <sz val="11"/>
        <color theme="1"/>
        <name val="Calibri"/>
        <scheme val="none"/>
      </font>
    </dxf>
  </rfmt>
  <rfmt sheetId="1" sqref="AP494" start="0" length="0">
    <dxf>
      <font>
        <sz val="11"/>
        <color theme="1"/>
        <name val="Calibri"/>
        <scheme val="none"/>
      </font>
    </dxf>
  </rfmt>
  <rfmt sheetId="1" sqref="AQ494" start="0" length="0">
    <dxf>
      <font>
        <sz val="11"/>
        <color theme="1"/>
        <name val="Calibri"/>
        <scheme val="none"/>
      </font>
      <numFmt numFmtId="164" formatCode="_-* #,##0_-;\-* #,##0_-;_-* &quot;-&quot;??_-;_-@_-"/>
    </dxf>
  </rfmt>
  <rfmt sheetId="1" sqref="AR494" start="0" length="0">
    <dxf>
      <font>
        <sz val="11"/>
        <color theme="1"/>
        <name val="Calibri"/>
        <scheme val="none"/>
      </font>
      <numFmt numFmtId="164" formatCode="_-* #,##0_-;\-* #,##0_-;_-* &quot;-&quot;??_-;_-@_-"/>
    </dxf>
  </rfmt>
  <rfmt sheetId="1" sqref="AS494" start="0" length="0">
    <dxf>
      <font>
        <sz val="11"/>
        <color theme="1"/>
        <name val="Calibri"/>
        <scheme val="none"/>
      </font>
      <numFmt numFmtId="164" formatCode="_-* #,##0_-;\-* #,##0_-;_-* &quot;-&quot;??_-;_-@_-"/>
    </dxf>
  </rfmt>
  <rfmt sheetId="1" sqref="AT494" start="0" length="0">
    <dxf>
      <font>
        <sz val="11"/>
        <color theme="1"/>
        <name val="Calibri"/>
        <scheme val="none"/>
      </font>
      <numFmt numFmtId="164" formatCode="_-* #,##0_-;\-* #,##0_-;_-* &quot;-&quot;??_-;_-@_-"/>
    </dxf>
  </rfmt>
  <rfmt sheetId="1" sqref="AU494" start="0" length="0">
    <dxf>
      <font>
        <sz val="11"/>
        <color theme="1"/>
        <name val="Calibri"/>
        <scheme val="none"/>
      </font>
    </dxf>
  </rfmt>
  <rfmt sheetId="1" sqref="AV494" start="0" length="0">
    <dxf>
      <font>
        <sz val="11"/>
        <color theme="1"/>
        <name val="Calibri"/>
        <scheme val="none"/>
      </font>
    </dxf>
  </rfmt>
  <rfmt sheetId="1" sqref="AW494" start="0" length="0">
    <dxf>
      <font>
        <sz val="11"/>
        <color theme="1"/>
        <name val="Calibri"/>
        <scheme val="none"/>
      </font>
    </dxf>
  </rfmt>
  <rfmt sheetId="1" sqref="AX494" start="0" length="0">
    <dxf>
      <font>
        <sz val="11"/>
        <color theme="1"/>
        <name val="Calibri"/>
        <scheme val="none"/>
      </font>
    </dxf>
  </rfmt>
  <rfmt sheetId="1" sqref="AY494" start="0" length="0">
    <dxf>
      <font>
        <sz val="11"/>
        <color theme="1"/>
        <name val="Calibri"/>
        <scheme val="none"/>
      </font>
    </dxf>
  </rfmt>
  <rfmt sheetId="1" sqref="A494:XFD494" start="0" length="0">
    <dxf>
      <font>
        <sz val="11"/>
        <color theme="1"/>
        <name val="Calibri"/>
        <scheme val="none"/>
      </font>
    </dxf>
  </rfmt>
  <rfmt sheetId="1" sqref="A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9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9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95" start="0" length="0">
    <dxf>
      <font>
        <sz val="11"/>
        <color theme="1"/>
        <name val="Calibri"/>
        <scheme val="none"/>
      </font>
    </dxf>
  </rfmt>
  <rfmt sheetId="1" sqref="AM495" start="0" length="0">
    <dxf>
      <font>
        <sz val="11"/>
        <color theme="1"/>
        <name val="Calibri"/>
        <scheme val="none"/>
      </font>
      <numFmt numFmtId="1" formatCode="0"/>
    </dxf>
  </rfmt>
  <rfmt sheetId="1" sqref="AN495" start="0" length="0">
    <dxf>
      <font>
        <sz val="11"/>
        <color theme="1"/>
        <name val="Calibri"/>
        <scheme val="none"/>
      </font>
      <numFmt numFmtId="1" formatCode="0"/>
    </dxf>
  </rfmt>
  <rfmt sheetId="1" sqref="AO495" start="0" length="0">
    <dxf>
      <font>
        <sz val="11"/>
        <color theme="1"/>
        <name val="Calibri"/>
        <scheme val="none"/>
      </font>
    </dxf>
  </rfmt>
  <rfmt sheetId="1" sqref="AP495" start="0" length="0">
    <dxf>
      <font>
        <sz val="11"/>
        <color theme="1"/>
        <name val="Calibri"/>
        <scheme val="none"/>
      </font>
    </dxf>
  </rfmt>
  <rfmt sheetId="1" sqref="AQ495" start="0" length="0">
    <dxf>
      <font>
        <sz val="11"/>
        <color theme="1"/>
        <name val="Calibri"/>
        <scheme val="none"/>
      </font>
      <numFmt numFmtId="164" formatCode="_-* #,##0_-;\-* #,##0_-;_-* &quot;-&quot;??_-;_-@_-"/>
    </dxf>
  </rfmt>
  <rfmt sheetId="1" sqref="AR495" start="0" length="0">
    <dxf>
      <font>
        <sz val="11"/>
        <color theme="1"/>
        <name val="Calibri"/>
        <scheme val="none"/>
      </font>
      <numFmt numFmtId="164" formatCode="_-* #,##0_-;\-* #,##0_-;_-* &quot;-&quot;??_-;_-@_-"/>
    </dxf>
  </rfmt>
  <rfmt sheetId="1" sqref="AS495" start="0" length="0">
    <dxf>
      <font>
        <sz val="11"/>
        <color theme="1"/>
        <name val="Calibri"/>
        <scheme val="none"/>
      </font>
      <numFmt numFmtId="164" formatCode="_-* #,##0_-;\-* #,##0_-;_-* &quot;-&quot;??_-;_-@_-"/>
    </dxf>
  </rfmt>
  <rfmt sheetId="1" sqref="AT495" start="0" length="0">
    <dxf>
      <font>
        <sz val="11"/>
        <color theme="1"/>
        <name val="Calibri"/>
        <scheme val="none"/>
      </font>
      <numFmt numFmtId="164" formatCode="_-* #,##0_-;\-* #,##0_-;_-* &quot;-&quot;??_-;_-@_-"/>
    </dxf>
  </rfmt>
  <rfmt sheetId="1" sqref="AU495" start="0" length="0">
    <dxf>
      <font>
        <sz val="11"/>
        <color theme="1"/>
        <name val="Calibri"/>
        <scheme val="none"/>
      </font>
    </dxf>
  </rfmt>
  <rfmt sheetId="1" sqref="AV495" start="0" length="0">
    <dxf>
      <font>
        <sz val="11"/>
        <color theme="1"/>
        <name val="Calibri"/>
        <scheme val="none"/>
      </font>
    </dxf>
  </rfmt>
  <rfmt sheetId="1" sqref="AW495" start="0" length="0">
    <dxf>
      <font>
        <sz val="11"/>
        <color theme="1"/>
        <name val="Calibri"/>
        <scheme val="none"/>
      </font>
    </dxf>
  </rfmt>
  <rfmt sheetId="1" sqref="AX495" start="0" length="0">
    <dxf>
      <font>
        <sz val="11"/>
        <color theme="1"/>
        <name val="Calibri"/>
        <scheme val="none"/>
      </font>
    </dxf>
  </rfmt>
  <rfmt sheetId="1" sqref="AY495" start="0" length="0">
    <dxf>
      <font>
        <sz val="11"/>
        <color theme="1"/>
        <name val="Calibri"/>
        <scheme val="none"/>
      </font>
    </dxf>
  </rfmt>
  <rfmt sheetId="1" sqref="A495:XFD495" start="0" length="0">
    <dxf>
      <font>
        <sz val="11"/>
        <color theme="1"/>
        <name val="Calibri"/>
        <scheme val="none"/>
      </font>
    </dxf>
  </rfmt>
  <rfmt sheetId="1" sqref="A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9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9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96" start="0" length="0">
    <dxf>
      <font>
        <sz val="11"/>
        <color theme="1"/>
        <name val="Calibri"/>
        <scheme val="none"/>
      </font>
    </dxf>
  </rfmt>
  <rfmt sheetId="1" sqref="AM496" start="0" length="0">
    <dxf>
      <font>
        <sz val="11"/>
        <color theme="1"/>
        <name val="Calibri"/>
        <scheme val="none"/>
      </font>
      <numFmt numFmtId="1" formatCode="0"/>
    </dxf>
  </rfmt>
  <rfmt sheetId="1" sqref="AN496" start="0" length="0">
    <dxf>
      <font>
        <sz val="11"/>
        <color theme="1"/>
        <name val="Calibri"/>
        <scheme val="none"/>
      </font>
      <numFmt numFmtId="1" formatCode="0"/>
    </dxf>
  </rfmt>
  <rfmt sheetId="1" sqref="AO496" start="0" length="0">
    <dxf>
      <font>
        <sz val="11"/>
        <color theme="1"/>
        <name val="Calibri"/>
        <scheme val="none"/>
      </font>
    </dxf>
  </rfmt>
  <rfmt sheetId="1" sqref="AP496" start="0" length="0">
    <dxf>
      <font>
        <sz val="11"/>
        <color theme="1"/>
        <name val="Calibri"/>
        <scheme val="none"/>
      </font>
    </dxf>
  </rfmt>
  <rfmt sheetId="1" sqref="AQ496" start="0" length="0">
    <dxf>
      <font>
        <sz val="11"/>
        <color theme="1"/>
        <name val="Calibri"/>
        <scheme val="none"/>
      </font>
      <numFmt numFmtId="164" formatCode="_-* #,##0_-;\-* #,##0_-;_-* &quot;-&quot;??_-;_-@_-"/>
    </dxf>
  </rfmt>
  <rfmt sheetId="1" sqref="AR496" start="0" length="0">
    <dxf>
      <font>
        <sz val="11"/>
        <color theme="1"/>
        <name val="Calibri"/>
        <scheme val="none"/>
      </font>
      <numFmt numFmtId="164" formatCode="_-* #,##0_-;\-* #,##0_-;_-* &quot;-&quot;??_-;_-@_-"/>
    </dxf>
  </rfmt>
  <rfmt sheetId="1" sqref="AS496" start="0" length="0">
    <dxf>
      <font>
        <sz val="11"/>
        <color theme="1"/>
        <name val="Calibri"/>
        <scheme val="none"/>
      </font>
      <numFmt numFmtId="164" formatCode="_-* #,##0_-;\-* #,##0_-;_-* &quot;-&quot;??_-;_-@_-"/>
    </dxf>
  </rfmt>
  <rfmt sheetId="1" sqref="AT496" start="0" length="0">
    <dxf>
      <font>
        <sz val="11"/>
        <color theme="1"/>
        <name val="Calibri"/>
        <scheme val="none"/>
      </font>
      <numFmt numFmtId="164" formatCode="_-* #,##0_-;\-* #,##0_-;_-* &quot;-&quot;??_-;_-@_-"/>
    </dxf>
  </rfmt>
  <rfmt sheetId="1" sqref="AU496" start="0" length="0">
    <dxf>
      <font>
        <sz val="11"/>
        <color theme="1"/>
        <name val="Calibri"/>
        <scheme val="none"/>
      </font>
    </dxf>
  </rfmt>
  <rfmt sheetId="1" sqref="AV496" start="0" length="0">
    <dxf>
      <font>
        <sz val="11"/>
        <color theme="1"/>
        <name val="Calibri"/>
        <scheme val="none"/>
      </font>
    </dxf>
  </rfmt>
  <rfmt sheetId="1" sqref="AW496" start="0" length="0">
    <dxf>
      <font>
        <sz val="11"/>
        <color theme="1"/>
        <name val="Calibri"/>
        <scheme val="none"/>
      </font>
    </dxf>
  </rfmt>
  <rfmt sheetId="1" sqref="AX496" start="0" length="0">
    <dxf>
      <font>
        <sz val="11"/>
        <color theme="1"/>
        <name val="Calibri"/>
        <scheme val="none"/>
      </font>
    </dxf>
  </rfmt>
  <rfmt sheetId="1" sqref="AY496" start="0" length="0">
    <dxf>
      <font>
        <sz val="11"/>
        <color theme="1"/>
        <name val="Calibri"/>
        <scheme val="none"/>
      </font>
    </dxf>
  </rfmt>
  <rfmt sheetId="1" sqref="A496:XFD496" start="0" length="0">
    <dxf>
      <font>
        <sz val="11"/>
        <color theme="1"/>
        <name val="Calibri"/>
        <scheme val="none"/>
      </font>
    </dxf>
  </rfmt>
  <rfmt sheetId="1" sqref="A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9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9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97" start="0" length="0">
    <dxf>
      <font>
        <sz val="11"/>
        <color theme="1"/>
        <name val="Calibri"/>
        <scheme val="none"/>
      </font>
    </dxf>
  </rfmt>
  <rfmt sheetId="1" sqref="AM497" start="0" length="0">
    <dxf>
      <font>
        <sz val="11"/>
        <color theme="1"/>
        <name val="Calibri"/>
        <scheme val="none"/>
      </font>
      <numFmt numFmtId="1" formatCode="0"/>
    </dxf>
  </rfmt>
  <rfmt sheetId="1" sqref="AN497" start="0" length="0">
    <dxf>
      <font>
        <sz val="11"/>
        <color theme="1"/>
        <name val="Calibri"/>
        <scheme val="none"/>
      </font>
      <numFmt numFmtId="1" formatCode="0"/>
    </dxf>
  </rfmt>
  <rfmt sheetId="1" sqref="AO497" start="0" length="0">
    <dxf>
      <font>
        <sz val="11"/>
        <color theme="1"/>
        <name val="Calibri"/>
        <scheme val="none"/>
      </font>
    </dxf>
  </rfmt>
  <rfmt sheetId="1" sqref="AP497" start="0" length="0">
    <dxf>
      <font>
        <sz val="11"/>
        <color theme="1"/>
        <name val="Calibri"/>
        <scheme val="none"/>
      </font>
    </dxf>
  </rfmt>
  <rfmt sheetId="1" sqref="AQ497" start="0" length="0">
    <dxf>
      <font>
        <sz val="11"/>
        <color theme="1"/>
        <name val="Calibri"/>
        <scheme val="none"/>
      </font>
      <numFmt numFmtId="164" formatCode="_-* #,##0_-;\-* #,##0_-;_-* &quot;-&quot;??_-;_-@_-"/>
    </dxf>
  </rfmt>
  <rfmt sheetId="1" sqref="AR497" start="0" length="0">
    <dxf>
      <font>
        <sz val="11"/>
        <color theme="1"/>
        <name val="Calibri"/>
        <scheme val="none"/>
      </font>
      <numFmt numFmtId="164" formatCode="_-* #,##0_-;\-* #,##0_-;_-* &quot;-&quot;??_-;_-@_-"/>
    </dxf>
  </rfmt>
  <rfmt sheetId="1" sqref="AS497" start="0" length="0">
    <dxf>
      <font>
        <sz val="11"/>
        <color theme="1"/>
        <name val="Calibri"/>
        <scheme val="none"/>
      </font>
      <numFmt numFmtId="164" formatCode="_-* #,##0_-;\-* #,##0_-;_-* &quot;-&quot;??_-;_-@_-"/>
    </dxf>
  </rfmt>
  <rfmt sheetId="1" sqref="AT497" start="0" length="0">
    <dxf>
      <font>
        <sz val="11"/>
        <color theme="1"/>
        <name val="Calibri"/>
        <scheme val="none"/>
      </font>
      <numFmt numFmtId="164" formatCode="_-* #,##0_-;\-* #,##0_-;_-* &quot;-&quot;??_-;_-@_-"/>
    </dxf>
  </rfmt>
  <rfmt sheetId="1" sqref="AU497" start="0" length="0">
    <dxf>
      <font>
        <sz val="11"/>
        <color theme="1"/>
        <name val="Calibri"/>
        <scheme val="none"/>
      </font>
    </dxf>
  </rfmt>
  <rfmt sheetId="1" sqref="AV497" start="0" length="0">
    <dxf>
      <font>
        <sz val="11"/>
        <color theme="1"/>
        <name val="Calibri"/>
        <scheme val="none"/>
      </font>
    </dxf>
  </rfmt>
  <rfmt sheetId="1" sqref="AW497" start="0" length="0">
    <dxf>
      <font>
        <sz val="11"/>
        <color theme="1"/>
        <name val="Calibri"/>
        <scheme val="none"/>
      </font>
    </dxf>
  </rfmt>
  <rfmt sheetId="1" sqref="AX497" start="0" length="0">
    <dxf>
      <font>
        <sz val="11"/>
        <color theme="1"/>
        <name val="Calibri"/>
        <scheme val="none"/>
      </font>
    </dxf>
  </rfmt>
  <rfmt sheetId="1" sqref="AY497" start="0" length="0">
    <dxf>
      <font>
        <sz val="11"/>
        <color theme="1"/>
        <name val="Calibri"/>
        <scheme val="none"/>
      </font>
    </dxf>
  </rfmt>
  <rfmt sheetId="1" sqref="A497:XFD497" start="0" length="0">
    <dxf>
      <font>
        <sz val="11"/>
        <color theme="1"/>
        <name val="Calibri"/>
        <scheme val="none"/>
      </font>
    </dxf>
  </rfmt>
  <rfmt sheetId="1" sqref="A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9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9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98" start="0" length="0">
    <dxf>
      <font>
        <sz val="11"/>
        <color theme="1"/>
        <name val="Calibri"/>
        <scheme val="none"/>
      </font>
    </dxf>
  </rfmt>
  <rfmt sheetId="1" sqref="AM498" start="0" length="0">
    <dxf>
      <font>
        <sz val="11"/>
        <color theme="1"/>
        <name val="Calibri"/>
        <scheme val="none"/>
      </font>
      <numFmt numFmtId="1" formatCode="0"/>
    </dxf>
  </rfmt>
  <rfmt sheetId="1" sqref="AN498" start="0" length="0">
    <dxf>
      <font>
        <sz val="11"/>
        <color theme="1"/>
        <name val="Calibri"/>
        <scheme val="none"/>
      </font>
      <numFmt numFmtId="1" formatCode="0"/>
    </dxf>
  </rfmt>
  <rfmt sheetId="1" sqref="AO498" start="0" length="0">
    <dxf>
      <font>
        <sz val="11"/>
        <color theme="1"/>
        <name val="Calibri"/>
        <scheme val="none"/>
      </font>
    </dxf>
  </rfmt>
  <rfmt sheetId="1" sqref="AP498" start="0" length="0">
    <dxf>
      <font>
        <sz val="11"/>
        <color theme="1"/>
        <name val="Calibri"/>
        <scheme val="none"/>
      </font>
    </dxf>
  </rfmt>
  <rfmt sheetId="1" sqref="AQ498" start="0" length="0">
    <dxf>
      <font>
        <sz val="11"/>
        <color theme="1"/>
        <name val="Calibri"/>
        <scheme val="none"/>
      </font>
      <numFmt numFmtId="164" formatCode="_-* #,##0_-;\-* #,##0_-;_-* &quot;-&quot;??_-;_-@_-"/>
    </dxf>
  </rfmt>
  <rfmt sheetId="1" sqref="AR498" start="0" length="0">
    <dxf>
      <font>
        <sz val="11"/>
        <color theme="1"/>
        <name val="Calibri"/>
        <scheme val="none"/>
      </font>
      <numFmt numFmtId="164" formatCode="_-* #,##0_-;\-* #,##0_-;_-* &quot;-&quot;??_-;_-@_-"/>
    </dxf>
  </rfmt>
  <rfmt sheetId="1" sqref="AS498" start="0" length="0">
    <dxf>
      <font>
        <sz val="11"/>
        <color theme="1"/>
        <name val="Calibri"/>
        <scheme val="none"/>
      </font>
      <numFmt numFmtId="164" formatCode="_-* #,##0_-;\-* #,##0_-;_-* &quot;-&quot;??_-;_-@_-"/>
    </dxf>
  </rfmt>
  <rfmt sheetId="1" sqref="AT498" start="0" length="0">
    <dxf>
      <font>
        <sz val="11"/>
        <color theme="1"/>
        <name val="Calibri"/>
        <scheme val="none"/>
      </font>
      <numFmt numFmtId="164" formatCode="_-* #,##0_-;\-* #,##0_-;_-* &quot;-&quot;??_-;_-@_-"/>
    </dxf>
  </rfmt>
  <rfmt sheetId="1" sqref="AU498" start="0" length="0">
    <dxf>
      <font>
        <sz val="11"/>
        <color theme="1"/>
        <name val="Calibri"/>
        <scheme val="none"/>
      </font>
    </dxf>
  </rfmt>
  <rfmt sheetId="1" sqref="AV498" start="0" length="0">
    <dxf>
      <font>
        <sz val="11"/>
        <color theme="1"/>
        <name val="Calibri"/>
        <scheme val="none"/>
      </font>
    </dxf>
  </rfmt>
  <rfmt sheetId="1" sqref="AW498" start="0" length="0">
    <dxf>
      <font>
        <sz val="11"/>
        <color theme="1"/>
        <name val="Calibri"/>
        <scheme val="none"/>
      </font>
    </dxf>
  </rfmt>
  <rfmt sheetId="1" sqref="AX498" start="0" length="0">
    <dxf>
      <font>
        <sz val="11"/>
        <color theme="1"/>
        <name val="Calibri"/>
        <scheme val="none"/>
      </font>
    </dxf>
  </rfmt>
  <rfmt sheetId="1" sqref="AY498" start="0" length="0">
    <dxf>
      <font>
        <sz val="11"/>
        <color theme="1"/>
        <name val="Calibri"/>
        <scheme val="none"/>
      </font>
    </dxf>
  </rfmt>
  <rfmt sheetId="1" sqref="A498:XFD498" start="0" length="0">
    <dxf>
      <font>
        <sz val="11"/>
        <color theme="1"/>
        <name val="Calibri"/>
        <scheme val="none"/>
      </font>
    </dxf>
  </rfmt>
  <rfmt sheetId="1" sqref="A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4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4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4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4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4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4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4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4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49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4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49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4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499" start="0" length="0">
    <dxf>
      <font>
        <sz val="11"/>
        <color theme="1"/>
        <name val="Calibri"/>
        <scheme val="none"/>
      </font>
    </dxf>
  </rfmt>
  <rfmt sheetId="1" sqref="AM499" start="0" length="0">
    <dxf>
      <font>
        <sz val="11"/>
        <color theme="1"/>
        <name val="Calibri"/>
        <scheme val="none"/>
      </font>
      <numFmt numFmtId="1" formatCode="0"/>
    </dxf>
  </rfmt>
  <rfmt sheetId="1" sqref="AN499" start="0" length="0">
    <dxf>
      <font>
        <sz val="11"/>
        <color theme="1"/>
        <name val="Calibri"/>
        <scheme val="none"/>
      </font>
      <numFmt numFmtId="1" formatCode="0"/>
    </dxf>
  </rfmt>
  <rfmt sheetId="1" sqref="AO499" start="0" length="0">
    <dxf>
      <font>
        <sz val="11"/>
        <color theme="1"/>
        <name val="Calibri"/>
        <scheme val="none"/>
      </font>
    </dxf>
  </rfmt>
  <rfmt sheetId="1" sqref="AP499" start="0" length="0">
    <dxf>
      <font>
        <sz val="11"/>
        <color theme="1"/>
        <name val="Calibri"/>
        <scheme val="none"/>
      </font>
    </dxf>
  </rfmt>
  <rfmt sheetId="1" sqref="AQ499" start="0" length="0">
    <dxf>
      <font>
        <sz val="11"/>
        <color theme="1"/>
        <name val="Calibri"/>
        <scheme val="none"/>
      </font>
      <numFmt numFmtId="164" formatCode="_-* #,##0_-;\-* #,##0_-;_-* &quot;-&quot;??_-;_-@_-"/>
    </dxf>
  </rfmt>
  <rfmt sheetId="1" sqref="AR499" start="0" length="0">
    <dxf>
      <font>
        <sz val="11"/>
        <color theme="1"/>
        <name val="Calibri"/>
        <scheme val="none"/>
      </font>
      <numFmt numFmtId="164" formatCode="_-* #,##0_-;\-* #,##0_-;_-* &quot;-&quot;??_-;_-@_-"/>
    </dxf>
  </rfmt>
  <rfmt sheetId="1" sqref="AS499" start="0" length="0">
    <dxf>
      <font>
        <sz val="11"/>
        <color theme="1"/>
        <name val="Calibri"/>
        <scheme val="none"/>
      </font>
      <numFmt numFmtId="164" formatCode="_-* #,##0_-;\-* #,##0_-;_-* &quot;-&quot;??_-;_-@_-"/>
    </dxf>
  </rfmt>
  <rfmt sheetId="1" sqref="AT499" start="0" length="0">
    <dxf>
      <font>
        <sz val="11"/>
        <color theme="1"/>
        <name val="Calibri"/>
        <scheme val="none"/>
      </font>
      <numFmt numFmtId="164" formatCode="_-* #,##0_-;\-* #,##0_-;_-* &quot;-&quot;??_-;_-@_-"/>
    </dxf>
  </rfmt>
  <rfmt sheetId="1" sqref="AU499" start="0" length="0">
    <dxf>
      <font>
        <sz val="11"/>
        <color theme="1"/>
        <name val="Calibri"/>
        <scheme val="none"/>
      </font>
    </dxf>
  </rfmt>
  <rfmt sheetId="1" sqref="AV499" start="0" length="0">
    <dxf>
      <font>
        <sz val="11"/>
        <color theme="1"/>
        <name val="Calibri"/>
        <scheme val="none"/>
      </font>
    </dxf>
  </rfmt>
  <rfmt sheetId="1" sqref="AW499" start="0" length="0">
    <dxf>
      <font>
        <sz val="11"/>
        <color theme="1"/>
        <name val="Calibri"/>
        <scheme val="none"/>
      </font>
    </dxf>
  </rfmt>
  <rfmt sheetId="1" sqref="AX499" start="0" length="0">
    <dxf>
      <font>
        <sz val="11"/>
        <color theme="1"/>
        <name val="Calibri"/>
        <scheme val="none"/>
      </font>
    </dxf>
  </rfmt>
  <rfmt sheetId="1" sqref="AY499" start="0" length="0">
    <dxf>
      <font>
        <sz val="11"/>
        <color theme="1"/>
        <name val="Calibri"/>
        <scheme val="none"/>
      </font>
    </dxf>
  </rfmt>
  <rfmt sheetId="1" sqref="A499:XFD499" start="0" length="0">
    <dxf>
      <font>
        <sz val="11"/>
        <color theme="1"/>
        <name val="Calibri"/>
        <scheme val="none"/>
      </font>
    </dxf>
  </rfmt>
  <rfmt sheetId="1" sqref="A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0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0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00" start="0" length="0">
    <dxf>
      <font>
        <sz val="11"/>
        <color theme="1"/>
        <name val="Calibri"/>
        <scheme val="none"/>
      </font>
    </dxf>
  </rfmt>
  <rfmt sheetId="1" sqref="AM500" start="0" length="0">
    <dxf>
      <font>
        <sz val="11"/>
        <color theme="1"/>
        <name val="Calibri"/>
        <scheme val="none"/>
      </font>
      <numFmt numFmtId="1" formatCode="0"/>
    </dxf>
  </rfmt>
  <rfmt sheetId="1" sqref="AN500" start="0" length="0">
    <dxf>
      <font>
        <sz val="11"/>
        <color theme="1"/>
        <name val="Calibri"/>
        <scheme val="none"/>
      </font>
      <numFmt numFmtId="1" formatCode="0"/>
    </dxf>
  </rfmt>
  <rfmt sheetId="1" sqref="AO500" start="0" length="0">
    <dxf>
      <font>
        <sz val="11"/>
        <color theme="1"/>
        <name val="Calibri"/>
        <scheme val="none"/>
      </font>
    </dxf>
  </rfmt>
  <rfmt sheetId="1" sqref="AP500" start="0" length="0">
    <dxf>
      <font>
        <sz val="11"/>
        <color theme="1"/>
        <name val="Calibri"/>
        <scheme val="none"/>
      </font>
    </dxf>
  </rfmt>
  <rfmt sheetId="1" sqref="AQ500" start="0" length="0">
    <dxf>
      <font>
        <sz val="11"/>
        <color theme="1"/>
        <name val="Calibri"/>
        <scheme val="none"/>
      </font>
      <numFmt numFmtId="164" formatCode="_-* #,##0_-;\-* #,##0_-;_-* &quot;-&quot;??_-;_-@_-"/>
    </dxf>
  </rfmt>
  <rfmt sheetId="1" sqref="AR500" start="0" length="0">
    <dxf>
      <font>
        <sz val="11"/>
        <color theme="1"/>
        <name val="Calibri"/>
        <scheme val="none"/>
      </font>
      <numFmt numFmtId="164" formatCode="_-* #,##0_-;\-* #,##0_-;_-* &quot;-&quot;??_-;_-@_-"/>
    </dxf>
  </rfmt>
  <rfmt sheetId="1" sqref="AS500" start="0" length="0">
    <dxf>
      <font>
        <sz val="11"/>
        <color theme="1"/>
        <name val="Calibri"/>
        <scheme val="none"/>
      </font>
      <numFmt numFmtId="164" formatCode="_-* #,##0_-;\-* #,##0_-;_-* &quot;-&quot;??_-;_-@_-"/>
    </dxf>
  </rfmt>
  <rfmt sheetId="1" sqref="AT500" start="0" length="0">
    <dxf>
      <font>
        <sz val="11"/>
        <color theme="1"/>
        <name val="Calibri"/>
        <scheme val="none"/>
      </font>
      <numFmt numFmtId="164" formatCode="_-* #,##0_-;\-* #,##0_-;_-* &quot;-&quot;??_-;_-@_-"/>
    </dxf>
  </rfmt>
  <rfmt sheetId="1" sqref="AU500" start="0" length="0">
    <dxf>
      <font>
        <sz val="11"/>
        <color theme="1"/>
        <name val="Calibri"/>
        <scheme val="none"/>
      </font>
    </dxf>
  </rfmt>
  <rfmt sheetId="1" sqref="AV500" start="0" length="0">
    <dxf>
      <font>
        <sz val="11"/>
        <color theme="1"/>
        <name val="Calibri"/>
        <scheme val="none"/>
      </font>
    </dxf>
  </rfmt>
  <rfmt sheetId="1" sqref="AW500" start="0" length="0">
    <dxf>
      <font>
        <sz val="11"/>
        <color theme="1"/>
        <name val="Calibri"/>
        <scheme val="none"/>
      </font>
    </dxf>
  </rfmt>
  <rfmt sheetId="1" sqref="AX500" start="0" length="0">
    <dxf>
      <font>
        <sz val="11"/>
        <color theme="1"/>
        <name val="Calibri"/>
        <scheme val="none"/>
      </font>
    </dxf>
  </rfmt>
  <rfmt sheetId="1" sqref="AY500" start="0" length="0">
    <dxf>
      <font>
        <sz val="11"/>
        <color theme="1"/>
        <name val="Calibri"/>
        <scheme val="none"/>
      </font>
    </dxf>
  </rfmt>
  <rfmt sheetId="1" sqref="A500:XFD500" start="0" length="0">
    <dxf>
      <font>
        <sz val="11"/>
        <color theme="1"/>
        <name val="Calibri"/>
        <scheme val="none"/>
      </font>
    </dxf>
  </rfmt>
  <rfmt sheetId="1" sqref="A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0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0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01" start="0" length="0">
    <dxf>
      <font>
        <sz val="11"/>
        <color theme="1"/>
        <name val="Calibri"/>
        <scheme val="none"/>
      </font>
    </dxf>
  </rfmt>
  <rfmt sheetId="1" sqref="AM501" start="0" length="0">
    <dxf>
      <font>
        <sz val="11"/>
        <color theme="1"/>
        <name val="Calibri"/>
        <scheme val="none"/>
      </font>
      <numFmt numFmtId="1" formatCode="0"/>
    </dxf>
  </rfmt>
  <rfmt sheetId="1" sqref="AN501" start="0" length="0">
    <dxf>
      <font>
        <sz val="11"/>
        <color theme="1"/>
        <name val="Calibri"/>
        <scheme val="none"/>
      </font>
      <numFmt numFmtId="1" formatCode="0"/>
    </dxf>
  </rfmt>
  <rfmt sheetId="1" sqref="AO501" start="0" length="0">
    <dxf>
      <font>
        <sz val="11"/>
        <color theme="1"/>
        <name val="Calibri"/>
        <scheme val="none"/>
      </font>
    </dxf>
  </rfmt>
  <rfmt sheetId="1" sqref="AP501" start="0" length="0">
    <dxf>
      <font>
        <sz val="11"/>
        <color theme="1"/>
        <name val="Calibri"/>
        <scheme val="none"/>
      </font>
    </dxf>
  </rfmt>
  <rfmt sheetId="1" sqref="AQ501" start="0" length="0">
    <dxf>
      <font>
        <sz val="11"/>
        <color theme="1"/>
        <name val="Calibri"/>
        <scheme val="none"/>
      </font>
      <numFmt numFmtId="164" formatCode="_-* #,##0_-;\-* #,##0_-;_-* &quot;-&quot;??_-;_-@_-"/>
    </dxf>
  </rfmt>
  <rfmt sheetId="1" sqref="AR501" start="0" length="0">
    <dxf>
      <font>
        <sz val="11"/>
        <color theme="1"/>
        <name val="Calibri"/>
        <scheme val="none"/>
      </font>
      <numFmt numFmtId="164" formatCode="_-* #,##0_-;\-* #,##0_-;_-* &quot;-&quot;??_-;_-@_-"/>
    </dxf>
  </rfmt>
  <rfmt sheetId="1" sqref="AS501" start="0" length="0">
    <dxf>
      <font>
        <sz val="11"/>
        <color theme="1"/>
        <name val="Calibri"/>
        <scheme val="none"/>
      </font>
      <numFmt numFmtId="164" formatCode="_-* #,##0_-;\-* #,##0_-;_-* &quot;-&quot;??_-;_-@_-"/>
    </dxf>
  </rfmt>
  <rfmt sheetId="1" sqref="AT501" start="0" length="0">
    <dxf>
      <font>
        <sz val="11"/>
        <color theme="1"/>
        <name val="Calibri"/>
        <scheme val="none"/>
      </font>
      <numFmt numFmtId="164" formatCode="_-* #,##0_-;\-* #,##0_-;_-* &quot;-&quot;??_-;_-@_-"/>
    </dxf>
  </rfmt>
  <rfmt sheetId="1" sqref="AU501" start="0" length="0">
    <dxf>
      <font>
        <sz val="11"/>
        <color theme="1"/>
        <name val="Calibri"/>
        <scheme val="none"/>
      </font>
    </dxf>
  </rfmt>
  <rfmt sheetId="1" sqref="AV501" start="0" length="0">
    <dxf>
      <font>
        <sz val="11"/>
        <color theme="1"/>
        <name val="Calibri"/>
        <scheme val="none"/>
      </font>
    </dxf>
  </rfmt>
  <rfmt sheetId="1" sqref="AW501" start="0" length="0">
    <dxf>
      <font>
        <sz val="11"/>
        <color theme="1"/>
        <name val="Calibri"/>
        <scheme val="none"/>
      </font>
    </dxf>
  </rfmt>
  <rfmt sheetId="1" sqref="AX501" start="0" length="0">
    <dxf>
      <font>
        <sz val="11"/>
        <color theme="1"/>
        <name val="Calibri"/>
        <scheme val="none"/>
      </font>
    </dxf>
  </rfmt>
  <rfmt sheetId="1" sqref="AY501" start="0" length="0">
    <dxf>
      <font>
        <sz val="11"/>
        <color theme="1"/>
        <name val="Calibri"/>
        <scheme val="none"/>
      </font>
    </dxf>
  </rfmt>
  <rfmt sheetId="1" sqref="A501:XFD501" start="0" length="0">
    <dxf>
      <font>
        <sz val="11"/>
        <color theme="1"/>
        <name val="Calibri"/>
        <scheme val="none"/>
      </font>
    </dxf>
  </rfmt>
  <rfmt sheetId="1" sqref="A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0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0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02" start="0" length="0">
    <dxf>
      <font>
        <sz val="11"/>
        <color theme="1"/>
        <name val="Calibri"/>
        <scheme val="none"/>
      </font>
    </dxf>
  </rfmt>
  <rfmt sheetId="1" sqref="AM502" start="0" length="0">
    <dxf>
      <font>
        <sz val="11"/>
        <color theme="1"/>
        <name val="Calibri"/>
        <scheme val="none"/>
      </font>
      <numFmt numFmtId="1" formatCode="0"/>
    </dxf>
  </rfmt>
  <rfmt sheetId="1" sqref="AN502" start="0" length="0">
    <dxf>
      <font>
        <sz val="11"/>
        <color theme="1"/>
        <name val="Calibri"/>
        <scheme val="none"/>
      </font>
      <numFmt numFmtId="1" formatCode="0"/>
    </dxf>
  </rfmt>
  <rfmt sheetId="1" sqref="AO502" start="0" length="0">
    <dxf>
      <font>
        <sz val="11"/>
        <color theme="1"/>
        <name val="Calibri"/>
        <scheme val="none"/>
      </font>
    </dxf>
  </rfmt>
  <rfmt sheetId="1" sqref="AP502" start="0" length="0">
    <dxf>
      <font>
        <sz val="11"/>
        <color theme="1"/>
        <name val="Calibri"/>
        <scheme val="none"/>
      </font>
    </dxf>
  </rfmt>
  <rfmt sheetId="1" sqref="AQ502" start="0" length="0">
    <dxf>
      <font>
        <sz val="11"/>
        <color theme="1"/>
        <name val="Calibri"/>
        <scheme val="none"/>
      </font>
      <numFmt numFmtId="164" formatCode="_-* #,##0_-;\-* #,##0_-;_-* &quot;-&quot;??_-;_-@_-"/>
    </dxf>
  </rfmt>
  <rfmt sheetId="1" sqref="AR502" start="0" length="0">
    <dxf>
      <font>
        <sz val="11"/>
        <color theme="1"/>
        <name val="Calibri"/>
        <scheme val="none"/>
      </font>
      <numFmt numFmtId="164" formatCode="_-* #,##0_-;\-* #,##0_-;_-* &quot;-&quot;??_-;_-@_-"/>
    </dxf>
  </rfmt>
  <rfmt sheetId="1" sqref="AS502" start="0" length="0">
    <dxf>
      <font>
        <sz val="11"/>
        <color theme="1"/>
        <name val="Calibri"/>
        <scheme val="none"/>
      </font>
      <numFmt numFmtId="164" formatCode="_-* #,##0_-;\-* #,##0_-;_-* &quot;-&quot;??_-;_-@_-"/>
    </dxf>
  </rfmt>
  <rfmt sheetId="1" sqref="AT502" start="0" length="0">
    <dxf>
      <font>
        <sz val="11"/>
        <color theme="1"/>
        <name val="Calibri"/>
        <scheme val="none"/>
      </font>
      <numFmt numFmtId="164" formatCode="_-* #,##0_-;\-* #,##0_-;_-* &quot;-&quot;??_-;_-@_-"/>
    </dxf>
  </rfmt>
  <rfmt sheetId="1" sqref="AU502" start="0" length="0">
    <dxf>
      <font>
        <sz val="11"/>
        <color theme="1"/>
        <name val="Calibri"/>
        <scheme val="none"/>
      </font>
    </dxf>
  </rfmt>
  <rfmt sheetId="1" sqref="AV502" start="0" length="0">
    <dxf>
      <font>
        <sz val="11"/>
        <color theme="1"/>
        <name val="Calibri"/>
        <scheme val="none"/>
      </font>
    </dxf>
  </rfmt>
  <rfmt sheetId="1" sqref="AW502" start="0" length="0">
    <dxf>
      <font>
        <sz val="11"/>
        <color theme="1"/>
        <name val="Calibri"/>
        <scheme val="none"/>
      </font>
    </dxf>
  </rfmt>
  <rfmt sheetId="1" sqref="AX502" start="0" length="0">
    <dxf>
      <font>
        <sz val="11"/>
        <color theme="1"/>
        <name val="Calibri"/>
        <scheme val="none"/>
      </font>
    </dxf>
  </rfmt>
  <rfmt sheetId="1" sqref="AY502" start="0" length="0">
    <dxf>
      <font>
        <sz val="11"/>
        <color theme="1"/>
        <name val="Calibri"/>
        <scheme val="none"/>
      </font>
    </dxf>
  </rfmt>
  <rfmt sheetId="1" sqref="A502:XFD502" start="0" length="0">
    <dxf>
      <font>
        <sz val="11"/>
        <color theme="1"/>
        <name val="Calibri"/>
        <scheme val="none"/>
      </font>
    </dxf>
  </rfmt>
  <rfmt sheetId="1" sqref="A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0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0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03" start="0" length="0">
    <dxf>
      <font>
        <sz val="11"/>
        <color theme="1"/>
        <name val="Calibri"/>
        <scheme val="none"/>
      </font>
    </dxf>
  </rfmt>
  <rfmt sheetId="1" sqref="AM503" start="0" length="0">
    <dxf>
      <font>
        <sz val="11"/>
        <color theme="1"/>
        <name val="Calibri"/>
        <scheme val="none"/>
      </font>
      <numFmt numFmtId="1" formatCode="0"/>
    </dxf>
  </rfmt>
  <rfmt sheetId="1" sqref="AN503" start="0" length="0">
    <dxf>
      <font>
        <sz val="11"/>
        <color theme="1"/>
        <name val="Calibri"/>
        <scheme val="none"/>
      </font>
      <numFmt numFmtId="1" formatCode="0"/>
    </dxf>
  </rfmt>
  <rfmt sheetId="1" sqref="AO503" start="0" length="0">
    <dxf>
      <font>
        <sz val="11"/>
        <color theme="1"/>
        <name val="Calibri"/>
        <scheme val="none"/>
      </font>
    </dxf>
  </rfmt>
  <rfmt sheetId="1" sqref="AP503" start="0" length="0">
    <dxf>
      <font>
        <sz val="11"/>
        <color theme="1"/>
        <name val="Calibri"/>
        <scheme val="none"/>
      </font>
    </dxf>
  </rfmt>
  <rfmt sheetId="1" sqref="AQ503" start="0" length="0">
    <dxf>
      <font>
        <sz val="11"/>
        <color theme="1"/>
        <name val="Calibri"/>
        <scheme val="none"/>
      </font>
      <numFmt numFmtId="164" formatCode="_-* #,##0_-;\-* #,##0_-;_-* &quot;-&quot;??_-;_-@_-"/>
    </dxf>
  </rfmt>
  <rfmt sheetId="1" sqref="AR503" start="0" length="0">
    <dxf>
      <font>
        <sz val="11"/>
        <color theme="1"/>
        <name val="Calibri"/>
        <scheme val="none"/>
      </font>
      <numFmt numFmtId="164" formatCode="_-* #,##0_-;\-* #,##0_-;_-* &quot;-&quot;??_-;_-@_-"/>
    </dxf>
  </rfmt>
  <rfmt sheetId="1" sqref="AS503" start="0" length="0">
    <dxf>
      <font>
        <sz val="11"/>
        <color theme="1"/>
        <name val="Calibri"/>
        <scheme val="none"/>
      </font>
      <numFmt numFmtId="164" formatCode="_-* #,##0_-;\-* #,##0_-;_-* &quot;-&quot;??_-;_-@_-"/>
    </dxf>
  </rfmt>
  <rfmt sheetId="1" sqref="AT503" start="0" length="0">
    <dxf>
      <font>
        <sz val="11"/>
        <color theme="1"/>
        <name val="Calibri"/>
        <scheme val="none"/>
      </font>
      <numFmt numFmtId="164" formatCode="_-* #,##0_-;\-* #,##0_-;_-* &quot;-&quot;??_-;_-@_-"/>
    </dxf>
  </rfmt>
  <rfmt sheetId="1" sqref="AU503" start="0" length="0">
    <dxf>
      <font>
        <sz val="11"/>
        <color theme="1"/>
        <name val="Calibri"/>
        <scheme val="none"/>
      </font>
    </dxf>
  </rfmt>
  <rfmt sheetId="1" sqref="AV503" start="0" length="0">
    <dxf>
      <font>
        <sz val="11"/>
        <color theme="1"/>
        <name val="Calibri"/>
        <scheme val="none"/>
      </font>
    </dxf>
  </rfmt>
  <rfmt sheetId="1" sqref="AW503" start="0" length="0">
    <dxf>
      <font>
        <sz val="11"/>
        <color theme="1"/>
        <name val="Calibri"/>
        <scheme val="none"/>
      </font>
    </dxf>
  </rfmt>
  <rfmt sheetId="1" sqref="AX503" start="0" length="0">
    <dxf>
      <font>
        <sz val="11"/>
        <color theme="1"/>
        <name val="Calibri"/>
        <scheme val="none"/>
      </font>
    </dxf>
  </rfmt>
  <rfmt sheetId="1" sqref="AY503" start="0" length="0">
    <dxf>
      <font>
        <sz val="11"/>
        <color theme="1"/>
        <name val="Calibri"/>
        <scheme val="none"/>
      </font>
    </dxf>
  </rfmt>
  <rfmt sheetId="1" sqref="A503:XFD503" start="0" length="0">
    <dxf>
      <font>
        <sz val="11"/>
        <color theme="1"/>
        <name val="Calibri"/>
        <scheme val="none"/>
      </font>
    </dxf>
  </rfmt>
  <rfmt sheetId="1" sqref="A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0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0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04" start="0" length="0">
    <dxf>
      <font>
        <sz val="11"/>
        <color theme="1"/>
        <name val="Calibri"/>
        <scheme val="none"/>
      </font>
    </dxf>
  </rfmt>
  <rfmt sheetId="1" sqref="AM504" start="0" length="0">
    <dxf>
      <font>
        <sz val="11"/>
        <color theme="1"/>
        <name val="Calibri"/>
        <scheme val="none"/>
      </font>
      <numFmt numFmtId="1" formatCode="0"/>
    </dxf>
  </rfmt>
  <rfmt sheetId="1" sqref="AN504" start="0" length="0">
    <dxf>
      <font>
        <sz val="11"/>
        <color theme="1"/>
        <name val="Calibri"/>
        <scheme val="none"/>
      </font>
      <numFmt numFmtId="1" formatCode="0"/>
    </dxf>
  </rfmt>
  <rfmt sheetId="1" sqref="AO504" start="0" length="0">
    <dxf>
      <font>
        <sz val="11"/>
        <color theme="1"/>
        <name val="Calibri"/>
        <scheme val="none"/>
      </font>
    </dxf>
  </rfmt>
  <rfmt sheetId="1" sqref="AP504" start="0" length="0">
    <dxf>
      <font>
        <sz val="11"/>
        <color theme="1"/>
        <name val="Calibri"/>
        <scheme val="none"/>
      </font>
    </dxf>
  </rfmt>
  <rfmt sheetId="1" sqref="AQ504" start="0" length="0">
    <dxf>
      <font>
        <sz val="11"/>
        <color theme="1"/>
        <name val="Calibri"/>
        <scheme val="none"/>
      </font>
      <numFmt numFmtId="164" formatCode="_-* #,##0_-;\-* #,##0_-;_-* &quot;-&quot;??_-;_-@_-"/>
    </dxf>
  </rfmt>
  <rfmt sheetId="1" sqref="AR504" start="0" length="0">
    <dxf>
      <font>
        <sz val="11"/>
        <color theme="1"/>
        <name val="Calibri"/>
        <scheme val="none"/>
      </font>
      <numFmt numFmtId="164" formatCode="_-* #,##0_-;\-* #,##0_-;_-* &quot;-&quot;??_-;_-@_-"/>
    </dxf>
  </rfmt>
  <rfmt sheetId="1" sqref="AS504" start="0" length="0">
    <dxf>
      <font>
        <sz val="11"/>
        <color theme="1"/>
        <name val="Calibri"/>
        <scheme val="none"/>
      </font>
      <numFmt numFmtId="164" formatCode="_-* #,##0_-;\-* #,##0_-;_-* &quot;-&quot;??_-;_-@_-"/>
    </dxf>
  </rfmt>
  <rfmt sheetId="1" sqref="AT504" start="0" length="0">
    <dxf>
      <font>
        <sz val="11"/>
        <color theme="1"/>
        <name val="Calibri"/>
        <scheme val="none"/>
      </font>
      <numFmt numFmtId="164" formatCode="_-* #,##0_-;\-* #,##0_-;_-* &quot;-&quot;??_-;_-@_-"/>
    </dxf>
  </rfmt>
  <rfmt sheetId="1" sqref="AU504" start="0" length="0">
    <dxf>
      <font>
        <sz val="11"/>
        <color theme="1"/>
        <name val="Calibri"/>
        <scheme val="none"/>
      </font>
    </dxf>
  </rfmt>
  <rfmt sheetId="1" sqref="AV504" start="0" length="0">
    <dxf>
      <font>
        <sz val="11"/>
        <color theme="1"/>
        <name val="Calibri"/>
        <scheme val="none"/>
      </font>
    </dxf>
  </rfmt>
  <rfmt sheetId="1" sqref="AW504" start="0" length="0">
    <dxf>
      <font>
        <sz val="11"/>
        <color theme="1"/>
        <name val="Calibri"/>
        <scheme val="none"/>
      </font>
    </dxf>
  </rfmt>
  <rfmt sheetId="1" sqref="AX504" start="0" length="0">
    <dxf>
      <font>
        <sz val="11"/>
        <color theme="1"/>
        <name val="Calibri"/>
        <scheme val="none"/>
      </font>
    </dxf>
  </rfmt>
  <rfmt sheetId="1" sqref="AY504" start="0" length="0">
    <dxf>
      <font>
        <sz val="11"/>
        <color theme="1"/>
        <name val="Calibri"/>
        <scheme val="none"/>
      </font>
    </dxf>
  </rfmt>
  <rfmt sheetId="1" sqref="A504:XFD504" start="0" length="0">
    <dxf>
      <font>
        <sz val="11"/>
        <color theme="1"/>
        <name val="Calibri"/>
        <scheme val="none"/>
      </font>
    </dxf>
  </rfmt>
  <rfmt sheetId="1" sqref="A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0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0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05" start="0" length="0">
    <dxf>
      <font>
        <sz val="11"/>
        <color theme="1"/>
        <name val="Calibri"/>
        <scheme val="none"/>
      </font>
    </dxf>
  </rfmt>
  <rfmt sheetId="1" sqref="AM505" start="0" length="0">
    <dxf>
      <font>
        <sz val="11"/>
        <color theme="1"/>
        <name val="Calibri"/>
        <scheme val="none"/>
      </font>
      <numFmt numFmtId="1" formatCode="0"/>
    </dxf>
  </rfmt>
  <rfmt sheetId="1" sqref="AN505" start="0" length="0">
    <dxf>
      <font>
        <sz val="11"/>
        <color theme="1"/>
        <name val="Calibri"/>
        <scheme val="none"/>
      </font>
      <numFmt numFmtId="1" formatCode="0"/>
    </dxf>
  </rfmt>
  <rfmt sheetId="1" sqref="AO505" start="0" length="0">
    <dxf>
      <font>
        <sz val="11"/>
        <color theme="1"/>
        <name val="Calibri"/>
        <scheme val="none"/>
      </font>
    </dxf>
  </rfmt>
  <rfmt sheetId="1" sqref="AP505" start="0" length="0">
    <dxf>
      <font>
        <sz val="11"/>
        <color theme="1"/>
        <name val="Calibri"/>
        <scheme val="none"/>
      </font>
    </dxf>
  </rfmt>
  <rfmt sheetId="1" sqref="AQ505" start="0" length="0">
    <dxf>
      <font>
        <sz val="11"/>
        <color theme="1"/>
        <name val="Calibri"/>
        <scheme val="none"/>
      </font>
      <numFmt numFmtId="164" formatCode="_-* #,##0_-;\-* #,##0_-;_-* &quot;-&quot;??_-;_-@_-"/>
    </dxf>
  </rfmt>
  <rfmt sheetId="1" sqref="AR505" start="0" length="0">
    <dxf>
      <font>
        <sz val="11"/>
        <color theme="1"/>
        <name val="Calibri"/>
        <scheme val="none"/>
      </font>
      <numFmt numFmtId="164" formatCode="_-* #,##0_-;\-* #,##0_-;_-* &quot;-&quot;??_-;_-@_-"/>
    </dxf>
  </rfmt>
  <rfmt sheetId="1" sqref="AS505" start="0" length="0">
    <dxf>
      <font>
        <sz val="11"/>
        <color theme="1"/>
        <name val="Calibri"/>
        <scheme val="none"/>
      </font>
      <numFmt numFmtId="164" formatCode="_-* #,##0_-;\-* #,##0_-;_-* &quot;-&quot;??_-;_-@_-"/>
    </dxf>
  </rfmt>
  <rfmt sheetId="1" sqref="AT505" start="0" length="0">
    <dxf>
      <font>
        <sz val="11"/>
        <color theme="1"/>
        <name val="Calibri"/>
        <scheme val="none"/>
      </font>
      <numFmt numFmtId="164" formatCode="_-* #,##0_-;\-* #,##0_-;_-* &quot;-&quot;??_-;_-@_-"/>
    </dxf>
  </rfmt>
  <rfmt sheetId="1" sqref="AU505" start="0" length="0">
    <dxf>
      <font>
        <sz val="11"/>
        <color theme="1"/>
        <name val="Calibri"/>
        <scheme val="none"/>
      </font>
    </dxf>
  </rfmt>
  <rfmt sheetId="1" sqref="AV505" start="0" length="0">
    <dxf>
      <font>
        <sz val="11"/>
        <color theme="1"/>
        <name val="Calibri"/>
        <scheme val="none"/>
      </font>
    </dxf>
  </rfmt>
  <rfmt sheetId="1" sqref="AW505" start="0" length="0">
    <dxf>
      <font>
        <sz val="11"/>
        <color theme="1"/>
        <name val="Calibri"/>
        <scheme val="none"/>
      </font>
    </dxf>
  </rfmt>
  <rfmt sheetId="1" sqref="AX505" start="0" length="0">
    <dxf>
      <font>
        <sz val="11"/>
        <color theme="1"/>
        <name val="Calibri"/>
        <scheme val="none"/>
      </font>
    </dxf>
  </rfmt>
  <rfmt sheetId="1" sqref="AY505" start="0" length="0">
    <dxf>
      <font>
        <sz val="11"/>
        <color theme="1"/>
        <name val="Calibri"/>
        <scheme val="none"/>
      </font>
    </dxf>
  </rfmt>
  <rfmt sheetId="1" sqref="A505:XFD505" start="0" length="0">
    <dxf>
      <font>
        <sz val="11"/>
        <color theme="1"/>
        <name val="Calibri"/>
        <scheme val="none"/>
      </font>
    </dxf>
  </rfmt>
  <rfmt sheetId="1" sqref="A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0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0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06" start="0" length="0">
    <dxf>
      <font>
        <sz val="11"/>
        <color theme="1"/>
        <name val="Calibri"/>
        <scheme val="none"/>
      </font>
    </dxf>
  </rfmt>
  <rfmt sheetId="1" sqref="AM506" start="0" length="0">
    <dxf>
      <font>
        <sz val="11"/>
        <color theme="1"/>
        <name val="Calibri"/>
        <scheme val="none"/>
      </font>
      <numFmt numFmtId="1" formatCode="0"/>
    </dxf>
  </rfmt>
  <rfmt sheetId="1" sqref="AN506" start="0" length="0">
    <dxf>
      <font>
        <sz val="11"/>
        <color theme="1"/>
        <name val="Calibri"/>
        <scheme val="none"/>
      </font>
      <numFmt numFmtId="1" formatCode="0"/>
    </dxf>
  </rfmt>
  <rfmt sheetId="1" sqref="AO506" start="0" length="0">
    <dxf>
      <font>
        <sz val="11"/>
        <color theme="1"/>
        <name val="Calibri"/>
        <scheme val="none"/>
      </font>
    </dxf>
  </rfmt>
  <rfmt sheetId="1" sqref="AP506" start="0" length="0">
    <dxf>
      <font>
        <sz val="11"/>
        <color theme="1"/>
        <name val="Calibri"/>
        <scheme val="none"/>
      </font>
    </dxf>
  </rfmt>
  <rfmt sheetId="1" sqref="AQ506" start="0" length="0">
    <dxf>
      <font>
        <sz val="11"/>
        <color theme="1"/>
        <name val="Calibri"/>
        <scheme val="none"/>
      </font>
      <numFmt numFmtId="164" formatCode="_-* #,##0_-;\-* #,##0_-;_-* &quot;-&quot;??_-;_-@_-"/>
    </dxf>
  </rfmt>
  <rfmt sheetId="1" sqref="AR506" start="0" length="0">
    <dxf>
      <font>
        <sz val="11"/>
        <color theme="1"/>
        <name val="Calibri"/>
        <scheme val="none"/>
      </font>
      <numFmt numFmtId="164" formatCode="_-* #,##0_-;\-* #,##0_-;_-* &quot;-&quot;??_-;_-@_-"/>
    </dxf>
  </rfmt>
  <rfmt sheetId="1" sqref="AS506" start="0" length="0">
    <dxf>
      <font>
        <sz val="11"/>
        <color theme="1"/>
        <name val="Calibri"/>
        <scheme val="none"/>
      </font>
      <numFmt numFmtId="164" formatCode="_-* #,##0_-;\-* #,##0_-;_-* &quot;-&quot;??_-;_-@_-"/>
    </dxf>
  </rfmt>
  <rfmt sheetId="1" sqref="AT506" start="0" length="0">
    <dxf>
      <font>
        <sz val="11"/>
        <color theme="1"/>
        <name val="Calibri"/>
        <scheme val="none"/>
      </font>
      <numFmt numFmtId="164" formatCode="_-* #,##0_-;\-* #,##0_-;_-* &quot;-&quot;??_-;_-@_-"/>
    </dxf>
  </rfmt>
  <rfmt sheetId="1" sqref="AU506" start="0" length="0">
    <dxf>
      <font>
        <sz val="11"/>
        <color theme="1"/>
        <name val="Calibri"/>
        <scheme val="none"/>
      </font>
    </dxf>
  </rfmt>
  <rfmt sheetId="1" sqref="AV506" start="0" length="0">
    <dxf>
      <font>
        <sz val="11"/>
        <color theme="1"/>
        <name val="Calibri"/>
        <scheme val="none"/>
      </font>
    </dxf>
  </rfmt>
  <rfmt sheetId="1" sqref="AW506" start="0" length="0">
    <dxf>
      <font>
        <sz val="11"/>
        <color theme="1"/>
        <name val="Calibri"/>
        <scheme val="none"/>
      </font>
    </dxf>
  </rfmt>
  <rfmt sheetId="1" sqref="AX506" start="0" length="0">
    <dxf>
      <font>
        <sz val="11"/>
        <color theme="1"/>
        <name val="Calibri"/>
        <scheme val="none"/>
      </font>
    </dxf>
  </rfmt>
  <rfmt sheetId="1" sqref="AY506" start="0" length="0">
    <dxf>
      <font>
        <sz val="11"/>
        <color theme="1"/>
        <name val="Calibri"/>
        <scheme val="none"/>
      </font>
    </dxf>
  </rfmt>
  <rfmt sheetId="1" sqref="A506:XFD506" start="0" length="0">
    <dxf>
      <font>
        <sz val="11"/>
        <color theme="1"/>
        <name val="Calibri"/>
        <scheme val="none"/>
      </font>
    </dxf>
  </rfmt>
  <rfmt sheetId="1" sqref="A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0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0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07" start="0" length="0">
    <dxf>
      <font>
        <sz val="11"/>
        <color theme="1"/>
        <name val="Calibri"/>
        <scheme val="none"/>
      </font>
    </dxf>
  </rfmt>
  <rfmt sheetId="1" sqref="AM507" start="0" length="0">
    <dxf>
      <font>
        <sz val="11"/>
        <color theme="1"/>
        <name val="Calibri"/>
        <scheme val="none"/>
      </font>
      <numFmt numFmtId="1" formatCode="0"/>
    </dxf>
  </rfmt>
  <rfmt sheetId="1" sqref="AN507" start="0" length="0">
    <dxf>
      <font>
        <sz val="11"/>
        <color theme="1"/>
        <name val="Calibri"/>
        <scheme val="none"/>
      </font>
      <numFmt numFmtId="1" formatCode="0"/>
    </dxf>
  </rfmt>
  <rfmt sheetId="1" sqref="AO507" start="0" length="0">
    <dxf>
      <font>
        <sz val="11"/>
        <color theme="1"/>
        <name val="Calibri"/>
        <scheme val="none"/>
      </font>
    </dxf>
  </rfmt>
  <rfmt sheetId="1" sqref="AP507" start="0" length="0">
    <dxf>
      <font>
        <sz val="11"/>
        <color theme="1"/>
        <name val="Calibri"/>
        <scheme val="none"/>
      </font>
    </dxf>
  </rfmt>
  <rfmt sheetId="1" sqref="AQ507" start="0" length="0">
    <dxf>
      <font>
        <sz val="11"/>
        <color theme="1"/>
        <name val="Calibri"/>
        <scheme val="none"/>
      </font>
      <numFmt numFmtId="164" formatCode="_-* #,##0_-;\-* #,##0_-;_-* &quot;-&quot;??_-;_-@_-"/>
    </dxf>
  </rfmt>
  <rfmt sheetId="1" sqref="AR507" start="0" length="0">
    <dxf>
      <font>
        <sz val="11"/>
        <color theme="1"/>
        <name val="Calibri"/>
        <scheme val="none"/>
      </font>
      <numFmt numFmtId="164" formatCode="_-* #,##0_-;\-* #,##0_-;_-* &quot;-&quot;??_-;_-@_-"/>
    </dxf>
  </rfmt>
  <rfmt sheetId="1" sqref="AS507" start="0" length="0">
    <dxf>
      <font>
        <sz val="11"/>
        <color theme="1"/>
        <name val="Calibri"/>
        <scheme val="none"/>
      </font>
      <numFmt numFmtId="164" formatCode="_-* #,##0_-;\-* #,##0_-;_-* &quot;-&quot;??_-;_-@_-"/>
    </dxf>
  </rfmt>
  <rfmt sheetId="1" sqref="AT507" start="0" length="0">
    <dxf>
      <font>
        <sz val="11"/>
        <color theme="1"/>
        <name val="Calibri"/>
        <scheme val="none"/>
      </font>
      <numFmt numFmtId="164" formatCode="_-* #,##0_-;\-* #,##0_-;_-* &quot;-&quot;??_-;_-@_-"/>
    </dxf>
  </rfmt>
  <rfmt sheetId="1" sqref="AU507" start="0" length="0">
    <dxf>
      <font>
        <sz val="11"/>
        <color theme="1"/>
        <name val="Calibri"/>
        <scheme val="none"/>
      </font>
    </dxf>
  </rfmt>
  <rfmt sheetId="1" sqref="AV507" start="0" length="0">
    <dxf>
      <font>
        <sz val="11"/>
        <color theme="1"/>
        <name val="Calibri"/>
        <scheme val="none"/>
      </font>
    </dxf>
  </rfmt>
  <rfmt sheetId="1" sqref="AW507" start="0" length="0">
    <dxf>
      <font>
        <sz val="11"/>
        <color theme="1"/>
        <name val="Calibri"/>
        <scheme val="none"/>
      </font>
    </dxf>
  </rfmt>
  <rfmt sheetId="1" sqref="AX507" start="0" length="0">
    <dxf>
      <font>
        <sz val="11"/>
        <color theme="1"/>
        <name val="Calibri"/>
        <scheme val="none"/>
      </font>
    </dxf>
  </rfmt>
  <rfmt sheetId="1" sqref="AY507" start="0" length="0">
    <dxf>
      <font>
        <sz val="11"/>
        <color theme="1"/>
        <name val="Calibri"/>
        <scheme val="none"/>
      </font>
    </dxf>
  </rfmt>
  <rfmt sheetId="1" sqref="A507:XFD507" start="0" length="0">
    <dxf>
      <font>
        <sz val="11"/>
        <color theme="1"/>
        <name val="Calibri"/>
        <scheme val="none"/>
      </font>
    </dxf>
  </rfmt>
  <rfmt sheetId="1" sqref="A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0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0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08" start="0" length="0">
    <dxf>
      <font>
        <sz val="11"/>
        <color theme="1"/>
        <name val="Calibri"/>
        <scheme val="none"/>
      </font>
    </dxf>
  </rfmt>
  <rfmt sheetId="1" sqref="AM508" start="0" length="0">
    <dxf>
      <font>
        <sz val="11"/>
        <color theme="1"/>
        <name val="Calibri"/>
        <scheme val="none"/>
      </font>
      <numFmt numFmtId="1" formatCode="0"/>
    </dxf>
  </rfmt>
  <rfmt sheetId="1" sqref="AN508" start="0" length="0">
    <dxf>
      <font>
        <sz val="11"/>
        <color theme="1"/>
        <name val="Calibri"/>
        <scheme val="none"/>
      </font>
      <numFmt numFmtId="1" formatCode="0"/>
    </dxf>
  </rfmt>
  <rfmt sheetId="1" sqref="AO508" start="0" length="0">
    <dxf>
      <font>
        <sz val="11"/>
        <color theme="1"/>
        <name val="Calibri"/>
        <scheme val="none"/>
      </font>
    </dxf>
  </rfmt>
  <rfmt sheetId="1" sqref="AP508" start="0" length="0">
    <dxf>
      <font>
        <sz val="11"/>
        <color theme="1"/>
        <name val="Calibri"/>
        <scheme val="none"/>
      </font>
    </dxf>
  </rfmt>
  <rfmt sheetId="1" sqref="AQ508" start="0" length="0">
    <dxf>
      <font>
        <sz val="11"/>
        <color theme="1"/>
        <name val="Calibri"/>
        <scheme val="none"/>
      </font>
      <numFmt numFmtId="164" formatCode="_-* #,##0_-;\-* #,##0_-;_-* &quot;-&quot;??_-;_-@_-"/>
    </dxf>
  </rfmt>
  <rfmt sheetId="1" sqref="AR508" start="0" length="0">
    <dxf>
      <font>
        <sz val="11"/>
        <color theme="1"/>
        <name val="Calibri"/>
        <scheme val="none"/>
      </font>
      <numFmt numFmtId="164" formatCode="_-* #,##0_-;\-* #,##0_-;_-* &quot;-&quot;??_-;_-@_-"/>
    </dxf>
  </rfmt>
  <rfmt sheetId="1" sqref="AS508" start="0" length="0">
    <dxf>
      <font>
        <sz val="11"/>
        <color theme="1"/>
        <name val="Calibri"/>
        <scheme val="none"/>
      </font>
      <numFmt numFmtId="164" formatCode="_-* #,##0_-;\-* #,##0_-;_-* &quot;-&quot;??_-;_-@_-"/>
    </dxf>
  </rfmt>
  <rfmt sheetId="1" sqref="AT508" start="0" length="0">
    <dxf>
      <font>
        <sz val="11"/>
        <color theme="1"/>
        <name val="Calibri"/>
        <scheme val="none"/>
      </font>
      <numFmt numFmtId="164" formatCode="_-* #,##0_-;\-* #,##0_-;_-* &quot;-&quot;??_-;_-@_-"/>
    </dxf>
  </rfmt>
  <rfmt sheetId="1" sqref="AU508" start="0" length="0">
    <dxf>
      <font>
        <sz val="11"/>
        <color theme="1"/>
        <name val="Calibri"/>
        <scheme val="none"/>
      </font>
    </dxf>
  </rfmt>
  <rfmt sheetId="1" sqref="AV508" start="0" length="0">
    <dxf>
      <font>
        <sz val="11"/>
        <color theme="1"/>
        <name val="Calibri"/>
        <scheme val="none"/>
      </font>
    </dxf>
  </rfmt>
  <rfmt sheetId="1" sqref="AW508" start="0" length="0">
    <dxf>
      <font>
        <sz val="11"/>
        <color theme="1"/>
        <name val="Calibri"/>
        <scheme val="none"/>
      </font>
    </dxf>
  </rfmt>
  <rfmt sheetId="1" sqref="AX508" start="0" length="0">
    <dxf>
      <font>
        <sz val="11"/>
        <color theme="1"/>
        <name val="Calibri"/>
        <scheme val="none"/>
      </font>
    </dxf>
  </rfmt>
  <rfmt sheetId="1" sqref="AY508" start="0" length="0">
    <dxf>
      <font>
        <sz val="11"/>
        <color theme="1"/>
        <name val="Calibri"/>
        <scheme val="none"/>
      </font>
    </dxf>
  </rfmt>
  <rfmt sheetId="1" sqref="A508:XFD508" start="0" length="0">
    <dxf>
      <font>
        <sz val="11"/>
        <color theme="1"/>
        <name val="Calibri"/>
        <scheme val="none"/>
      </font>
    </dxf>
  </rfmt>
  <rfmt sheetId="1" sqref="A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0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0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09" start="0" length="0">
    <dxf>
      <font>
        <sz val="11"/>
        <color theme="1"/>
        <name val="Calibri"/>
        <scheme val="none"/>
      </font>
    </dxf>
  </rfmt>
  <rfmt sheetId="1" sqref="AM509" start="0" length="0">
    <dxf>
      <font>
        <sz val="11"/>
        <color theme="1"/>
        <name val="Calibri"/>
        <scheme val="none"/>
      </font>
      <numFmt numFmtId="1" formatCode="0"/>
    </dxf>
  </rfmt>
  <rfmt sheetId="1" sqref="AN509" start="0" length="0">
    <dxf>
      <font>
        <sz val="11"/>
        <color theme="1"/>
        <name val="Calibri"/>
        <scheme val="none"/>
      </font>
      <numFmt numFmtId="1" formatCode="0"/>
    </dxf>
  </rfmt>
  <rfmt sheetId="1" sqref="AO509" start="0" length="0">
    <dxf>
      <font>
        <sz val="11"/>
        <color theme="1"/>
        <name val="Calibri"/>
        <scheme val="none"/>
      </font>
    </dxf>
  </rfmt>
  <rfmt sheetId="1" sqref="AP509" start="0" length="0">
    <dxf>
      <font>
        <sz val="11"/>
        <color theme="1"/>
        <name val="Calibri"/>
        <scheme val="none"/>
      </font>
    </dxf>
  </rfmt>
  <rfmt sheetId="1" sqref="AQ509" start="0" length="0">
    <dxf>
      <font>
        <sz val="11"/>
        <color theme="1"/>
        <name val="Calibri"/>
        <scheme val="none"/>
      </font>
      <numFmt numFmtId="164" formatCode="_-* #,##0_-;\-* #,##0_-;_-* &quot;-&quot;??_-;_-@_-"/>
    </dxf>
  </rfmt>
  <rfmt sheetId="1" sqref="AR509" start="0" length="0">
    <dxf>
      <font>
        <sz val="11"/>
        <color theme="1"/>
        <name val="Calibri"/>
        <scheme val="none"/>
      </font>
      <numFmt numFmtId="164" formatCode="_-* #,##0_-;\-* #,##0_-;_-* &quot;-&quot;??_-;_-@_-"/>
    </dxf>
  </rfmt>
  <rfmt sheetId="1" sqref="AS509" start="0" length="0">
    <dxf>
      <font>
        <sz val="11"/>
        <color theme="1"/>
        <name val="Calibri"/>
        <scheme val="none"/>
      </font>
      <numFmt numFmtId="164" formatCode="_-* #,##0_-;\-* #,##0_-;_-* &quot;-&quot;??_-;_-@_-"/>
    </dxf>
  </rfmt>
  <rfmt sheetId="1" sqref="AT509" start="0" length="0">
    <dxf>
      <font>
        <sz val="11"/>
        <color theme="1"/>
        <name val="Calibri"/>
        <scheme val="none"/>
      </font>
      <numFmt numFmtId="164" formatCode="_-* #,##0_-;\-* #,##0_-;_-* &quot;-&quot;??_-;_-@_-"/>
    </dxf>
  </rfmt>
  <rfmt sheetId="1" sqref="AU509" start="0" length="0">
    <dxf>
      <font>
        <sz val="11"/>
        <color theme="1"/>
        <name val="Calibri"/>
        <scheme val="none"/>
      </font>
    </dxf>
  </rfmt>
  <rfmt sheetId="1" sqref="AV509" start="0" length="0">
    <dxf>
      <font>
        <sz val="11"/>
        <color theme="1"/>
        <name val="Calibri"/>
        <scheme val="none"/>
      </font>
    </dxf>
  </rfmt>
  <rfmt sheetId="1" sqref="AW509" start="0" length="0">
    <dxf>
      <font>
        <sz val="11"/>
        <color theme="1"/>
        <name val="Calibri"/>
        <scheme val="none"/>
      </font>
    </dxf>
  </rfmt>
  <rfmt sheetId="1" sqref="AX509" start="0" length="0">
    <dxf>
      <font>
        <sz val="11"/>
        <color theme="1"/>
        <name val="Calibri"/>
        <scheme val="none"/>
      </font>
    </dxf>
  </rfmt>
  <rfmt sheetId="1" sqref="AY509" start="0" length="0">
    <dxf>
      <font>
        <sz val="11"/>
        <color theme="1"/>
        <name val="Calibri"/>
        <scheme val="none"/>
      </font>
    </dxf>
  </rfmt>
  <rfmt sheetId="1" sqref="A509:XFD509" start="0" length="0">
    <dxf>
      <font>
        <sz val="11"/>
        <color theme="1"/>
        <name val="Calibri"/>
        <scheme val="none"/>
      </font>
    </dxf>
  </rfmt>
  <rfmt sheetId="1" sqref="A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1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1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10" start="0" length="0">
    <dxf>
      <font>
        <sz val="11"/>
        <color theme="1"/>
        <name val="Calibri"/>
        <scheme val="none"/>
      </font>
    </dxf>
  </rfmt>
  <rfmt sheetId="1" sqref="AM510" start="0" length="0">
    <dxf>
      <font>
        <sz val="11"/>
        <color theme="1"/>
        <name val="Calibri"/>
        <scheme val="none"/>
      </font>
      <numFmt numFmtId="1" formatCode="0"/>
    </dxf>
  </rfmt>
  <rfmt sheetId="1" sqref="AN510" start="0" length="0">
    <dxf>
      <font>
        <sz val="11"/>
        <color theme="1"/>
        <name val="Calibri"/>
        <scheme val="none"/>
      </font>
      <numFmt numFmtId="1" formatCode="0"/>
    </dxf>
  </rfmt>
  <rfmt sheetId="1" sqref="AO510" start="0" length="0">
    <dxf>
      <font>
        <sz val="11"/>
        <color theme="1"/>
        <name val="Calibri"/>
        <scheme val="none"/>
      </font>
    </dxf>
  </rfmt>
  <rfmt sheetId="1" sqref="AP510" start="0" length="0">
    <dxf>
      <font>
        <sz val="11"/>
        <color theme="1"/>
        <name val="Calibri"/>
        <scheme val="none"/>
      </font>
    </dxf>
  </rfmt>
  <rfmt sheetId="1" sqref="AQ510" start="0" length="0">
    <dxf>
      <font>
        <sz val="11"/>
        <color theme="1"/>
        <name val="Calibri"/>
        <scheme val="none"/>
      </font>
      <numFmt numFmtId="164" formatCode="_-* #,##0_-;\-* #,##0_-;_-* &quot;-&quot;??_-;_-@_-"/>
    </dxf>
  </rfmt>
  <rfmt sheetId="1" sqref="AR510" start="0" length="0">
    <dxf>
      <font>
        <sz val="11"/>
        <color theme="1"/>
        <name val="Calibri"/>
        <scheme val="none"/>
      </font>
      <numFmt numFmtId="164" formatCode="_-* #,##0_-;\-* #,##0_-;_-* &quot;-&quot;??_-;_-@_-"/>
    </dxf>
  </rfmt>
  <rfmt sheetId="1" sqref="AS510" start="0" length="0">
    <dxf>
      <font>
        <sz val="11"/>
        <color theme="1"/>
        <name val="Calibri"/>
        <scheme val="none"/>
      </font>
      <numFmt numFmtId="164" formatCode="_-* #,##0_-;\-* #,##0_-;_-* &quot;-&quot;??_-;_-@_-"/>
    </dxf>
  </rfmt>
  <rfmt sheetId="1" sqref="AT510" start="0" length="0">
    <dxf>
      <font>
        <sz val="11"/>
        <color theme="1"/>
        <name val="Calibri"/>
        <scheme val="none"/>
      </font>
      <numFmt numFmtId="164" formatCode="_-* #,##0_-;\-* #,##0_-;_-* &quot;-&quot;??_-;_-@_-"/>
    </dxf>
  </rfmt>
  <rfmt sheetId="1" sqref="AU510" start="0" length="0">
    <dxf>
      <font>
        <sz val="11"/>
        <color theme="1"/>
        <name val="Calibri"/>
        <scheme val="none"/>
      </font>
    </dxf>
  </rfmt>
  <rfmt sheetId="1" sqref="AV510" start="0" length="0">
    <dxf>
      <font>
        <sz val="11"/>
        <color theme="1"/>
        <name val="Calibri"/>
        <scheme val="none"/>
      </font>
    </dxf>
  </rfmt>
  <rfmt sheetId="1" sqref="AW510" start="0" length="0">
    <dxf>
      <font>
        <sz val="11"/>
        <color theme="1"/>
        <name val="Calibri"/>
        <scheme val="none"/>
      </font>
    </dxf>
  </rfmt>
  <rfmt sheetId="1" sqref="AX510" start="0" length="0">
    <dxf>
      <font>
        <sz val="11"/>
        <color theme="1"/>
        <name val="Calibri"/>
        <scheme val="none"/>
      </font>
    </dxf>
  </rfmt>
  <rfmt sheetId="1" sqref="AY510" start="0" length="0">
    <dxf>
      <font>
        <sz val="11"/>
        <color theme="1"/>
        <name val="Calibri"/>
        <scheme val="none"/>
      </font>
    </dxf>
  </rfmt>
  <rfmt sheetId="1" sqref="A510:XFD510" start="0" length="0">
    <dxf>
      <font>
        <sz val="11"/>
        <color theme="1"/>
        <name val="Calibri"/>
        <scheme val="none"/>
      </font>
    </dxf>
  </rfmt>
  <rfmt sheetId="1" sqref="A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1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1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11" start="0" length="0">
    <dxf>
      <font>
        <sz val="11"/>
        <color theme="1"/>
        <name val="Calibri"/>
        <scheme val="none"/>
      </font>
    </dxf>
  </rfmt>
  <rfmt sheetId="1" sqref="AM511" start="0" length="0">
    <dxf>
      <font>
        <sz val="11"/>
        <color theme="1"/>
        <name val="Calibri"/>
        <scheme val="none"/>
      </font>
      <numFmt numFmtId="1" formatCode="0"/>
    </dxf>
  </rfmt>
  <rfmt sheetId="1" sqref="AN511" start="0" length="0">
    <dxf>
      <font>
        <sz val="11"/>
        <color theme="1"/>
        <name val="Calibri"/>
        <scheme val="none"/>
      </font>
      <numFmt numFmtId="1" formatCode="0"/>
    </dxf>
  </rfmt>
  <rfmt sheetId="1" sqref="AO511" start="0" length="0">
    <dxf>
      <font>
        <sz val="11"/>
        <color theme="1"/>
        <name val="Calibri"/>
        <scheme val="none"/>
      </font>
    </dxf>
  </rfmt>
  <rfmt sheetId="1" sqref="AP511" start="0" length="0">
    <dxf>
      <font>
        <sz val="11"/>
        <color theme="1"/>
        <name val="Calibri"/>
        <scheme val="none"/>
      </font>
    </dxf>
  </rfmt>
  <rfmt sheetId="1" sqref="AQ511" start="0" length="0">
    <dxf>
      <font>
        <sz val="11"/>
        <color theme="1"/>
        <name val="Calibri"/>
        <scheme val="none"/>
      </font>
      <numFmt numFmtId="164" formatCode="_-* #,##0_-;\-* #,##0_-;_-* &quot;-&quot;??_-;_-@_-"/>
    </dxf>
  </rfmt>
  <rfmt sheetId="1" sqref="AR511" start="0" length="0">
    <dxf>
      <font>
        <sz val="11"/>
        <color theme="1"/>
        <name val="Calibri"/>
        <scheme val="none"/>
      </font>
      <numFmt numFmtId="164" formatCode="_-* #,##0_-;\-* #,##0_-;_-* &quot;-&quot;??_-;_-@_-"/>
    </dxf>
  </rfmt>
  <rfmt sheetId="1" sqref="AS511" start="0" length="0">
    <dxf>
      <font>
        <sz val="11"/>
        <color theme="1"/>
        <name val="Calibri"/>
        <scheme val="none"/>
      </font>
      <numFmt numFmtId="164" formatCode="_-* #,##0_-;\-* #,##0_-;_-* &quot;-&quot;??_-;_-@_-"/>
    </dxf>
  </rfmt>
  <rfmt sheetId="1" sqref="AT511" start="0" length="0">
    <dxf>
      <font>
        <sz val="11"/>
        <color theme="1"/>
        <name val="Calibri"/>
        <scheme val="none"/>
      </font>
      <numFmt numFmtId="164" formatCode="_-* #,##0_-;\-* #,##0_-;_-* &quot;-&quot;??_-;_-@_-"/>
    </dxf>
  </rfmt>
  <rfmt sheetId="1" sqref="AU511" start="0" length="0">
    <dxf>
      <font>
        <sz val="11"/>
        <color theme="1"/>
        <name val="Calibri"/>
        <scheme val="none"/>
      </font>
    </dxf>
  </rfmt>
  <rfmt sheetId="1" sqref="AV511" start="0" length="0">
    <dxf>
      <font>
        <sz val="11"/>
        <color theme="1"/>
        <name val="Calibri"/>
        <scheme val="none"/>
      </font>
    </dxf>
  </rfmt>
  <rfmt sheetId="1" sqref="AW511" start="0" length="0">
    <dxf>
      <font>
        <sz val="11"/>
        <color theme="1"/>
        <name val="Calibri"/>
        <scheme val="none"/>
      </font>
    </dxf>
  </rfmt>
  <rfmt sheetId="1" sqref="AX511" start="0" length="0">
    <dxf>
      <font>
        <sz val="11"/>
        <color theme="1"/>
        <name val="Calibri"/>
        <scheme val="none"/>
      </font>
    </dxf>
  </rfmt>
  <rfmt sheetId="1" sqref="AY511" start="0" length="0">
    <dxf>
      <font>
        <sz val="11"/>
        <color theme="1"/>
        <name val="Calibri"/>
        <scheme val="none"/>
      </font>
    </dxf>
  </rfmt>
  <rfmt sheetId="1" sqref="A511:XFD511" start="0" length="0">
    <dxf>
      <font>
        <sz val="11"/>
        <color theme="1"/>
        <name val="Calibri"/>
        <scheme val="none"/>
      </font>
    </dxf>
  </rfmt>
  <rfmt sheetId="1" sqref="A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1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1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12" start="0" length="0">
    <dxf>
      <font>
        <sz val="11"/>
        <color theme="1"/>
        <name val="Calibri"/>
        <scheme val="none"/>
      </font>
    </dxf>
  </rfmt>
  <rfmt sheetId="1" sqref="AM512" start="0" length="0">
    <dxf>
      <font>
        <sz val="11"/>
        <color theme="1"/>
        <name val="Calibri"/>
        <scheme val="none"/>
      </font>
      <numFmt numFmtId="1" formatCode="0"/>
    </dxf>
  </rfmt>
  <rfmt sheetId="1" sqref="AN512" start="0" length="0">
    <dxf>
      <font>
        <sz val="11"/>
        <color theme="1"/>
        <name val="Calibri"/>
        <scheme val="none"/>
      </font>
      <numFmt numFmtId="1" formatCode="0"/>
    </dxf>
  </rfmt>
  <rfmt sheetId="1" sqref="AO512" start="0" length="0">
    <dxf>
      <font>
        <sz val="11"/>
        <color theme="1"/>
        <name val="Calibri"/>
        <scheme val="none"/>
      </font>
    </dxf>
  </rfmt>
  <rfmt sheetId="1" sqref="AP512" start="0" length="0">
    <dxf>
      <font>
        <sz val="11"/>
        <color theme="1"/>
        <name val="Calibri"/>
        <scheme val="none"/>
      </font>
    </dxf>
  </rfmt>
  <rfmt sheetId="1" sqref="AQ512" start="0" length="0">
    <dxf>
      <font>
        <sz val="11"/>
        <color theme="1"/>
        <name val="Calibri"/>
        <scheme val="none"/>
      </font>
      <numFmt numFmtId="164" formatCode="_-* #,##0_-;\-* #,##0_-;_-* &quot;-&quot;??_-;_-@_-"/>
    </dxf>
  </rfmt>
  <rfmt sheetId="1" sqref="AR512" start="0" length="0">
    <dxf>
      <font>
        <sz val="11"/>
        <color theme="1"/>
        <name val="Calibri"/>
        <scheme val="none"/>
      </font>
      <numFmt numFmtId="164" formatCode="_-* #,##0_-;\-* #,##0_-;_-* &quot;-&quot;??_-;_-@_-"/>
    </dxf>
  </rfmt>
  <rfmt sheetId="1" sqref="AS512" start="0" length="0">
    <dxf>
      <font>
        <sz val="11"/>
        <color theme="1"/>
        <name val="Calibri"/>
        <scheme val="none"/>
      </font>
      <numFmt numFmtId="164" formatCode="_-* #,##0_-;\-* #,##0_-;_-* &quot;-&quot;??_-;_-@_-"/>
    </dxf>
  </rfmt>
  <rfmt sheetId="1" sqref="AT512" start="0" length="0">
    <dxf>
      <font>
        <sz val="11"/>
        <color theme="1"/>
        <name val="Calibri"/>
        <scheme val="none"/>
      </font>
      <numFmt numFmtId="164" formatCode="_-* #,##0_-;\-* #,##0_-;_-* &quot;-&quot;??_-;_-@_-"/>
    </dxf>
  </rfmt>
  <rfmt sheetId="1" sqref="AU512" start="0" length="0">
    <dxf>
      <font>
        <sz val="11"/>
        <color theme="1"/>
        <name val="Calibri"/>
        <scheme val="none"/>
      </font>
    </dxf>
  </rfmt>
  <rfmt sheetId="1" sqref="AV512" start="0" length="0">
    <dxf>
      <font>
        <sz val="11"/>
        <color theme="1"/>
        <name val="Calibri"/>
        <scheme val="none"/>
      </font>
    </dxf>
  </rfmt>
  <rfmt sheetId="1" sqref="AW512" start="0" length="0">
    <dxf>
      <font>
        <sz val="11"/>
        <color theme="1"/>
        <name val="Calibri"/>
        <scheme val="none"/>
      </font>
    </dxf>
  </rfmt>
  <rfmt sheetId="1" sqref="AX512" start="0" length="0">
    <dxf>
      <font>
        <sz val="11"/>
        <color theme="1"/>
        <name val="Calibri"/>
        <scheme val="none"/>
      </font>
    </dxf>
  </rfmt>
  <rfmt sheetId="1" sqref="AY512" start="0" length="0">
    <dxf>
      <font>
        <sz val="11"/>
        <color theme="1"/>
        <name val="Calibri"/>
        <scheme val="none"/>
      </font>
    </dxf>
  </rfmt>
  <rfmt sheetId="1" sqref="A512:XFD512" start="0" length="0">
    <dxf>
      <font>
        <sz val="11"/>
        <color theme="1"/>
        <name val="Calibri"/>
        <scheme val="none"/>
      </font>
    </dxf>
  </rfmt>
  <rfmt sheetId="1" sqref="A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1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1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13" start="0" length="0">
    <dxf>
      <font>
        <sz val="11"/>
        <color theme="1"/>
        <name val="Calibri"/>
        <scheme val="none"/>
      </font>
    </dxf>
  </rfmt>
  <rfmt sheetId="1" sqref="AM513" start="0" length="0">
    <dxf>
      <font>
        <sz val="11"/>
        <color theme="1"/>
        <name val="Calibri"/>
        <scheme val="none"/>
      </font>
      <numFmt numFmtId="1" formatCode="0"/>
    </dxf>
  </rfmt>
  <rfmt sheetId="1" sqref="AN513" start="0" length="0">
    <dxf>
      <font>
        <sz val="11"/>
        <color theme="1"/>
        <name val="Calibri"/>
        <scheme val="none"/>
      </font>
      <numFmt numFmtId="1" formatCode="0"/>
    </dxf>
  </rfmt>
  <rfmt sheetId="1" sqref="AO513" start="0" length="0">
    <dxf>
      <font>
        <sz val="11"/>
        <color theme="1"/>
        <name val="Calibri"/>
        <scheme val="none"/>
      </font>
    </dxf>
  </rfmt>
  <rfmt sheetId="1" sqref="AP513" start="0" length="0">
    <dxf>
      <font>
        <sz val="11"/>
        <color theme="1"/>
        <name val="Calibri"/>
        <scheme val="none"/>
      </font>
    </dxf>
  </rfmt>
  <rfmt sheetId="1" sqref="AQ513" start="0" length="0">
    <dxf>
      <font>
        <sz val="11"/>
        <color theme="1"/>
        <name val="Calibri"/>
        <scheme val="none"/>
      </font>
      <numFmt numFmtId="164" formatCode="_-* #,##0_-;\-* #,##0_-;_-* &quot;-&quot;??_-;_-@_-"/>
    </dxf>
  </rfmt>
  <rfmt sheetId="1" sqref="AR513" start="0" length="0">
    <dxf>
      <font>
        <sz val="11"/>
        <color theme="1"/>
        <name val="Calibri"/>
        <scheme val="none"/>
      </font>
      <numFmt numFmtId="164" formatCode="_-* #,##0_-;\-* #,##0_-;_-* &quot;-&quot;??_-;_-@_-"/>
    </dxf>
  </rfmt>
  <rfmt sheetId="1" sqref="AS513" start="0" length="0">
    <dxf>
      <font>
        <sz val="11"/>
        <color theme="1"/>
        <name val="Calibri"/>
        <scheme val="none"/>
      </font>
      <numFmt numFmtId="164" formatCode="_-* #,##0_-;\-* #,##0_-;_-* &quot;-&quot;??_-;_-@_-"/>
    </dxf>
  </rfmt>
  <rfmt sheetId="1" sqref="AT513" start="0" length="0">
    <dxf>
      <font>
        <sz val="11"/>
        <color theme="1"/>
        <name val="Calibri"/>
        <scheme val="none"/>
      </font>
      <numFmt numFmtId="164" formatCode="_-* #,##0_-;\-* #,##0_-;_-* &quot;-&quot;??_-;_-@_-"/>
    </dxf>
  </rfmt>
  <rfmt sheetId="1" sqref="AU513" start="0" length="0">
    <dxf>
      <font>
        <sz val="11"/>
        <color theme="1"/>
        <name val="Calibri"/>
        <scheme val="none"/>
      </font>
    </dxf>
  </rfmt>
  <rfmt sheetId="1" sqref="AV513" start="0" length="0">
    <dxf>
      <font>
        <sz val="11"/>
        <color theme="1"/>
        <name val="Calibri"/>
        <scheme val="none"/>
      </font>
    </dxf>
  </rfmt>
  <rfmt sheetId="1" sqref="AW513" start="0" length="0">
    <dxf>
      <font>
        <sz val="11"/>
        <color theme="1"/>
        <name val="Calibri"/>
        <scheme val="none"/>
      </font>
    </dxf>
  </rfmt>
  <rfmt sheetId="1" sqref="AX513" start="0" length="0">
    <dxf>
      <font>
        <sz val="11"/>
        <color theme="1"/>
        <name val="Calibri"/>
        <scheme val="none"/>
      </font>
    </dxf>
  </rfmt>
  <rfmt sheetId="1" sqref="AY513" start="0" length="0">
    <dxf>
      <font>
        <sz val="11"/>
        <color theme="1"/>
        <name val="Calibri"/>
        <scheme val="none"/>
      </font>
    </dxf>
  </rfmt>
  <rfmt sheetId="1" sqref="A513:XFD513" start="0" length="0">
    <dxf>
      <font>
        <sz val="11"/>
        <color theme="1"/>
        <name val="Calibri"/>
        <scheme val="none"/>
      </font>
    </dxf>
  </rfmt>
  <rfmt sheetId="1" sqref="A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1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1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14" start="0" length="0">
    <dxf>
      <font>
        <sz val="11"/>
        <color theme="1"/>
        <name val="Calibri"/>
        <scheme val="none"/>
      </font>
    </dxf>
  </rfmt>
  <rfmt sheetId="1" sqref="AM514" start="0" length="0">
    <dxf>
      <font>
        <sz val="11"/>
        <color theme="1"/>
        <name val="Calibri"/>
        <scheme val="none"/>
      </font>
      <numFmt numFmtId="1" formatCode="0"/>
    </dxf>
  </rfmt>
  <rfmt sheetId="1" sqref="AN514" start="0" length="0">
    <dxf>
      <font>
        <sz val="11"/>
        <color theme="1"/>
        <name val="Calibri"/>
        <scheme val="none"/>
      </font>
      <numFmt numFmtId="1" formatCode="0"/>
    </dxf>
  </rfmt>
  <rfmt sheetId="1" sqref="AO514" start="0" length="0">
    <dxf>
      <font>
        <sz val="11"/>
        <color theme="1"/>
        <name val="Calibri"/>
        <scheme val="none"/>
      </font>
    </dxf>
  </rfmt>
  <rfmt sheetId="1" sqref="AP514" start="0" length="0">
    <dxf>
      <font>
        <sz val="11"/>
        <color theme="1"/>
        <name val="Calibri"/>
        <scheme val="none"/>
      </font>
    </dxf>
  </rfmt>
  <rfmt sheetId="1" sqref="AQ514" start="0" length="0">
    <dxf>
      <font>
        <sz val="11"/>
        <color theme="1"/>
        <name val="Calibri"/>
        <scheme val="none"/>
      </font>
      <numFmt numFmtId="164" formatCode="_-* #,##0_-;\-* #,##0_-;_-* &quot;-&quot;??_-;_-@_-"/>
    </dxf>
  </rfmt>
  <rfmt sheetId="1" sqref="AR514" start="0" length="0">
    <dxf>
      <font>
        <sz val="11"/>
        <color theme="1"/>
        <name val="Calibri"/>
        <scheme val="none"/>
      </font>
      <numFmt numFmtId="164" formatCode="_-* #,##0_-;\-* #,##0_-;_-* &quot;-&quot;??_-;_-@_-"/>
    </dxf>
  </rfmt>
  <rfmt sheetId="1" sqref="AS514" start="0" length="0">
    <dxf>
      <font>
        <sz val="11"/>
        <color theme="1"/>
        <name val="Calibri"/>
        <scheme val="none"/>
      </font>
      <numFmt numFmtId="164" formatCode="_-* #,##0_-;\-* #,##0_-;_-* &quot;-&quot;??_-;_-@_-"/>
    </dxf>
  </rfmt>
  <rfmt sheetId="1" sqref="AT514" start="0" length="0">
    <dxf>
      <font>
        <sz val="11"/>
        <color theme="1"/>
        <name val="Calibri"/>
        <scheme val="none"/>
      </font>
      <numFmt numFmtId="164" formatCode="_-* #,##0_-;\-* #,##0_-;_-* &quot;-&quot;??_-;_-@_-"/>
    </dxf>
  </rfmt>
  <rfmt sheetId="1" sqref="AU514" start="0" length="0">
    <dxf>
      <font>
        <sz val="11"/>
        <color theme="1"/>
        <name val="Calibri"/>
        <scheme val="none"/>
      </font>
    </dxf>
  </rfmt>
  <rfmt sheetId="1" sqref="AV514" start="0" length="0">
    <dxf>
      <font>
        <sz val="11"/>
        <color theme="1"/>
        <name val="Calibri"/>
        <scheme val="none"/>
      </font>
    </dxf>
  </rfmt>
  <rfmt sheetId="1" sqref="AW514" start="0" length="0">
    <dxf>
      <font>
        <sz val="11"/>
        <color theme="1"/>
        <name val="Calibri"/>
        <scheme val="none"/>
      </font>
    </dxf>
  </rfmt>
  <rfmt sheetId="1" sqref="AX514" start="0" length="0">
    <dxf>
      <font>
        <sz val="11"/>
        <color theme="1"/>
        <name val="Calibri"/>
        <scheme val="none"/>
      </font>
    </dxf>
  </rfmt>
  <rfmt sheetId="1" sqref="AY514" start="0" length="0">
    <dxf>
      <font>
        <sz val="11"/>
        <color theme="1"/>
        <name val="Calibri"/>
        <scheme val="none"/>
      </font>
    </dxf>
  </rfmt>
  <rfmt sheetId="1" sqref="A514:XFD514" start="0" length="0">
    <dxf>
      <font>
        <sz val="11"/>
        <color theme="1"/>
        <name val="Calibri"/>
        <scheme val="none"/>
      </font>
    </dxf>
  </rfmt>
  <rfmt sheetId="1" sqref="A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1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1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15" start="0" length="0">
    <dxf>
      <font>
        <sz val="11"/>
        <color theme="1"/>
        <name val="Calibri"/>
        <scheme val="none"/>
      </font>
    </dxf>
  </rfmt>
  <rfmt sheetId="1" sqref="AM515" start="0" length="0">
    <dxf>
      <font>
        <sz val="11"/>
        <color theme="1"/>
        <name val="Calibri"/>
        <scheme val="none"/>
      </font>
      <numFmt numFmtId="1" formatCode="0"/>
    </dxf>
  </rfmt>
  <rfmt sheetId="1" sqref="AN515" start="0" length="0">
    <dxf>
      <font>
        <sz val="11"/>
        <color theme="1"/>
        <name val="Calibri"/>
        <scheme val="none"/>
      </font>
      <numFmt numFmtId="1" formatCode="0"/>
    </dxf>
  </rfmt>
  <rfmt sheetId="1" sqref="AO515" start="0" length="0">
    <dxf>
      <font>
        <sz val="11"/>
        <color theme="1"/>
        <name val="Calibri"/>
        <scheme val="none"/>
      </font>
    </dxf>
  </rfmt>
  <rfmt sheetId="1" sqref="AP515" start="0" length="0">
    <dxf>
      <font>
        <sz val="11"/>
        <color theme="1"/>
        <name val="Calibri"/>
        <scheme val="none"/>
      </font>
    </dxf>
  </rfmt>
  <rfmt sheetId="1" sqref="AQ515" start="0" length="0">
    <dxf>
      <font>
        <sz val="11"/>
        <color theme="1"/>
        <name val="Calibri"/>
        <scheme val="none"/>
      </font>
      <numFmt numFmtId="164" formatCode="_-* #,##0_-;\-* #,##0_-;_-* &quot;-&quot;??_-;_-@_-"/>
    </dxf>
  </rfmt>
  <rfmt sheetId="1" sqref="AR515" start="0" length="0">
    <dxf>
      <font>
        <sz val="11"/>
        <color theme="1"/>
        <name val="Calibri"/>
        <scheme val="none"/>
      </font>
      <numFmt numFmtId="164" formatCode="_-* #,##0_-;\-* #,##0_-;_-* &quot;-&quot;??_-;_-@_-"/>
    </dxf>
  </rfmt>
  <rfmt sheetId="1" sqref="AS515" start="0" length="0">
    <dxf>
      <font>
        <sz val="11"/>
        <color theme="1"/>
        <name val="Calibri"/>
        <scheme val="none"/>
      </font>
      <numFmt numFmtId="164" formatCode="_-* #,##0_-;\-* #,##0_-;_-* &quot;-&quot;??_-;_-@_-"/>
    </dxf>
  </rfmt>
  <rfmt sheetId="1" sqref="AT515" start="0" length="0">
    <dxf>
      <font>
        <sz val="11"/>
        <color theme="1"/>
        <name val="Calibri"/>
        <scheme val="none"/>
      </font>
      <numFmt numFmtId="164" formatCode="_-* #,##0_-;\-* #,##0_-;_-* &quot;-&quot;??_-;_-@_-"/>
    </dxf>
  </rfmt>
  <rfmt sheetId="1" sqref="AU515" start="0" length="0">
    <dxf>
      <font>
        <sz val="11"/>
        <color theme="1"/>
        <name val="Calibri"/>
        <scheme val="none"/>
      </font>
    </dxf>
  </rfmt>
  <rfmt sheetId="1" sqref="AV515" start="0" length="0">
    <dxf>
      <font>
        <sz val="11"/>
        <color theme="1"/>
        <name val="Calibri"/>
        <scheme val="none"/>
      </font>
    </dxf>
  </rfmt>
  <rfmt sheetId="1" sqref="AW515" start="0" length="0">
    <dxf>
      <font>
        <sz val="11"/>
        <color theme="1"/>
        <name val="Calibri"/>
        <scheme val="none"/>
      </font>
    </dxf>
  </rfmt>
  <rfmt sheetId="1" sqref="AX515" start="0" length="0">
    <dxf>
      <font>
        <sz val="11"/>
        <color theme="1"/>
        <name val="Calibri"/>
        <scheme val="none"/>
      </font>
    </dxf>
  </rfmt>
  <rfmt sheetId="1" sqref="AY515" start="0" length="0">
    <dxf>
      <font>
        <sz val="11"/>
        <color theme="1"/>
        <name val="Calibri"/>
        <scheme val="none"/>
      </font>
    </dxf>
  </rfmt>
  <rfmt sheetId="1" sqref="A515:XFD515" start="0" length="0">
    <dxf>
      <font>
        <sz val="11"/>
        <color theme="1"/>
        <name val="Calibri"/>
        <scheme val="none"/>
      </font>
    </dxf>
  </rfmt>
  <rfmt sheetId="1" sqref="A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1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1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16" start="0" length="0">
    <dxf>
      <font>
        <sz val="11"/>
        <color theme="1"/>
        <name val="Calibri"/>
        <scheme val="none"/>
      </font>
    </dxf>
  </rfmt>
  <rfmt sheetId="1" sqref="AM516" start="0" length="0">
    <dxf>
      <font>
        <sz val="11"/>
        <color theme="1"/>
        <name val="Calibri"/>
        <scheme val="none"/>
      </font>
      <numFmt numFmtId="1" formatCode="0"/>
    </dxf>
  </rfmt>
  <rfmt sheetId="1" sqref="AN516" start="0" length="0">
    <dxf>
      <font>
        <sz val="11"/>
        <color theme="1"/>
        <name val="Calibri"/>
        <scheme val="none"/>
      </font>
      <numFmt numFmtId="1" formatCode="0"/>
    </dxf>
  </rfmt>
  <rfmt sheetId="1" sqref="AO516" start="0" length="0">
    <dxf>
      <font>
        <sz val="11"/>
        <color theme="1"/>
        <name val="Calibri"/>
        <scheme val="none"/>
      </font>
    </dxf>
  </rfmt>
  <rfmt sheetId="1" sqref="AP516" start="0" length="0">
    <dxf>
      <font>
        <sz val="11"/>
        <color theme="1"/>
        <name val="Calibri"/>
        <scheme val="none"/>
      </font>
    </dxf>
  </rfmt>
  <rfmt sheetId="1" sqref="AQ516" start="0" length="0">
    <dxf>
      <font>
        <sz val="11"/>
        <color theme="1"/>
        <name val="Calibri"/>
        <scheme val="none"/>
      </font>
      <numFmt numFmtId="164" formatCode="_-* #,##0_-;\-* #,##0_-;_-* &quot;-&quot;??_-;_-@_-"/>
    </dxf>
  </rfmt>
  <rfmt sheetId="1" sqref="AR516" start="0" length="0">
    <dxf>
      <font>
        <sz val="11"/>
        <color theme="1"/>
        <name val="Calibri"/>
        <scheme val="none"/>
      </font>
      <numFmt numFmtId="164" formatCode="_-* #,##0_-;\-* #,##0_-;_-* &quot;-&quot;??_-;_-@_-"/>
    </dxf>
  </rfmt>
  <rfmt sheetId="1" sqref="AS516" start="0" length="0">
    <dxf>
      <font>
        <sz val="11"/>
        <color theme="1"/>
        <name val="Calibri"/>
        <scheme val="none"/>
      </font>
      <numFmt numFmtId="164" formatCode="_-* #,##0_-;\-* #,##0_-;_-* &quot;-&quot;??_-;_-@_-"/>
    </dxf>
  </rfmt>
  <rfmt sheetId="1" sqref="AT516" start="0" length="0">
    <dxf>
      <font>
        <sz val="11"/>
        <color theme="1"/>
        <name val="Calibri"/>
        <scheme val="none"/>
      </font>
      <numFmt numFmtId="164" formatCode="_-* #,##0_-;\-* #,##0_-;_-* &quot;-&quot;??_-;_-@_-"/>
    </dxf>
  </rfmt>
  <rfmt sheetId="1" sqref="AU516" start="0" length="0">
    <dxf>
      <font>
        <sz val="11"/>
        <color theme="1"/>
        <name val="Calibri"/>
        <scheme val="none"/>
      </font>
    </dxf>
  </rfmt>
  <rfmt sheetId="1" sqref="AV516" start="0" length="0">
    <dxf>
      <font>
        <sz val="11"/>
        <color theme="1"/>
        <name val="Calibri"/>
        <scheme val="none"/>
      </font>
    </dxf>
  </rfmt>
  <rfmt sheetId="1" sqref="AW516" start="0" length="0">
    <dxf>
      <font>
        <sz val="11"/>
        <color theme="1"/>
        <name val="Calibri"/>
        <scheme val="none"/>
      </font>
    </dxf>
  </rfmt>
  <rfmt sheetId="1" sqref="AX516" start="0" length="0">
    <dxf>
      <font>
        <sz val="11"/>
        <color theme="1"/>
        <name val="Calibri"/>
        <scheme val="none"/>
      </font>
    </dxf>
  </rfmt>
  <rfmt sheetId="1" sqref="AY516" start="0" length="0">
    <dxf>
      <font>
        <sz val="11"/>
        <color theme="1"/>
        <name val="Calibri"/>
        <scheme val="none"/>
      </font>
    </dxf>
  </rfmt>
  <rfmt sheetId="1" sqref="A516:XFD516" start="0" length="0">
    <dxf>
      <font>
        <sz val="11"/>
        <color theme="1"/>
        <name val="Calibri"/>
        <scheme val="none"/>
      </font>
    </dxf>
  </rfmt>
  <rfmt sheetId="1" sqref="A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1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1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17" start="0" length="0">
    <dxf>
      <font>
        <sz val="11"/>
        <color theme="1"/>
        <name val="Calibri"/>
        <scheme val="none"/>
      </font>
    </dxf>
  </rfmt>
  <rfmt sheetId="1" sqref="AM517" start="0" length="0">
    <dxf>
      <font>
        <sz val="11"/>
        <color theme="1"/>
        <name val="Calibri"/>
        <scheme val="none"/>
      </font>
      <numFmt numFmtId="1" formatCode="0"/>
    </dxf>
  </rfmt>
  <rfmt sheetId="1" sqref="AN517" start="0" length="0">
    <dxf>
      <font>
        <sz val="11"/>
        <color theme="1"/>
        <name val="Calibri"/>
        <scheme val="none"/>
      </font>
      <numFmt numFmtId="1" formatCode="0"/>
    </dxf>
  </rfmt>
  <rfmt sheetId="1" sqref="AO517" start="0" length="0">
    <dxf>
      <font>
        <sz val="11"/>
        <color theme="1"/>
        <name val="Calibri"/>
        <scheme val="none"/>
      </font>
    </dxf>
  </rfmt>
  <rfmt sheetId="1" sqref="AP517" start="0" length="0">
    <dxf>
      <font>
        <sz val="11"/>
        <color theme="1"/>
        <name val="Calibri"/>
        <scheme val="none"/>
      </font>
    </dxf>
  </rfmt>
  <rfmt sheetId="1" sqref="AQ517" start="0" length="0">
    <dxf>
      <font>
        <sz val="11"/>
        <color theme="1"/>
        <name val="Calibri"/>
        <scheme val="none"/>
      </font>
      <numFmt numFmtId="164" formatCode="_-* #,##0_-;\-* #,##0_-;_-* &quot;-&quot;??_-;_-@_-"/>
    </dxf>
  </rfmt>
  <rfmt sheetId="1" sqref="AR517" start="0" length="0">
    <dxf>
      <font>
        <sz val="11"/>
        <color theme="1"/>
        <name val="Calibri"/>
        <scheme val="none"/>
      </font>
      <numFmt numFmtId="164" formatCode="_-* #,##0_-;\-* #,##0_-;_-* &quot;-&quot;??_-;_-@_-"/>
    </dxf>
  </rfmt>
  <rfmt sheetId="1" sqref="AS517" start="0" length="0">
    <dxf>
      <font>
        <sz val="11"/>
        <color theme="1"/>
        <name val="Calibri"/>
        <scheme val="none"/>
      </font>
      <numFmt numFmtId="164" formatCode="_-* #,##0_-;\-* #,##0_-;_-* &quot;-&quot;??_-;_-@_-"/>
    </dxf>
  </rfmt>
  <rfmt sheetId="1" sqref="AT517" start="0" length="0">
    <dxf>
      <font>
        <sz val="11"/>
        <color theme="1"/>
        <name val="Calibri"/>
        <scheme val="none"/>
      </font>
      <numFmt numFmtId="164" formatCode="_-* #,##0_-;\-* #,##0_-;_-* &quot;-&quot;??_-;_-@_-"/>
    </dxf>
  </rfmt>
  <rfmt sheetId="1" sqref="AU517" start="0" length="0">
    <dxf>
      <font>
        <sz val="11"/>
        <color theme="1"/>
        <name val="Calibri"/>
        <scheme val="none"/>
      </font>
    </dxf>
  </rfmt>
  <rfmt sheetId="1" sqref="AV517" start="0" length="0">
    <dxf>
      <font>
        <sz val="11"/>
        <color theme="1"/>
        <name val="Calibri"/>
        <scheme val="none"/>
      </font>
    </dxf>
  </rfmt>
  <rfmt sheetId="1" sqref="AW517" start="0" length="0">
    <dxf>
      <font>
        <sz val="11"/>
        <color theme="1"/>
        <name val="Calibri"/>
        <scheme val="none"/>
      </font>
    </dxf>
  </rfmt>
  <rfmt sheetId="1" sqref="AX517" start="0" length="0">
    <dxf>
      <font>
        <sz val="11"/>
        <color theme="1"/>
        <name val="Calibri"/>
        <scheme val="none"/>
      </font>
    </dxf>
  </rfmt>
  <rfmt sheetId="1" sqref="AY517" start="0" length="0">
    <dxf>
      <font>
        <sz val="11"/>
        <color theme="1"/>
        <name val="Calibri"/>
        <scheme val="none"/>
      </font>
    </dxf>
  </rfmt>
  <rfmt sheetId="1" sqref="A517:XFD517" start="0" length="0">
    <dxf>
      <font>
        <sz val="11"/>
        <color theme="1"/>
        <name val="Calibri"/>
        <scheme val="none"/>
      </font>
    </dxf>
  </rfmt>
  <rfmt sheetId="1" sqref="A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1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1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18" start="0" length="0">
    <dxf>
      <font>
        <sz val="11"/>
        <color theme="1"/>
        <name val="Calibri"/>
        <scheme val="none"/>
      </font>
    </dxf>
  </rfmt>
  <rfmt sheetId="1" sqref="AM518" start="0" length="0">
    <dxf>
      <font>
        <sz val="11"/>
        <color theme="1"/>
        <name val="Calibri"/>
        <scheme val="none"/>
      </font>
      <numFmt numFmtId="1" formatCode="0"/>
    </dxf>
  </rfmt>
  <rfmt sheetId="1" sqref="AN518" start="0" length="0">
    <dxf>
      <font>
        <sz val="11"/>
        <color theme="1"/>
        <name val="Calibri"/>
        <scheme val="none"/>
      </font>
      <numFmt numFmtId="1" formatCode="0"/>
    </dxf>
  </rfmt>
  <rfmt sheetId="1" sqref="AO518" start="0" length="0">
    <dxf>
      <font>
        <sz val="11"/>
        <color theme="1"/>
        <name val="Calibri"/>
        <scheme val="none"/>
      </font>
    </dxf>
  </rfmt>
  <rfmt sheetId="1" sqref="AP518" start="0" length="0">
    <dxf>
      <font>
        <sz val="11"/>
        <color theme="1"/>
        <name val="Calibri"/>
        <scheme val="none"/>
      </font>
    </dxf>
  </rfmt>
  <rfmt sheetId="1" sqref="AQ518" start="0" length="0">
    <dxf>
      <font>
        <sz val="11"/>
        <color theme="1"/>
        <name val="Calibri"/>
        <scheme val="none"/>
      </font>
      <numFmt numFmtId="164" formatCode="_-* #,##0_-;\-* #,##0_-;_-* &quot;-&quot;??_-;_-@_-"/>
    </dxf>
  </rfmt>
  <rfmt sheetId="1" sqref="AR518" start="0" length="0">
    <dxf>
      <font>
        <sz val="11"/>
        <color theme="1"/>
        <name val="Calibri"/>
        <scheme val="none"/>
      </font>
      <numFmt numFmtId="164" formatCode="_-* #,##0_-;\-* #,##0_-;_-* &quot;-&quot;??_-;_-@_-"/>
    </dxf>
  </rfmt>
  <rfmt sheetId="1" sqref="AS518" start="0" length="0">
    <dxf>
      <font>
        <sz val="11"/>
        <color theme="1"/>
        <name val="Calibri"/>
        <scheme val="none"/>
      </font>
      <numFmt numFmtId="164" formatCode="_-* #,##0_-;\-* #,##0_-;_-* &quot;-&quot;??_-;_-@_-"/>
    </dxf>
  </rfmt>
  <rfmt sheetId="1" sqref="AT518" start="0" length="0">
    <dxf>
      <font>
        <sz val="11"/>
        <color theme="1"/>
        <name val="Calibri"/>
        <scheme val="none"/>
      </font>
      <numFmt numFmtId="164" formatCode="_-* #,##0_-;\-* #,##0_-;_-* &quot;-&quot;??_-;_-@_-"/>
    </dxf>
  </rfmt>
  <rfmt sheetId="1" sqref="AU518" start="0" length="0">
    <dxf>
      <font>
        <sz val="11"/>
        <color theme="1"/>
        <name val="Calibri"/>
        <scheme val="none"/>
      </font>
    </dxf>
  </rfmt>
  <rfmt sheetId="1" sqref="AV518" start="0" length="0">
    <dxf>
      <font>
        <sz val="11"/>
        <color theme="1"/>
        <name val="Calibri"/>
        <scheme val="none"/>
      </font>
    </dxf>
  </rfmt>
  <rfmt sheetId="1" sqref="AW518" start="0" length="0">
    <dxf>
      <font>
        <sz val="11"/>
        <color theme="1"/>
        <name val="Calibri"/>
        <scheme val="none"/>
      </font>
    </dxf>
  </rfmt>
  <rfmt sheetId="1" sqref="AX518" start="0" length="0">
    <dxf>
      <font>
        <sz val="11"/>
        <color theme="1"/>
        <name val="Calibri"/>
        <scheme val="none"/>
      </font>
    </dxf>
  </rfmt>
  <rfmt sheetId="1" sqref="AY518" start="0" length="0">
    <dxf>
      <font>
        <sz val="11"/>
        <color theme="1"/>
        <name val="Calibri"/>
        <scheme val="none"/>
      </font>
    </dxf>
  </rfmt>
  <rfmt sheetId="1" sqref="A518:XFD518" start="0" length="0">
    <dxf>
      <font>
        <sz val="11"/>
        <color theme="1"/>
        <name val="Calibri"/>
        <scheme val="none"/>
      </font>
    </dxf>
  </rfmt>
  <rfmt sheetId="1" sqref="A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1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1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19" start="0" length="0">
    <dxf>
      <font>
        <sz val="11"/>
        <color theme="1"/>
        <name val="Calibri"/>
        <scheme val="none"/>
      </font>
    </dxf>
  </rfmt>
  <rfmt sheetId="1" sqref="AM519" start="0" length="0">
    <dxf>
      <font>
        <sz val="11"/>
        <color theme="1"/>
        <name val="Calibri"/>
        <scheme val="none"/>
      </font>
      <numFmt numFmtId="1" formatCode="0"/>
    </dxf>
  </rfmt>
  <rfmt sheetId="1" sqref="AN519" start="0" length="0">
    <dxf>
      <font>
        <sz val="11"/>
        <color theme="1"/>
        <name val="Calibri"/>
        <scheme val="none"/>
      </font>
      <numFmt numFmtId="1" formatCode="0"/>
    </dxf>
  </rfmt>
  <rfmt sheetId="1" sqref="AO519" start="0" length="0">
    <dxf>
      <font>
        <sz val="11"/>
        <color theme="1"/>
        <name val="Calibri"/>
        <scheme val="none"/>
      </font>
    </dxf>
  </rfmt>
  <rfmt sheetId="1" sqref="AP519" start="0" length="0">
    <dxf>
      <font>
        <sz val="11"/>
        <color theme="1"/>
        <name val="Calibri"/>
        <scheme val="none"/>
      </font>
    </dxf>
  </rfmt>
  <rfmt sheetId="1" sqref="AQ519" start="0" length="0">
    <dxf>
      <font>
        <sz val="11"/>
        <color theme="1"/>
        <name val="Calibri"/>
        <scheme val="none"/>
      </font>
      <numFmt numFmtId="164" formatCode="_-* #,##0_-;\-* #,##0_-;_-* &quot;-&quot;??_-;_-@_-"/>
    </dxf>
  </rfmt>
  <rfmt sheetId="1" sqref="AR519" start="0" length="0">
    <dxf>
      <font>
        <sz val="11"/>
        <color theme="1"/>
        <name val="Calibri"/>
        <scheme val="none"/>
      </font>
      <numFmt numFmtId="164" formatCode="_-* #,##0_-;\-* #,##0_-;_-* &quot;-&quot;??_-;_-@_-"/>
    </dxf>
  </rfmt>
  <rfmt sheetId="1" sqref="AS519" start="0" length="0">
    <dxf>
      <font>
        <sz val="11"/>
        <color theme="1"/>
        <name val="Calibri"/>
        <scheme val="none"/>
      </font>
      <numFmt numFmtId="164" formatCode="_-* #,##0_-;\-* #,##0_-;_-* &quot;-&quot;??_-;_-@_-"/>
    </dxf>
  </rfmt>
  <rfmt sheetId="1" sqref="AT519" start="0" length="0">
    <dxf>
      <font>
        <sz val="11"/>
        <color theme="1"/>
        <name val="Calibri"/>
        <scheme val="none"/>
      </font>
      <numFmt numFmtId="164" formatCode="_-* #,##0_-;\-* #,##0_-;_-* &quot;-&quot;??_-;_-@_-"/>
    </dxf>
  </rfmt>
  <rfmt sheetId="1" sqref="AU519" start="0" length="0">
    <dxf>
      <font>
        <sz val="11"/>
        <color theme="1"/>
        <name val="Calibri"/>
        <scheme val="none"/>
      </font>
    </dxf>
  </rfmt>
  <rfmt sheetId="1" sqref="AV519" start="0" length="0">
    <dxf>
      <font>
        <sz val="11"/>
        <color theme="1"/>
        <name val="Calibri"/>
        <scheme val="none"/>
      </font>
    </dxf>
  </rfmt>
  <rfmt sheetId="1" sqref="AW519" start="0" length="0">
    <dxf>
      <font>
        <sz val="11"/>
        <color theme="1"/>
        <name val="Calibri"/>
        <scheme val="none"/>
      </font>
    </dxf>
  </rfmt>
  <rfmt sheetId="1" sqref="AX519" start="0" length="0">
    <dxf>
      <font>
        <sz val="11"/>
        <color theme="1"/>
        <name val="Calibri"/>
        <scheme val="none"/>
      </font>
    </dxf>
  </rfmt>
  <rfmt sheetId="1" sqref="AY519" start="0" length="0">
    <dxf>
      <font>
        <sz val="11"/>
        <color theme="1"/>
        <name val="Calibri"/>
        <scheme val="none"/>
      </font>
    </dxf>
  </rfmt>
  <rfmt sheetId="1" sqref="A519:XFD519" start="0" length="0">
    <dxf>
      <font>
        <sz val="11"/>
        <color theme="1"/>
        <name val="Calibri"/>
        <scheme val="none"/>
      </font>
    </dxf>
  </rfmt>
  <rfmt sheetId="1" sqref="A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2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2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20" start="0" length="0">
    <dxf>
      <font>
        <sz val="11"/>
        <color theme="1"/>
        <name val="Calibri"/>
        <scheme val="none"/>
      </font>
    </dxf>
  </rfmt>
  <rfmt sheetId="1" sqref="AM520" start="0" length="0">
    <dxf>
      <font>
        <sz val="11"/>
        <color theme="1"/>
        <name val="Calibri"/>
        <scheme val="none"/>
      </font>
      <numFmt numFmtId="1" formatCode="0"/>
    </dxf>
  </rfmt>
  <rfmt sheetId="1" sqref="AN520" start="0" length="0">
    <dxf>
      <font>
        <sz val="11"/>
        <color theme="1"/>
        <name val="Calibri"/>
        <scheme val="none"/>
      </font>
      <numFmt numFmtId="1" formatCode="0"/>
    </dxf>
  </rfmt>
  <rfmt sheetId="1" sqref="AO520" start="0" length="0">
    <dxf>
      <font>
        <sz val="11"/>
        <color theme="1"/>
        <name val="Calibri"/>
        <scheme val="none"/>
      </font>
    </dxf>
  </rfmt>
  <rfmt sheetId="1" sqref="AP520" start="0" length="0">
    <dxf>
      <font>
        <sz val="11"/>
        <color theme="1"/>
        <name val="Calibri"/>
        <scheme val="none"/>
      </font>
    </dxf>
  </rfmt>
  <rfmt sheetId="1" sqref="AQ520" start="0" length="0">
    <dxf>
      <font>
        <sz val="11"/>
        <color theme="1"/>
        <name val="Calibri"/>
        <scheme val="none"/>
      </font>
      <numFmt numFmtId="164" formatCode="_-* #,##0_-;\-* #,##0_-;_-* &quot;-&quot;??_-;_-@_-"/>
    </dxf>
  </rfmt>
  <rfmt sheetId="1" sqref="AR520" start="0" length="0">
    <dxf>
      <font>
        <sz val="11"/>
        <color theme="1"/>
        <name val="Calibri"/>
        <scheme val="none"/>
      </font>
      <numFmt numFmtId="164" formatCode="_-* #,##0_-;\-* #,##0_-;_-* &quot;-&quot;??_-;_-@_-"/>
    </dxf>
  </rfmt>
  <rfmt sheetId="1" sqref="AS520" start="0" length="0">
    <dxf>
      <font>
        <sz val="11"/>
        <color theme="1"/>
        <name val="Calibri"/>
        <scheme val="none"/>
      </font>
      <numFmt numFmtId="164" formatCode="_-* #,##0_-;\-* #,##0_-;_-* &quot;-&quot;??_-;_-@_-"/>
    </dxf>
  </rfmt>
  <rfmt sheetId="1" sqref="AT520" start="0" length="0">
    <dxf>
      <font>
        <sz val="11"/>
        <color theme="1"/>
        <name val="Calibri"/>
        <scheme val="none"/>
      </font>
      <numFmt numFmtId="164" formatCode="_-* #,##0_-;\-* #,##0_-;_-* &quot;-&quot;??_-;_-@_-"/>
    </dxf>
  </rfmt>
  <rfmt sheetId="1" sqref="AU520" start="0" length="0">
    <dxf>
      <font>
        <sz val="11"/>
        <color theme="1"/>
        <name val="Calibri"/>
        <scheme val="none"/>
      </font>
    </dxf>
  </rfmt>
  <rfmt sheetId="1" sqref="AV520" start="0" length="0">
    <dxf>
      <font>
        <sz val="11"/>
        <color theme="1"/>
        <name val="Calibri"/>
        <scheme val="none"/>
      </font>
    </dxf>
  </rfmt>
  <rfmt sheetId="1" sqref="AW520" start="0" length="0">
    <dxf>
      <font>
        <sz val="11"/>
        <color theme="1"/>
        <name val="Calibri"/>
        <scheme val="none"/>
      </font>
    </dxf>
  </rfmt>
  <rfmt sheetId="1" sqref="AX520" start="0" length="0">
    <dxf>
      <font>
        <sz val="11"/>
        <color theme="1"/>
        <name val="Calibri"/>
        <scheme val="none"/>
      </font>
    </dxf>
  </rfmt>
  <rfmt sheetId="1" sqref="AY520" start="0" length="0">
    <dxf>
      <font>
        <sz val="11"/>
        <color theme="1"/>
        <name val="Calibri"/>
        <scheme val="none"/>
      </font>
    </dxf>
  </rfmt>
  <rfmt sheetId="1" sqref="A520:XFD520" start="0" length="0">
    <dxf>
      <font>
        <sz val="11"/>
        <color theme="1"/>
        <name val="Calibri"/>
        <scheme val="none"/>
      </font>
    </dxf>
  </rfmt>
  <rfmt sheetId="1" sqref="A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2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2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21" start="0" length="0">
    <dxf>
      <font>
        <sz val="11"/>
        <color theme="1"/>
        <name val="Calibri"/>
        <scheme val="none"/>
      </font>
    </dxf>
  </rfmt>
  <rfmt sheetId="1" sqref="AM521" start="0" length="0">
    <dxf>
      <font>
        <sz val="11"/>
        <color theme="1"/>
        <name val="Calibri"/>
        <scheme val="none"/>
      </font>
      <numFmt numFmtId="1" formatCode="0"/>
    </dxf>
  </rfmt>
  <rfmt sheetId="1" sqref="AN521" start="0" length="0">
    <dxf>
      <font>
        <sz val="11"/>
        <color theme="1"/>
        <name val="Calibri"/>
        <scheme val="none"/>
      </font>
      <numFmt numFmtId="1" formatCode="0"/>
    </dxf>
  </rfmt>
  <rfmt sheetId="1" sqref="AO521" start="0" length="0">
    <dxf>
      <font>
        <sz val="11"/>
        <color theme="1"/>
        <name val="Calibri"/>
        <scheme val="none"/>
      </font>
    </dxf>
  </rfmt>
  <rfmt sheetId="1" sqref="AP521" start="0" length="0">
    <dxf>
      <font>
        <sz val="11"/>
        <color theme="1"/>
        <name val="Calibri"/>
        <scheme val="none"/>
      </font>
    </dxf>
  </rfmt>
  <rfmt sheetId="1" sqref="AQ521" start="0" length="0">
    <dxf>
      <font>
        <sz val="11"/>
        <color theme="1"/>
        <name val="Calibri"/>
        <scheme val="none"/>
      </font>
      <numFmt numFmtId="164" formatCode="_-* #,##0_-;\-* #,##0_-;_-* &quot;-&quot;??_-;_-@_-"/>
    </dxf>
  </rfmt>
  <rfmt sheetId="1" sqref="AR521" start="0" length="0">
    <dxf>
      <font>
        <sz val="11"/>
        <color theme="1"/>
        <name val="Calibri"/>
        <scheme val="none"/>
      </font>
      <numFmt numFmtId="164" formatCode="_-* #,##0_-;\-* #,##0_-;_-* &quot;-&quot;??_-;_-@_-"/>
    </dxf>
  </rfmt>
  <rfmt sheetId="1" sqref="AS521" start="0" length="0">
    <dxf>
      <font>
        <sz val="11"/>
        <color theme="1"/>
        <name val="Calibri"/>
        <scheme val="none"/>
      </font>
      <numFmt numFmtId="164" formatCode="_-* #,##0_-;\-* #,##0_-;_-* &quot;-&quot;??_-;_-@_-"/>
    </dxf>
  </rfmt>
  <rfmt sheetId="1" sqref="AT521" start="0" length="0">
    <dxf>
      <font>
        <sz val="11"/>
        <color theme="1"/>
        <name val="Calibri"/>
        <scheme val="none"/>
      </font>
      <numFmt numFmtId="164" formatCode="_-* #,##0_-;\-* #,##0_-;_-* &quot;-&quot;??_-;_-@_-"/>
    </dxf>
  </rfmt>
  <rfmt sheetId="1" sqref="AU521" start="0" length="0">
    <dxf>
      <font>
        <sz val="11"/>
        <color theme="1"/>
        <name val="Calibri"/>
        <scheme val="none"/>
      </font>
    </dxf>
  </rfmt>
  <rfmt sheetId="1" sqref="AV521" start="0" length="0">
    <dxf>
      <font>
        <sz val="11"/>
        <color theme="1"/>
        <name val="Calibri"/>
        <scheme val="none"/>
      </font>
    </dxf>
  </rfmt>
  <rfmt sheetId="1" sqref="AW521" start="0" length="0">
    <dxf>
      <font>
        <sz val="11"/>
        <color theme="1"/>
        <name val="Calibri"/>
        <scheme val="none"/>
      </font>
    </dxf>
  </rfmt>
  <rfmt sheetId="1" sqref="AX521" start="0" length="0">
    <dxf>
      <font>
        <sz val="11"/>
        <color theme="1"/>
        <name val="Calibri"/>
        <scheme val="none"/>
      </font>
    </dxf>
  </rfmt>
  <rfmt sheetId="1" sqref="AY521" start="0" length="0">
    <dxf>
      <font>
        <sz val="11"/>
        <color theme="1"/>
        <name val="Calibri"/>
        <scheme val="none"/>
      </font>
    </dxf>
  </rfmt>
  <rfmt sheetId="1" sqref="A521:XFD521" start="0" length="0">
    <dxf>
      <font>
        <sz val="11"/>
        <color theme="1"/>
        <name val="Calibri"/>
        <scheme val="none"/>
      </font>
    </dxf>
  </rfmt>
  <rfmt sheetId="1" sqref="A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2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2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22" start="0" length="0">
    <dxf>
      <font>
        <sz val="11"/>
        <color theme="1"/>
        <name val="Calibri"/>
        <scheme val="none"/>
      </font>
    </dxf>
  </rfmt>
  <rfmt sheetId="1" sqref="AM522" start="0" length="0">
    <dxf>
      <font>
        <sz val="11"/>
        <color theme="1"/>
        <name val="Calibri"/>
        <scheme val="none"/>
      </font>
      <numFmt numFmtId="1" formatCode="0"/>
    </dxf>
  </rfmt>
  <rfmt sheetId="1" sqref="AN522" start="0" length="0">
    <dxf>
      <font>
        <sz val="11"/>
        <color theme="1"/>
        <name val="Calibri"/>
        <scheme val="none"/>
      </font>
      <numFmt numFmtId="1" formatCode="0"/>
    </dxf>
  </rfmt>
  <rfmt sheetId="1" sqref="AO522" start="0" length="0">
    <dxf>
      <font>
        <sz val="11"/>
        <color theme="1"/>
        <name val="Calibri"/>
        <scheme val="none"/>
      </font>
    </dxf>
  </rfmt>
  <rfmt sheetId="1" sqref="AP522" start="0" length="0">
    <dxf>
      <font>
        <sz val="11"/>
        <color theme="1"/>
        <name val="Calibri"/>
        <scheme val="none"/>
      </font>
    </dxf>
  </rfmt>
  <rfmt sheetId="1" sqref="AQ522" start="0" length="0">
    <dxf>
      <font>
        <sz val="11"/>
        <color theme="1"/>
        <name val="Calibri"/>
        <scheme val="none"/>
      </font>
      <numFmt numFmtId="164" formatCode="_-* #,##0_-;\-* #,##0_-;_-* &quot;-&quot;??_-;_-@_-"/>
    </dxf>
  </rfmt>
  <rfmt sheetId="1" sqref="AR522" start="0" length="0">
    <dxf>
      <font>
        <sz val="11"/>
        <color theme="1"/>
        <name val="Calibri"/>
        <scheme val="none"/>
      </font>
      <numFmt numFmtId="164" formatCode="_-* #,##0_-;\-* #,##0_-;_-* &quot;-&quot;??_-;_-@_-"/>
    </dxf>
  </rfmt>
  <rfmt sheetId="1" sqref="AS522" start="0" length="0">
    <dxf>
      <font>
        <sz val="11"/>
        <color theme="1"/>
        <name val="Calibri"/>
        <scheme val="none"/>
      </font>
      <numFmt numFmtId="164" formatCode="_-* #,##0_-;\-* #,##0_-;_-* &quot;-&quot;??_-;_-@_-"/>
    </dxf>
  </rfmt>
  <rfmt sheetId="1" sqref="AT522" start="0" length="0">
    <dxf>
      <font>
        <sz val="11"/>
        <color theme="1"/>
        <name val="Calibri"/>
        <scheme val="none"/>
      </font>
      <numFmt numFmtId="164" formatCode="_-* #,##0_-;\-* #,##0_-;_-* &quot;-&quot;??_-;_-@_-"/>
    </dxf>
  </rfmt>
  <rfmt sheetId="1" sqref="AU522" start="0" length="0">
    <dxf>
      <font>
        <sz val="11"/>
        <color theme="1"/>
        <name val="Calibri"/>
        <scheme val="none"/>
      </font>
    </dxf>
  </rfmt>
  <rfmt sheetId="1" sqref="AV522" start="0" length="0">
    <dxf>
      <font>
        <sz val="11"/>
        <color theme="1"/>
        <name val="Calibri"/>
        <scheme val="none"/>
      </font>
    </dxf>
  </rfmt>
  <rfmt sheetId="1" sqref="AW522" start="0" length="0">
    <dxf>
      <font>
        <sz val="11"/>
        <color theme="1"/>
        <name val="Calibri"/>
        <scheme val="none"/>
      </font>
    </dxf>
  </rfmt>
  <rfmt sheetId="1" sqref="AX522" start="0" length="0">
    <dxf>
      <font>
        <sz val="11"/>
        <color theme="1"/>
        <name val="Calibri"/>
        <scheme val="none"/>
      </font>
    </dxf>
  </rfmt>
  <rfmt sheetId="1" sqref="AY522" start="0" length="0">
    <dxf>
      <font>
        <sz val="11"/>
        <color theme="1"/>
        <name val="Calibri"/>
        <scheme val="none"/>
      </font>
    </dxf>
  </rfmt>
  <rfmt sheetId="1" sqref="A522:XFD522" start="0" length="0">
    <dxf>
      <font>
        <sz val="11"/>
        <color theme="1"/>
        <name val="Calibri"/>
        <scheme val="none"/>
      </font>
    </dxf>
  </rfmt>
  <rfmt sheetId="1" sqref="A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2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2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23" start="0" length="0">
    <dxf>
      <font>
        <sz val="11"/>
        <color theme="1"/>
        <name val="Calibri"/>
        <scheme val="none"/>
      </font>
    </dxf>
  </rfmt>
  <rfmt sheetId="1" sqref="AM523" start="0" length="0">
    <dxf>
      <font>
        <sz val="11"/>
        <color theme="1"/>
        <name val="Calibri"/>
        <scheme val="none"/>
      </font>
      <numFmt numFmtId="1" formatCode="0"/>
    </dxf>
  </rfmt>
  <rfmt sheetId="1" sqref="AN523" start="0" length="0">
    <dxf>
      <font>
        <sz val="11"/>
        <color theme="1"/>
        <name val="Calibri"/>
        <scheme val="none"/>
      </font>
      <numFmt numFmtId="1" formatCode="0"/>
    </dxf>
  </rfmt>
  <rfmt sheetId="1" sqref="AO523" start="0" length="0">
    <dxf>
      <font>
        <sz val="11"/>
        <color theme="1"/>
        <name val="Calibri"/>
        <scheme val="none"/>
      </font>
    </dxf>
  </rfmt>
  <rfmt sheetId="1" sqref="AP523" start="0" length="0">
    <dxf>
      <font>
        <sz val="11"/>
        <color theme="1"/>
        <name val="Calibri"/>
        <scheme val="none"/>
      </font>
    </dxf>
  </rfmt>
  <rfmt sheetId="1" sqref="AQ523" start="0" length="0">
    <dxf>
      <font>
        <sz val="11"/>
        <color theme="1"/>
        <name val="Calibri"/>
        <scheme val="none"/>
      </font>
      <numFmt numFmtId="164" formatCode="_-* #,##0_-;\-* #,##0_-;_-* &quot;-&quot;??_-;_-@_-"/>
    </dxf>
  </rfmt>
  <rfmt sheetId="1" sqref="AR523" start="0" length="0">
    <dxf>
      <font>
        <sz val="11"/>
        <color theme="1"/>
        <name val="Calibri"/>
        <scheme val="none"/>
      </font>
      <numFmt numFmtId="164" formatCode="_-* #,##0_-;\-* #,##0_-;_-* &quot;-&quot;??_-;_-@_-"/>
    </dxf>
  </rfmt>
  <rfmt sheetId="1" sqref="AS523" start="0" length="0">
    <dxf>
      <font>
        <sz val="11"/>
        <color theme="1"/>
        <name val="Calibri"/>
        <scheme val="none"/>
      </font>
      <numFmt numFmtId="164" formatCode="_-* #,##0_-;\-* #,##0_-;_-* &quot;-&quot;??_-;_-@_-"/>
    </dxf>
  </rfmt>
  <rfmt sheetId="1" sqref="AT523" start="0" length="0">
    <dxf>
      <font>
        <sz val="11"/>
        <color theme="1"/>
        <name val="Calibri"/>
        <scheme val="none"/>
      </font>
      <numFmt numFmtId="164" formatCode="_-* #,##0_-;\-* #,##0_-;_-* &quot;-&quot;??_-;_-@_-"/>
    </dxf>
  </rfmt>
  <rfmt sheetId="1" sqref="AU523" start="0" length="0">
    <dxf>
      <font>
        <sz val="11"/>
        <color theme="1"/>
        <name val="Calibri"/>
        <scheme val="none"/>
      </font>
    </dxf>
  </rfmt>
  <rfmt sheetId="1" sqref="AV523" start="0" length="0">
    <dxf>
      <font>
        <sz val="11"/>
        <color theme="1"/>
        <name val="Calibri"/>
        <scheme val="none"/>
      </font>
    </dxf>
  </rfmt>
  <rfmt sheetId="1" sqref="AW523" start="0" length="0">
    <dxf>
      <font>
        <sz val="11"/>
        <color theme="1"/>
        <name val="Calibri"/>
        <scheme val="none"/>
      </font>
    </dxf>
  </rfmt>
  <rfmt sheetId="1" sqref="AX523" start="0" length="0">
    <dxf>
      <font>
        <sz val="11"/>
        <color theme="1"/>
        <name val="Calibri"/>
        <scheme val="none"/>
      </font>
    </dxf>
  </rfmt>
  <rfmt sheetId="1" sqref="AY523" start="0" length="0">
    <dxf>
      <font>
        <sz val="11"/>
        <color theme="1"/>
        <name val="Calibri"/>
        <scheme val="none"/>
      </font>
    </dxf>
  </rfmt>
  <rfmt sheetId="1" sqref="A523:XFD523" start="0" length="0">
    <dxf>
      <font>
        <sz val="11"/>
        <color theme="1"/>
        <name val="Calibri"/>
        <scheme val="none"/>
      </font>
    </dxf>
  </rfmt>
  <rfmt sheetId="1" sqref="A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2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2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24" start="0" length="0">
    <dxf>
      <font>
        <sz val="11"/>
        <color theme="1"/>
        <name val="Calibri"/>
        <scheme val="none"/>
      </font>
    </dxf>
  </rfmt>
  <rfmt sheetId="1" sqref="AM524" start="0" length="0">
    <dxf>
      <font>
        <sz val="11"/>
        <color theme="1"/>
        <name val="Calibri"/>
        <scheme val="none"/>
      </font>
      <numFmt numFmtId="1" formatCode="0"/>
    </dxf>
  </rfmt>
  <rfmt sheetId="1" sqref="AN524" start="0" length="0">
    <dxf>
      <font>
        <sz val="11"/>
        <color theme="1"/>
        <name val="Calibri"/>
        <scheme val="none"/>
      </font>
      <numFmt numFmtId="1" formatCode="0"/>
    </dxf>
  </rfmt>
  <rfmt sheetId="1" sqref="AO524" start="0" length="0">
    <dxf>
      <font>
        <sz val="11"/>
        <color theme="1"/>
        <name val="Calibri"/>
        <scheme val="none"/>
      </font>
    </dxf>
  </rfmt>
  <rfmt sheetId="1" sqref="AP524" start="0" length="0">
    <dxf>
      <font>
        <sz val="11"/>
        <color theme="1"/>
        <name val="Calibri"/>
        <scheme val="none"/>
      </font>
    </dxf>
  </rfmt>
  <rfmt sheetId="1" sqref="AQ524" start="0" length="0">
    <dxf>
      <font>
        <sz val="11"/>
        <color theme="1"/>
        <name val="Calibri"/>
        <scheme val="none"/>
      </font>
      <numFmt numFmtId="164" formatCode="_-* #,##0_-;\-* #,##0_-;_-* &quot;-&quot;??_-;_-@_-"/>
    </dxf>
  </rfmt>
  <rfmt sheetId="1" sqref="AR524" start="0" length="0">
    <dxf>
      <font>
        <sz val="11"/>
        <color theme="1"/>
        <name val="Calibri"/>
        <scheme val="none"/>
      </font>
      <numFmt numFmtId="164" formatCode="_-* #,##0_-;\-* #,##0_-;_-* &quot;-&quot;??_-;_-@_-"/>
    </dxf>
  </rfmt>
  <rfmt sheetId="1" sqref="AS524" start="0" length="0">
    <dxf>
      <font>
        <sz val="11"/>
        <color theme="1"/>
        <name val="Calibri"/>
        <scheme val="none"/>
      </font>
      <numFmt numFmtId="164" formatCode="_-* #,##0_-;\-* #,##0_-;_-* &quot;-&quot;??_-;_-@_-"/>
    </dxf>
  </rfmt>
  <rfmt sheetId="1" sqref="AT524" start="0" length="0">
    <dxf>
      <font>
        <sz val="11"/>
        <color theme="1"/>
        <name val="Calibri"/>
        <scheme val="none"/>
      </font>
      <numFmt numFmtId="164" formatCode="_-* #,##0_-;\-* #,##0_-;_-* &quot;-&quot;??_-;_-@_-"/>
    </dxf>
  </rfmt>
  <rfmt sheetId="1" sqref="AU524" start="0" length="0">
    <dxf>
      <font>
        <sz val="11"/>
        <color theme="1"/>
        <name val="Calibri"/>
        <scheme val="none"/>
      </font>
    </dxf>
  </rfmt>
  <rfmt sheetId="1" sqref="AV524" start="0" length="0">
    <dxf>
      <font>
        <sz val="11"/>
        <color theme="1"/>
        <name val="Calibri"/>
        <scheme val="none"/>
      </font>
    </dxf>
  </rfmt>
  <rfmt sheetId="1" sqref="AW524" start="0" length="0">
    <dxf>
      <font>
        <sz val="11"/>
        <color theme="1"/>
        <name val="Calibri"/>
        <scheme val="none"/>
      </font>
    </dxf>
  </rfmt>
  <rfmt sheetId="1" sqref="AX524" start="0" length="0">
    <dxf>
      <font>
        <sz val="11"/>
        <color theme="1"/>
        <name val="Calibri"/>
        <scheme val="none"/>
      </font>
    </dxf>
  </rfmt>
  <rfmt sheetId="1" sqref="AY524" start="0" length="0">
    <dxf>
      <font>
        <sz val="11"/>
        <color theme="1"/>
        <name val="Calibri"/>
        <scheme val="none"/>
      </font>
    </dxf>
  </rfmt>
  <rfmt sheetId="1" sqref="A524:XFD524" start="0" length="0">
    <dxf>
      <font>
        <sz val="11"/>
        <color theme="1"/>
        <name val="Calibri"/>
        <scheme val="none"/>
      </font>
    </dxf>
  </rfmt>
  <rfmt sheetId="1" sqref="A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2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2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25" start="0" length="0">
    <dxf>
      <font>
        <sz val="11"/>
        <color theme="1"/>
        <name val="Calibri"/>
        <scheme val="none"/>
      </font>
    </dxf>
  </rfmt>
  <rfmt sheetId="1" sqref="AM525" start="0" length="0">
    <dxf>
      <font>
        <sz val="11"/>
        <color theme="1"/>
        <name val="Calibri"/>
        <scheme val="none"/>
      </font>
      <numFmt numFmtId="1" formatCode="0"/>
    </dxf>
  </rfmt>
  <rfmt sheetId="1" sqref="AN525" start="0" length="0">
    <dxf>
      <font>
        <sz val="11"/>
        <color theme="1"/>
        <name val="Calibri"/>
        <scheme val="none"/>
      </font>
      <numFmt numFmtId="1" formatCode="0"/>
    </dxf>
  </rfmt>
  <rfmt sheetId="1" sqref="AO525" start="0" length="0">
    <dxf>
      <font>
        <sz val="11"/>
        <color theme="1"/>
        <name val="Calibri"/>
        <scheme val="none"/>
      </font>
    </dxf>
  </rfmt>
  <rfmt sheetId="1" sqref="AP525" start="0" length="0">
    <dxf>
      <font>
        <sz val="11"/>
        <color theme="1"/>
        <name val="Calibri"/>
        <scheme val="none"/>
      </font>
    </dxf>
  </rfmt>
  <rfmt sheetId="1" sqref="AQ525" start="0" length="0">
    <dxf>
      <font>
        <sz val="11"/>
        <color theme="1"/>
        <name val="Calibri"/>
        <scheme val="none"/>
      </font>
      <numFmt numFmtId="164" formatCode="_-* #,##0_-;\-* #,##0_-;_-* &quot;-&quot;??_-;_-@_-"/>
    </dxf>
  </rfmt>
  <rfmt sheetId="1" sqref="AR525" start="0" length="0">
    <dxf>
      <font>
        <sz val="11"/>
        <color theme="1"/>
        <name val="Calibri"/>
        <scheme val="none"/>
      </font>
      <numFmt numFmtId="164" formatCode="_-* #,##0_-;\-* #,##0_-;_-* &quot;-&quot;??_-;_-@_-"/>
    </dxf>
  </rfmt>
  <rfmt sheetId="1" sqref="AS525" start="0" length="0">
    <dxf>
      <font>
        <sz val="11"/>
        <color theme="1"/>
        <name val="Calibri"/>
        <scheme val="none"/>
      </font>
      <numFmt numFmtId="164" formatCode="_-* #,##0_-;\-* #,##0_-;_-* &quot;-&quot;??_-;_-@_-"/>
    </dxf>
  </rfmt>
  <rfmt sheetId="1" sqref="AT525" start="0" length="0">
    <dxf>
      <font>
        <sz val="11"/>
        <color theme="1"/>
        <name val="Calibri"/>
        <scheme val="none"/>
      </font>
      <numFmt numFmtId="164" formatCode="_-* #,##0_-;\-* #,##0_-;_-* &quot;-&quot;??_-;_-@_-"/>
    </dxf>
  </rfmt>
  <rfmt sheetId="1" sqref="AU525" start="0" length="0">
    <dxf>
      <font>
        <sz val="11"/>
        <color theme="1"/>
        <name val="Calibri"/>
        <scheme val="none"/>
      </font>
    </dxf>
  </rfmt>
  <rfmt sheetId="1" sqref="AV525" start="0" length="0">
    <dxf>
      <font>
        <sz val="11"/>
        <color theme="1"/>
        <name val="Calibri"/>
        <scheme val="none"/>
      </font>
    </dxf>
  </rfmt>
  <rfmt sheetId="1" sqref="AW525" start="0" length="0">
    <dxf>
      <font>
        <sz val="11"/>
        <color theme="1"/>
        <name val="Calibri"/>
        <scheme val="none"/>
      </font>
    </dxf>
  </rfmt>
  <rfmt sheetId="1" sqref="AX525" start="0" length="0">
    <dxf>
      <font>
        <sz val="11"/>
        <color theme="1"/>
        <name val="Calibri"/>
        <scheme val="none"/>
      </font>
    </dxf>
  </rfmt>
  <rfmt sheetId="1" sqref="AY525" start="0" length="0">
    <dxf>
      <font>
        <sz val="11"/>
        <color theme="1"/>
        <name val="Calibri"/>
        <scheme val="none"/>
      </font>
    </dxf>
  </rfmt>
  <rfmt sheetId="1" sqref="A525:XFD525" start="0" length="0">
    <dxf>
      <font>
        <sz val="11"/>
        <color theme="1"/>
        <name val="Calibri"/>
        <scheme val="none"/>
      </font>
    </dxf>
  </rfmt>
  <rfmt sheetId="1" sqref="A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2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2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26" start="0" length="0">
    <dxf>
      <font>
        <sz val="11"/>
        <color theme="1"/>
        <name val="Calibri"/>
        <scheme val="none"/>
      </font>
    </dxf>
  </rfmt>
  <rfmt sheetId="1" sqref="AM526" start="0" length="0">
    <dxf>
      <font>
        <sz val="11"/>
        <color theme="1"/>
        <name val="Calibri"/>
        <scheme val="none"/>
      </font>
      <numFmt numFmtId="1" formatCode="0"/>
    </dxf>
  </rfmt>
  <rfmt sheetId="1" sqref="AN526" start="0" length="0">
    <dxf>
      <font>
        <sz val="11"/>
        <color theme="1"/>
        <name val="Calibri"/>
        <scheme val="none"/>
      </font>
      <numFmt numFmtId="1" formatCode="0"/>
    </dxf>
  </rfmt>
  <rfmt sheetId="1" sqref="AO526" start="0" length="0">
    <dxf>
      <font>
        <sz val="11"/>
        <color theme="1"/>
        <name val="Calibri"/>
        <scheme val="none"/>
      </font>
    </dxf>
  </rfmt>
  <rfmt sheetId="1" sqref="AP526" start="0" length="0">
    <dxf>
      <font>
        <sz val="11"/>
        <color theme="1"/>
        <name val="Calibri"/>
        <scheme val="none"/>
      </font>
    </dxf>
  </rfmt>
  <rfmt sheetId="1" sqref="AQ526" start="0" length="0">
    <dxf>
      <font>
        <sz val="11"/>
        <color theme="1"/>
        <name val="Calibri"/>
        <scheme val="none"/>
      </font>
      <numFmt numFmtId="164" formatCode="_-* #,##0_-;\-* #,##0_-;_-* &quot;-&quot;??_-;_-@_-"/>
    </dxf>
  </rfmt>
  <rfmt sheetId="1" sqref="AR526" start="0" length="0">
    <dxf>
      <font>
        <sz val="11"/>
        <color theme="1"/>
        <name val="Calibri"/>
        <scheme val="none"/>
      </font>
      <numFmt numFmtId="164" formatCode="_-* #,##0_-;\-* #,##0_-;_-* &quot;-&quot;??_-;_-@_-"/>
    </dxf>
  </rfmt>
  <rfmt sheetId="1" sqref="AS526" start="0" length="0">
    <dxf>
      <font>
        <sz val="11"/>
        <color theme="1"/>
        <name val="Calibri"/>
        <scheme val="none"/>
      </font>
      <numFmt numFmtId="164" formatCode="_-* #,##0_-;\-* #,##0_-;_-* &quot;-&quot;??_-;_-@_-"/>
    </dxf>
  </rfmt>
  <rfmt sheetId="1" sqref="AT526" start="0" length="0">
    <dxf>
      <font>
        <sz val="11"/>
        <color theme="1"/>
        <name val="Calibri"/>
        <scheme val="none"/>
      </font>
      <numFmt numFmtId="164" formatCode="_-* #,##0_-;\-* #,##0_-;_-* &quot;-&quot;??_-;_-@_-"/>
    </dxf>
  </rfmt>
  <rfmt sheetId="1" sqref="AU526" start="0" length="0">
    <dxf>
      <font>
        <sz val="11"/>
        <color theme="1"/>
        <name val="Calibri"/>
        <scheme val="none"/>
      </font>
    </dxf>
  </rfmt>
  <rfmt sheetId="1" sqref="AV526" start="0" length="0">
    <dxf>
      <font>
        <sz val="11"/>
        <color theme="1"/>
        <name val="Calibri"/>
        <scheme val="none"/>
      </font>
    </dxf>
  </rfmt>
  <rfmt sheetId="1" sqref="AW526" start="0" length="0">
    <dxf>
      <font>
        <sz val="11"/>
        <color theme="1"/>
        <name val="Calibri"/>
        <scheme val="none"/>
      </font>
    </dxf>
  </rfmt>
  <rfmt sheetId="1" sqref="AX526" start="0" length="0">
    <dxf>
      <font>
        <sz val="11"/>
        <color theme="1"/>
        <name val="Calibri"/>
        <scheme val="none"/>
      </font>
    </dxf>
  </rfmt>
  <rfmt sheetId="1" sqref="AY526" start="0" length="0">
    <dxf>
      <font>
        <sz val="11"/>
        <color theme="1"/>
        <name val="Calibri"/>
        <scheme val="none"/>
      </font>
    </dxf>
  </rfmt>
  <rfmt sheetId="1" sqref="A526:XFD526" start="0" length="0">
    <dxf>
      <font>
        <sz val="11"/>
        <color theme="1"/>
        <name val="Calibri"/>
        <scheme val="none"/>
      </font>
    </dxf>
  </rfmt>
  <rfmt sheetId="1" sqref="A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2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2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27" start="0" length="0">
    <dxf>
      <font>
        <sz val="11"/>
        <color theme="1"/>
        <name val="Calibri"/>
        <scheme val="none"/>
      </font>
    </dxf>
  </rfmt>
  <rfmt sheetId="1" sqref="AM527" start="0" length="0">
    <dxf>
      <font>
        <sz val="11"/>
        <color theme="1"/>
        <name val="Calibri"/>
        <scheme val="none"/>
      </font>
      <numFmt numFmtId="1" formatCode="0"/>
    </dxf>
  </rfmt>
  <rfmt sheetId="1" sqref="AN527" start="0" length="0">
    <dxf>
      <font>
        <sz val="11"/>
        <color theme="1"/>
        <name val="Calibri"/>
        <scheme val="none"/>
      </font>
      <numFmt numFmtId="1" formatCode="0"/>
    </dxf>
  </rfmt>
  <rfmt sheetId="1" sqref="AO527" start="0" length="0">
    <dxf>
      <font>
        <sz val="11"/>
        <color theme="1"/>
        <name val="Calibri"/>
        <scheme val="none"/>
      </font>
    </dxf>
  </rfmt>
  <rfmt sheetId="1" sqref="AP527" start="0" length="0">
    <dxf>
      <font>
        <sz val="11"/>
        <color theme="1"/>
        <name val="Calibri"/>
        <scheme val="none"/>
      </font>
    </dxf>
  </rfmt>
  <rfmt sheetId="1" sqref="AQ527" start="0" length="0">
    <dxf>
      <font>
        <sz val="11"/>
        <color theme="1"/>
        <name val="Calibri"/>
        <scheme val="none"/>
      </font>
      <numFmt numFmtId="164" formatCode="_-* #,##0_-;\-* #,##0_-;_-* &quot;-&quot;??_-;_-@_-"/>
    </dxf>
  </rfmt>
  <rfmt sheetId="1" sqref="AR527" start="0" length="0">
    <dxf>
      <font>
        <sz val="11"/>
        <color theme="1"/>
        <name val="Calibri"/>
        <scheme val="none"/>
      </font>
      <numFmt numFmtId="164" formatCode="_-* #,##0_-;\-* #,##0_-;_-* &quot;-&quot;??_-;_-@_-"/>
    </dxf>
  </rfmt>
  <rfmt sheetId="1" sqref="AS527" start="0" length="0">
    <dxf>
      <font>
        <sz val="11"/>
        <color theme="1"/>
        <name val="Calibri"/>
        <scheme val="none"/>
      </font>
      <numFmt numFmtId="164" formatCode="_-* #,##0_-;\-* #,##0_-;_-* &quot;-&quot;??_-;_-@_-"/>
    </dxf>
  </rfmt>
  <rfmt sheetId="1" sqref="AT527" start="0" length="0">
    <dxf>
      <font>
        <sz val="11"/>
        <color theme="1"/>
        <name val="Calibri"/>
        <scheme val="none"/>
      </font>
      <numFmt numFmtId="164" formatCode="_-* #,##0_-;\-* #,##0_-;_-* &quot;-&quot;??_-;_-@_-"/>
    </dxf>
  </rfmt>
  <rfmt sheetId="1" sqref="AU527" start="0" length="0">
    <dxf>
      <font>
        <sz val="11"/>
        <color theme="1"/>
        <name val="Calibri"/>
        <scheme val="none"/>
      </font>
    </dxf>
  </rfmt>
  <rfmt sheetId="1" sqref="AV527" start="0" length="0">
    <dxf>
      <font>
        <sz val="11"/>
        <color theme="1"/>
        <name val="Calibri"/>
        <scheme val="none"/>
      </font>
    </dxf>
  </rfmt>
  <rfmt sheetId="1" sqref="AW527" start="0" length="0">
    <dxf>
      <font>
        <sz val="11"/>
        <color theme="1"/>
        <name val="Calibri"/>
        <scheme val="none"/>
      </font>
    </dxf>
  </rfmt>
  <rfmt sheetId="1" sqref="AX527" start="0" length="0">
    <dxf>
      <font>
        <sz val="11"/>
        <color theme="1"/>
        <name val="Calibri"/>
        <scheme val="none"/>
      </font>
    </dxf>
  </rfmt>
  <rfmt sheetId="1" sqref="AY527" start="0" length="0">
    <dxf>
      <font>
        <sz val="11"/>
        <color theme="1"/>
        <name val="Calibri"/>
        <scheme val="none"/>
      </font>
    </dxf>
  </rfmt>
  <rfmt sheetId="1" sqref="A527:XFD527" start="0" length="0">
    <dxf>
      <font>
        <sz val="11"/>
        <color theme="1"/>
        <name val="Calibri"/>
        <scheme val="none"/>
      </font>
    </dxf>
  </rfmt>
  <rfmt sheetId="1" sqref="A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2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2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28" start="0" length="0">
    <dxf>
      <font>
        <sz val="11"/>
        <color theme="1"/>
        <name val="Calibri"/>
        <scheme val="none"/>
      </font>
    </dxf>
  </rfmt>
  <rfmt sheetId="1" sqref="AM528" start="0" length="0">
    <dxf>
      <font>
        <sz val="11"/>
        <color theme="1"/>
        <name val="Calibri"/>
        <scheme val="none"/>
      </font>
      <numFmt numFmtId="1" formatCode="0"/>
    </dxf>
  </rfmt>
  <rfmt sheetId="1" sqref="AN528" start="0" length="0">
    <dxf>
      <font>
        <sz val="11"/>
        <color theme="1"/>
        <name val="Calibri"/>
        <scheme val="none"/>
      </font>
      <numFmt numFmtId="1" formatCode="0"/>
    </dxf>
  </rfmt>
  <rfmt sheetId="1" sqref="AO528" start="0" length="0">
    <dxf>
      <font>
        <sz val="11"/>
        <color theme="1"/>
        <name val="Calibri"/>
        <scheme val="none"/>
      </font>
    </dxf>
  </rfmt>
  <rfmt sheetId="1" sqref="AP528" start="0" length="0">
    <dxf>
      <font>
        <sz val="11"/>
        <color theme="1"/>
        <name val="Calibri"/>
        <scheme val="none"/>
      </font>
    </dxf>
  </rfmt>
  <rfmt sheetId="1" sqref="AQ528" start="0" length="0">
    <dxf>
      <font>
        <sz val="11"/>
        <color theme="1"/>
        <name val="Calibri"/>
        <scheme val="none"/>
      </font>
      <numFmt numFmtId="164" formatCode="_-* #,##0_-;\-* #,##0_-;_-* &quot;-&quot;??_-;_-@_-"/>
    </dxf>
  </rfmt>
  <rfmt sheetId="1" sqref="AR528" start="0" length="0">
    <dxf>
      <font>
        <sz val="11"/>
        <color theme="1"/>
        <name val="Calibri"/>
        <scheme val="none"/>
      </font>
      <numFmt numFmtId="164" formatCode="_-* #,##0_-;\-* #,##0_-;_-* &quot;-&quot;??_-;_-@_-"/>
    </dxf>
  </rfmt>
  <rfmt sheetId="1" sqref="AS528" start="0" length="0">
    <dxf>
      <font>
        <sz val="11"/>
        <color theme="1"/>
        <name val="Calibri"/>
        <scheme val="none"/>
      </font>
      <numFmt numFmtId="164" formatCode="_-* #,##0_-;\-* #,##0_-;_-* &quot;-&quot;??_-;_-@_-"/>
    </dxf>
  </rfmt>
  <rfmt sheetId="1" sqref="AT528" start="0" length="0">
    <dxf>
      <font>
        <sz val="11"/>
        <color theme="1"/>
        <name val="Calibri"/>
        <scheme val="none"/>
      </font>
      <numFmt numFmtId="164" formatCode="_-* #,##0_-;\-* #,##0_-;_-* &quot;-&quot;??_-;_-@_-"/>
    </dxf>
  </rfmt>
  <rfmt sheetId="1" sqref="AU528" start="0" length="0">
    <dxf>
      <font>
        <sz val="11"/>
        <color theme="1"/>
        <name val="Calibri"/>
        <scheme val="none"/>
      </font>
    </dxf>
  </rfmt>
  <rfmt sheetId="1" sqref="AV528" start="0" length="0">
    <dxf>
      <font>
        <sz val="11"/>
        <color theme="1"/>
        <name val="Calibri"/>
        <scheme val="none"/>
      </font>
    </dxf>
  </rfmt>
  <rfmt sheetId="1" sqref="AW528" start="0" length="0">
    <dxf>
      <font>
        <sz val="11"/>
        <color theme="1"/>
        <name val="Calibri"/>
        <scheme val="none"/>
      </font>
    </dxf>
  </rfmt>
  <rfmt sheetId="1" sqref="AX528" start="0" length="0">
    <dxf>
      <font>
        <sz val="11"/>
        <color theme="1"/>
        <name val="Calibri"/>
        <scheme val="none"/>
      </font>
    </dxf>
  </rfmt>
  <rfmt sheetId="1" sqref="AY528" start="0" length="0">
    <dxf>
      <font>
        <sz val="11"/>
        <color theme="1"/>
        <name val="Calibri"/>
        <scheme val="none"/>
      </font>
    </dxf>
  </rfmt>
  <rfmt sheetId="1" sqref="A528:XFD528" start="0" length="0">
    <dxf>
      <font>
        <sz val="11"/>
        <color theme="1"/>
        <name val="Calibri"/>
        <scheme val="none"/>
      </font>
    </dxf>
  </rfmt>
  <rfmt sheetId="1" sqref="A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2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2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29" start="0" length="0">
    <dxf>
      <font>
        <sz val="11"/>
        <color theme="1"/>
        <name val="Calibri"/>
        <scheme val="none"/>
      </font>
    </dxf>
  </rfmt>
  <rfmt sheetId="1" sqref="AM529" start="0" length="0">
    <dxf>
      <font>
        <sz val="11"/>
        <color theme="1"/>
        <name val="Calibri"/>
        <scheme val="none"/>
      </font>
      <numFmt numFmtId="1" formatCode="0"/>
    </dxf>
  </rfmt>
  <rfmt sheetId="1" sqref="AN529" start="0" length="0">
    <dxf>
      <font>
        <sz val="11"/>
        <color theme="1"/>
        <name val="Calibri"/>
        <scheme val="none"/>
      </font>
      <numFmt numFmtId="1" formatCode="0"/>
    </dxf>
  </rfmt>
  <rfmt sheetId="1" sqref="AO529" start="0" length="0">
    <dxf>
      <font>
        <sz val="11"/>
        <color theme="1"/>
        <name val="Calibri"/>
        <scheme val="none"/>
      </font>
    </dxf>
  </rfmt>
  <rfmt sheetId="1" sqref="AP529" start="0" length="0">
    <dxf>
      <font>
        <sz val="11"/>
        <color theme="1"/>
        <name val="Calibri"/>
        <scheme val="none"/>
      </font>
    </dxf>
  </rfmt>
  <rfmt sheetId="1" sqref="AQ529" start="0" length="0">
    <dxf>
      <font>
        <sz val="11"/>
        <color theme="1"/>
        <name val="Calibri"/>
        <scheme val="none"/>
      </font>
      <numFmt numFmtId="164" formatCode="_-* #,##0_-;\-* #,##0_-;_-* &quot;-&quot;??_-;_-@_-"/>
    </dxf>
  </rfmt>
  <rfmt sheetId="1" sqref="AR529" start="0" length="0">
    <dxf>
      <font>
        <sz val="11"/>
        <color theme="1"/>
        <name val="Calibri"/>
        <scheme val="none"/>
      </font>
      <numFmt numFmtId="164" formatCode="_-* #,##0_-;\-* #,##0_-;_-* &quot;-&quot;??_-;_-@_-"/>
    </dxf>
  </rfmt>
  <rfmt sheetId="1" sqref="AS529" start="0" length="0">
    <dxf>
      <font>
        <sz val="11"/>
        <color theme="1"/>
        <name val="Calibri"/>
        <scheme val="none"/>
      </font>
      <numFmt numFmtId="164" formatCode="_-* #,##0_-;\-* #,##0_-;_-* &quot;-&quot;??_-;_-@_-"/>
    </dxf>
  </rfmt>
  <rfmt sheetId="1" sqref="AT529" start="0" length="0">
    <dxf>
      <font>
        <sz val="11"/>
        <color theme="1"/>
        <name val="Calibri"/>
        <scheme val="none"/>
      </font>
      <numFmt numFmtId="164" formatCode="_-* #,##0_-;\-* #,##0_-;_-* &quot;-&quot;??_-;_-@_-"/>
    </dxf>
  </rfmt>
  <rfmt sheetId="1" sqref="AU529" start="0" length="0">
    <dxf>
      <font>
        <sz val="11"/>
        <color theme="1"/>
        <name val="Calibri"/>
        <scheme val="none"/>
      </font>
    </dxf>
  </rfmt>
  <rfmt sheetId="1" sqref="AV529" start="0" length="0">
    <dxf>
      <font>
        <sz val="11"/>
        <color theme="1"/>
        <name val="Calibri"/>
        <scheme val="none"/>
      </font>
    </dxf>
  </rfmt>
  <rfmt sheetId="1" sqref="AW529" start="0" length="0">
    <dxf>
      <font>
        <sz val="11"/>
        <color theme="1"/>
        <name val="Calibri"/>
        <scheme val="none"/>
      </font>
    </dxf>
  </rfmt>
  <rfmt sheetId="1" sqref="AX529" start="0" length="0">
    <dxf>
      <font>
        <sz val="11"/>
        <color theme="1"/>
        <name val="Calibri"/>
        <scheme val="none"/>
      </font>
    </dxf>
  </rfmt>
  <rfmt sheetId="1" sqref="AY529" start="0" length="0">
    <dxf>
      <font>
        <sz val="11"/>
        <color theme="1"/>
        <name val="Calibri"/>
        <scheme val="none"/>
      </font>
    </dxf>
  </rfmt>
  <rfmt sheetId="1" sqref="A529:XFD529" start="0" length="0">
    <dxf>
      <font>
        <sz val="11"/>
        <color theme="1"/>
        <name val="Calibri"/>
        <scheme val="none"/>
      </font>
    </dxf>
  </rfmt>
  <rfmt sheetId="1" sqref="A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3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3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30" start="0" length="0">
    <dxf>
      <font>
        <sz val="11"/>
        <color theme="1"/>
        <name val="Calibri"/>
        <scheme val="none"/>
      </font>
    </dxf>
  </rfmt>
  <rfmt sheetId="1" sqref="AM530" start="0" length="0">
    <dxf>
      <font>
        <sz val="11"/>
        <color theme="1"/>
        <name val="Calibri"/>
        <scheme val="none"/>
      </font>
      <numFmt numFmtId="1" formatCode="0"/>
    </dxf>
  </rfmt>
  <rfmt sheetId="1" sqref="AN530" start="0" length="0">
    <dxf>
      <font>
        <sz val="11"/>
        <color theme="1"/>
        <name val="Calibri"/>
        <scheme val="none"/>
      </font>
      <numFmt numFmtId="1" formatCode="0"/>
    </dxf>
  </rfmt>
  <rfmt sheetId="1" sqref="AO530" start="0" length="0">
    <dxf>
      <font>
        <sz val="11"/>
        <color theme="1"/>
        <name val="Calibri"/>
        <scheme val="none"/>
      </font>
    </dxf>
  </rfmt>
  <rfmt sheetId="1" sqref="AP530" start="0" length="0">
    <dxf>
      <font>
        <sz val="11"/>
        <color theme="1"/>
        <name val="Calibri"/>
        <scheme val="none"/>
      </font>
    </dxf>
  </rfmt>
  <rfmt sheetId="1" sqref="AQ530" start="0" length="0">
    <dxf>
      <font>
        <sz val="11"/>
        <color theme="1"/>
        <name val="Calibri"/>
        <scheme val="none"/>
      </font>
      <numFmt numFmtId="164" formatCode="_-* #,##0_-;\-* #,##0_-;_-* &quot;-&quot;??_-;_-@_-"/>
    </dxf>
  </rfmt>
  <rfmt sheetId="1" sqref="AR530" start="0" length="0">
    <dxf>
      <font>
        <sz val="11"/>
        <color theme="1"/>
        <name val="Calibri"/>
        <scheme val="none"/>
      </font>
      <numFmt numFmtId="164" formatCode="_-* #,##0_-;\-* #,##0_-;_-* &quot;-&quot;??_-;_-@_-"/>
    </dxf>
  </rfmt>
  <rfmt sheetId="1" sqref="AS530" start="0" length="0">
    <dxf>
      <font>
        <sz val="11"/>
        <color theme="1"/>
        <name val="Calibri"/>
        <scheme val="none"/>
      </font>
      <numFmt numFmtId="164" formatCode="_-* #,##0_-;\-* #,##0_-;_-* &quot;-&quot;??_-;_-@_-"/>
    </dxf>
  </rfmt>
  <rfmt sheetId="1" sqref="AT530" start="0" length="0">
    <dxf>
      <font>
        <sz val="11"/>
        <color theme="1"/>
        <name val="Calibri"/>
        <scheme val="none"/>
      </font>
      <numFmt numFmtId="164" formatCode="_-* #,##0_-;\-* #,##0_-;_-* &quot;-&quot;??_-;_-@_-"/>
    </dxf>
  </rfmt>
  <rfmt sheetId="1" sqref="AU530" start="0" length="0">
    <dxf>
      <font>
        <sz val="11"/>
        <color theme="1"/>
        <name val="Calibri"/>
        <scheme val="none"/>
      </font>
    </dxf>
  </rfmt>
  <rfmt sheetId="1" sqref="AV530" start="0" length="0">
    <dxf>
      <font>
        <sz val="11"/>
        <color theme="1"/>
        <name val="Calibri"/>
        <scheme val="none"/>
      </font>
    </dxf>
  </rfmt>
  <rfmt sheetId="1" sqref="AW530" start="0" length="0">
    <dxf>
      <font>
        <sz val="11"/>
        <color theme="1"/>
        <name val="Calibri"/>
        <scheme val="none"/>
      </font>
    </dxf>
  </rfmt>
  <rfmt sheetId="1" sqref="AX530" start="0" length="0">
    <dxf>
      <font>
        <sz val="11"/>
        <color theme="1"/>
        <name val="Calibri"/>
        <scheme val="none"/>
      </font>
    </dxf>
  </rfmt>
  <rfmt sheetId="1" sqref="AY530" start="0" length="0">
    <dxf>
      <font>
        <sz val="11"/>
        <color theme="1"/>
        <name val="Calibri"/>
        <scheme val="none"/>
      </font>
    </dxf>
  </rfmt>
  <rfmt sheetId="1" sqref="A530:XFD530" start="0" length="0">
    <dxf>
      <font>
        <sz val="11"/>
        <color theme="1"/>
        <name val="Calibri"/>
        <scheme val="none"/>
      </font>
    </dxf>
  </rfmt>
  <rfmt sheetId="1" sqref="A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3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3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31" start="0" length="0">
    <dxf>
      <font>
        <sz val="11"/>
        <color theme="1"/>
        <name val="Calibri"/>
        <scheme val="none"/>
      </font>
    </dxf>
  </rfmt>
  <rfmt sheetId="1" sqref="AM531" start="0" length="0">
    <dxf>
      <font>
        <sz val="11"/>
        <color theme="1"/>
        <name val="Calibri"/>
        <scheme val="none"/>
      </font>
      <numFmt numFmtId="1" formatCode="0"/>
    </dxf>
  </rfmt>
  <rfmt sheetId="1" sqref="AN531" start="0" length="0">
    <dxf>
      <font>
        <sz val="11"/>
        <color theme="1"/>
        <name val="Calibri"/>
        <scheme val="none"/>
      </font>
      <numFmt numFmtId="1" formatCode="0"/>
    </dxf>
  </rfmt>
  <rfmt sheetId="1" sqref="AO531" start="0" length="0">
    <dxf>
      <font>
        <sz val="11"/>
        <color theme="1"/>
        <name val="Calibri"/>
        <scheme val="none"/>
      </font>
    </dxf>
  </rfmt>
  <rfmt sheetId="1" sqref="AP531" start="0" length="0">
    <dxf>
      <font>
        <sz val="11"/>
        <color theme="1"/>
        <name val="Calibri"/>
        <scheme val="none"/>
      </font>
    </dxf>
  </rfmt>
  <rfmt sheetId="1" sqref="AQ531" start="0" length="0">
    <dxf>
      <font>
        <sz val="11"/>
        <color theme="1"/>
        <name val="Calibri"/>
        <scheme val="none"/>
      </font>
      <numFmt numFmtId="164" formatCode="_-* #,##0_-;\-* #,##0_-;_-* &quot;-&quot;??_-;_-@_-"/>
    </dxf>
  </rfmt>
  <rfmt sheetId="1" sqref="AR531" start="0" length="0">
    <dxf>
      <font>
        <sz val="11"/>
        <color theme="1"/>
        <name val="Calibri"/>
        <scheme val="none"/>
      </font>
      <numFmt numFmtId="164" formatCode="_-* #,##0_-;\-* #,##0_-;_-* &quot;-&quot;??_-;_-@_-"/>
    </dxf>
  </rfmt>
  <rfmt sheetId="1" sqref="AS531" start="0" length="0">
    <dxf>
      <font>
        <sz val="11"/>
        <color theme="1"/>
        <name val="Calibri"/>
        <scheme val="none"/>
      </font>
      <numFmt numFmtId="164" formatCode="_-* #,##0_-;\-* #,##0_-;_-* &quot;-&quot;??_-;_-@_-"/>
    </dxf>
  </rfmt>
  <rfmt sheetId="1" sqref="AT531" start="0" length="0">
    <dxf>
      <font>
        <sz val="11"/>
        <color theme="1"/>
        <name val="Calibri"/>
        <scheme val="none"/>
      </font>
      <numFmt numFmtId="164" formatCode="_-* #,##0_-;\-* #,##0_-;_-* &quot;-&quot;??_-;_-@_-"/>
    </dxf>
  </rfmt>
  <rfmt sheetId="1" sqref="AU531" start="0" length="0">
    <dxf>
      <font>
        <sz val="11"/>
        <color theme="1"/>
        <name val="Calibri"/>
        <scheme val="none"/>
      </font>
    </dxf>
  </rfmt>
  <rfmt sheetId="1" sqref="AV531" start="0" length="0">
    <dxf>
      <font>
        <sz val="11"/>
        <color theme="1"/>
        <name val="Calibri"/>
        <scheme val="none"/>
      </font>
    </dxf>
  </rfmt>
  <rfmt sheetId="1" sqref="AW531" start="0" length="0">
    <dxf>
      <font>
        <sz val="11"/>
        <color theme="1"/>
        <name val="Calibri"/>
        <scheme val="none"/>
      </font>
    </dxf>
  </rfmt>
  <rfmt sheetId="1" sqref="AX531" start="0" length="0">
    <dxf>
      <font>
        <sz val="11"/>
        <color theme="1"/>
        <name val="Calibri"/>
        <scheme val="none"/>
      </font>
    </dxf>
  </rfmt>
  <rfmt sheetId="1" sqref="AY531" start="0" length="0">
    <dxf>
      <font>
        <sz val="11"/>
        <color theme="1"/>
        <name val="Calibri"/>
        <scheme val="none"/>
      </font>
    </dxf>
  </rfmt>
  <rfmt sheetId="1" sqref="A531:XFD531" start="0" length="0">
    <dxf>
      <font>
        <sz val="11"/>
        <color theme="1"/>
        <name val="Calibri"/>
        <scheme val="none"/>
      </font>
    </dxf>
  </rfmt>
  <rfmt sheetId="1" sqref="A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3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3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32" start="0" length="0">
    <dxf>
      <font>
        <sz val="11"/>
        <color theme="1"/>
        <name val="Calibri"/>
        <scheme val="none"/>
      </font>
    </dxf>
  </rfmt>
  <rfmt sheetId="1" sqref="AM532" start="0" length="0">
    <dxf>
      <font>
        <sz val="11"/>
        <color theme="1"/>
        <name val="Calibri"/>
        <scheme val="none"/>
      </font>
      <numFmt numFmtId="1" formatCode="0"/>
    </dxf>
  </rfmt>
  <rfmt sheetId="1" sqref="AN532" start="0" length="0">
    <dxf>
      <font>
        <sz val="11"/>
        <color theme="1"/>
        <name val="Calibri"/>
        <scheme val="none"/>
      </font>
      <numFmt numFmtId="1" formatCode="0"/>
    </dxf>
  </rfmt>
  <rfmt sheetId="1" sqref="AO532" start="0" length="0">
    <dxf>
      <font>
        <sz val="11"/>
        <color theme="1"/>
        <name val="Calibri"/>
        <scheme val="none"/>
      </font>
    </dxf>
  </rfmt>
  <rfmt sheetId="1" sqref="AP532" start="0" length="0">
    <dxf>
      <font>
        <sz val="11"/>
        <color theme="1"/>
        <name val="Calibri"/>
        <scheme val="none"/>
      </font>
    </dxf>
  </rfmt>
  <rfmt sheetId="1" sqref="AQ532" start="0" length="0">
    <dxf>
      <font>
        <sz val="11"/>
        <color theme="1"/>
        <name val="Calibri"/>
        <scheme val="none"/>
      </font>
      <numFmt numFmtId="164" formatCode="_-* #,##0_-;\-* #,##0_-;_-* &quot;-&quot;??_-;_-@_-"/>
    </dxf>
  </rfmt>
  <rfmt sheetId="1" sqref="AR532" start="0" length="0">
    <dxf>
      <font>
        <sz val="11"/>
        <color theme="1"/>
        <name val="Calibri"/>
        <scheme val="none"/>
      </font>
      <numFmt numFmtId="164" formatCode="_-* #,##0_-;\-* #,##0_-;_-* &quot;-&quot;??_-;_-@_-"/>
    </dxf>
  </rfmt>
  <rfmt sheetId="1" sqref="AS532" start="0" length="0">
    <dxf>
      <font>
        <sz val="11"/>
        <color theme="1"/>
        <name val="Calibri"/>
        <scheme val="none"/>
      </font>
      <numFmt numFmtId="164" formatCode="_-* #,##0_-;\-* #,##0_-;_-* &quot;-&quot;??_-;_-@_-"/>
    </dxf>
  </rfmt>
  <rfmt sheetId="1" sqref="AT532" start="0" length="0">
    <dxf>
      <font>
        <sz val="11"/>
        <color theme="1"/>
        <name val="Calibri"/>
        <scheme val="none"/>
      </font>
      <numFmt numFmtId="164" formatCode="_-* #,##0_-;\-* #,##0_-;_-* &quot;-&quot;??_-;_-@_-"/>
    </dxf>
  </rfmt>
  <rfmt sheetId="1" sqref="AU532" start="0" length="0">
    <dxf>
      <font>
        <sz val="11"/>
        <color theme="1"/>
        <name val="Calibri"/>
        <scheme val="none"/>
      </font>
    </dxf>
  </rfmt>
  <rfmt sheetId="1" sqref="AV532" start="0" length="0">
    <dxf>
      <font>
        <sz val="11"/>
        <color theme="1"/>
        <name val="Calibri"/>
        <scheme val="none"/>
      </font>
    </dxf>
  </rfmt>
  <rfmt sheetId="1" sqref="AW532" start="0" length="0">
    <dxf>
      <font>
        <sz val="11"/>
        <color theme="1"/>
        <name val="Calibri"/>
        <scheme val="none"/>
      </font>
    </dxf>
  </rfmt>
  <rfmt sheetId="1" sqref="AX532" start="0" length="0">
    <dxf>
      <font>
        <sz val="11"/>
        <color theme="1"/>
        <name val="Calibri"/>
        <scheme val="none"/>
      </font>
    </dxf>
  </rfmt>
  <rfmt sheetId="1" sqref="AY532" start="0" length="0">
    <dxf>
      <font>
        <sz val="11"/>
        <color theme="1"/>
        <name val="Calibri"/>
        <scheme val="none"/>
      </font>
    </dxf>
  </rfmt>
  <rfmt sheetId="1" sqref="A532:XFD532" start="0" length="0">
    <dxf>
      <font>
        <sz val="11"/>
        <color theme="1"/>
        <name val="Calibri"/>
        <scheme val="none"/>
      </font>
    </dxf>
  </rfmt>
  <rfmt sheetId="1" sqref="A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3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3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33" start="0" length="0">
    <dxf>
      <font>
        <sz val="11"/>
        <color theme="1"/>
        <name val="Calibri"/>
        <scheme val="none"/>
      </font>
    </dxf>
  </rfmt>
  <rfmt sheetId="1" sqref="AM533" start="0" length="0">
    <dxf>
      <font>
        <sz val="11"/>
        <color theme="1"/>
        <name val="Calibri"/>
        <scheme val="none"/>
      </font>
      <numFmt numFmtId="1" formatCode="0"/>
    </dxf>
  </rfmt>
  <rfmt sheetId="1" sqref="AN533" start="0" length="0">
    <dxf>
      <font>
        <sz val="11"/>
        <color theme="1"/>
        <name val="Calibri"/>
        <scheme val="none"/>
      </font>
      <numFmt numFmtId="1" formatCode="0"/>
    </dxf>
  </rfmt>
  <rfmt sheetId="1" sqref="AO533" start="0" length="0">
    <dxf>
      <font>
        <sz val="11"/>
        <color theme="1"/>
        <name val="Calibri"/>
        <scheme val="none"/>
      </font>
    </dxf>
  </rfmt>
  <rfmt sheetId="1" sqref="AP533" start="0" length="0">
    <dxf>
      <font>
        <sz val="11"/>
        <color theme="1"/>
        <name val="Calibri"/>
        <scheme val="none"/>
      </font>
    </dxf>
  </rfmt>
  <rfmt sheetId="1" sqref="AQ533" start="0" length="0">
    <dxf>
      <font>
        <sz val="11"/>
        <color theme="1"/>
        <name val="Calibri"/>
        <scheme val="none"/>
      </font>
      <numFmt numFmtId="164" formatCode="_-* #,##0_-;\-* #,##0_-;_-* &quot;-&quot;??_-;_-@_-"/>
    </dxf>
  </rfmt>
  <rfmt sheetId="1" sqref="AR533" start="0" length="0">
    <dxf>
      <font>
        <sz val="11"/>
        <color theme="1"/>
        <name val="Calibri"/>
        <scheme val="none"/>
      </font>
      <numFmt numFmtId="164" formatCode="_-* #,##0_-;\-* #,##0_-;_-* &quot;-&quot;??_-;_-@_-"/>
    </dxf>
  </rfmt>
  <rfmt sheetId="1" sqref="AS533" start="0" length="0">
    <dxf>
      <font>
        <sz val="11"/>
        <color theme="1"/>
        <name val="Calibri"/>
        <scheme val="none"/>
      </font>
      <numFmt numFmtId="164" formatCode="_-* #,##0_-;\-* #,##0_-;_-* &quot;-&quot;??_-;_-@_-"/>
    </dxf>
  </rfmt>
  <rfmt sheetId="1" sqref="AT533" start="0" length="0">
    <dxf>
      <font>
        <sz val="11"/>
        <color theme="1"/>
        <name val="Calibri"/>
        <scheme val="none"/>
      </font>
      <numFmt numFmtId="164" formatCode="_-* #,##0_-;\-* #,##0_-;_-* &quot;-&quot;??_-;_-@_-"/>
    </dxf>
  </rfmt>
  <rfmt sheetId="1" sqref="AU533" start="0" length="0">
    <dxf>
      <font>
        <sz val="11"/>
        <color theme="1"/>
        <name val="Calibri"/>
        <scheme val="none"/>
      </font>
    </dxf>
  </rfmt>
  <rfmt sheetId="1" sqref="AV533" start="0" length="0">
    <dxf>
      <font>
        <sz val="11"/>
        <color theme="1"/>
        <name val="Calibri"/>
        <scheme val="none"/>
      </font>
    </dxf>
  </rfmt>
  <rfmt sheetId="1" sqref="AW533" start="0" length="0">
    <dxf>
      <font>
        <sz val="11"/>
        <color theme="1"/>
        <name val="Calibri"/>
        <scheme val="none"/>
      </font>
    </dxf>
  </rfmt>
  <rfmt sheetId="1" sqref="AX533" start="0" length="0">
    <dxf>
      <font>
        <sz val="11"/>
        <color theme="1"/>
        <name val="Calibri"/>
        <scheme val="none"/>
      </font>
    </dxf>
  </rfmt>
  <rfmt sheetId="1" sqref="AY533" start="0" length="0">
    <dxf>
      <font>
        <sz val="11"/>
        <color theme="1"/>
        <name val="Calibri"/>
        <scheme val="none"/>
      </font>
    </dxf>
  </rfmt>
  <rfmt sheetId="1" sqref="A533:XFD533" start="0" length="0">
    <dxf>
      <font>
        <sz val="11"/>
        <color theme="1"/>
        <name val="Calibri"/>
        <scheme val="none"/>
      </font>
    </dxf>
  </rfmt>
  <rfmt sheetId="1" sqref="A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3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3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34" start="0" length="0">
    <dxf>
      <font>
        <sz val="11"/>
        <color theme="1"/>
        <name val="Calibri"/>
        <scheme val="none"/>
      </font>
    </dxf>
  </rfmt>
  <rfmt sheetId="1" sqref="AM534" start="0" length="0">
    <dxf>
      <font>
        <sz val="11"/>
        <color theme="1"/>
        <name val="Calibri"/>
        <scheme val="none"/>
      </font>
      <numFmt numFmtId="1" formatCode="0"/>
    </dxf>
  </rfmt>
  <rfmt sheetId="1" sqref="AN534" start="0" length="0">
    <dxf>
      <font>
        <sz val="11"/>
        <color theme="1"/>
        <name val="Calibri"/>
        <scheme val="none"/>
      </font>
      <numFmt numFmtId="1" formatCode="0"/>
    </dxf>
  </rfmt>
  <rfmt sheetId="1" sqref="AO534" start="0" length="0">
    <dxf>
      <font>
        <sz val="11"/>
        <color theme="1"/>
        <name val="Calibri"/>
        <scheme val="none"/>
      </font>
    </dxf>
  </rfmt>
  <rfmt sheetId="1" sqref="AP534" start="0" length="0">
    <dxf>
      <font>
        <sz val="11"/>
        <color theme="1"/>
        <name val="Calibri"/>
        <scheme val="none"/>
      </font>
    </dxf>
  </rfmt>
  <rfmt sheetId="1" sqref="AQ534" start="0" length="0">
    <dxf>
      <font>
        <sz val="11"/>
        <color theme="1"/>
        <name val="Calibri"/>
        <scheme val="none"/>
      </font>
      <numFmt numFmtId="164" formatCode="_-* #,##0_-;\-* #,##0_-;_-* &quot;-&quot;??_-;_-@_-"/>
    </dxf>
  </rfmt>
  <rfmt sheetId="1" sqref="AR534" start="0" length="0">
    <dxf>
      <font>
        <sz val="11"/>
        <color theme="1"/>
        <name val="Calibri"/>
        <scheme val="none"/>
      </font>
      <numFmt numFmtId="164" formatCode="_-* #,##0_-;\-* #,##0_-;_-* &quot;-&quot;??_-;_-@_-"/>
    </dxf>
  </rfmt>
  <rfmt sheetId="1" sqref="AS534" start="0" length="0">
    <dxf>
      <font>
        <sz val="11"/>
        <color theme="1"/>
        <name val="Calibri"/>
        <scheme val="none"/>
      </font>
      <numFmt numFmtId="164" formatCode="_-* #,##0_-;\-* #,##0_-;_-* &quot;-&quot;??_-;_-@_-"/>
    </dxf>
  </rfmt>
  <rfmt sheetId="1" sqref="AT534" start="0" length="0">
    <dxf>
      <font>
        <sz val="11"/>
        <color theme="1"/>
        <name val="Calibri"/>
        <scheme val="none"/>
      </font>
      <numFmt numFmtId="164" formatCode="_-* #,##0_-;\-* #,##0_-;_-* &quot;-&quot;??_-;_-@_-"/>
    </dxf>
  </rfmt>
  <rfmt sheetId="1" sqref="AU534" start="0" length="0">
    <dxf>
      <font>
        <sz val="11"/>
        <color theme="1"/>
        <name val="Calibri"/>
        <scheme val="none"/>
      </font>
    </dxf>
  </rfmt>
  <rfmt sheetId="1" sqref="AV534" start="0" length="0">
    <dxf>
      <font>
        <sz val="11"/>
        <color theme="1"/>
        <name val="Calibri"/>
        <scheme val="none"/>
      </font>
    </dxf>
  </rfmt>
  <rfmt sheetId="1" sqref="AW534" start="0" length="0">
    <dxf>
      <font>
        <sz val="11"/>
        <color theme="1"/>
        <name val="Calibri"/>
        <scheme val="none"/>
      </font>
    </dxf>
  </rfmt>
  <rfmt sheetId="1" sqref="AX534" start="0" length="0">
    <dxf>
      <font>
        <sz val="11"/>
        <color theme="1"/>
        <name val="Calibri"/>
        <scheme val="none"/>
      </font>
    </dxf>
  </rfmt>
  <rfmt sheetId="1" sqref="AY534" start="0" length="0">
    <dxf>
      <font>
        <sz val="11"/>
        <color theme="1"/>
        <name val="Calibri"/>
        <scheme val="none"/>
      </font>
    </dxf>
  </rfmt>
  <rfmt sheetId="1" sqref="A534:XFD534" start="0" length="0">
    <dxf>
      <font>
        <sz val="11"/>
        <color theme="1"/>
        <name val="Calibri"/>
        <scheme val="none"/>
      </font>
    </dxf>
  </rfmt>
  <rfmt sheetId="1" sqref="A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3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3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35" start="0" length="0">
    <dxf>
      <font>
        <sz val="11"/>
        <color theme="1"/>
        <name val="Calibri"/>
        <scheme val="none"/>
      </font>
    </dxf>
  </rfmt>
  <rfmt sheetId="1" sqref="AM535" start="0" length="0">
    <dxf>
      <font>
        <sz val="11"/>
        <color theme="1"/>
        <name val="Calibri"/>
        <scheme val="none"/>
      </font>
      <numFmt numFmtId="1" formatCode="0"/>
    </dxf>
  </rfmt>
  <rfmt sheetId="1" sqref="AN535" start="0" length="0">
    <dxf>
      <font>
        <sz val="11"/>
        <color theme="1"/>
        <name val="Calibri"/>
        <scheme val="none"/>
      </font>
      <numFmt numFmtId="1" formatCode="0"/>
    </dxf>
  </rfmt>
  <rfmt sheetId="1" sqref="AO535" start="0" length="0">
    <dxf>
      <font>
        <sz val="11"/>
        <color theme="1"/>
        <name val="Calibri"/>
        <scheme val="none"/>
      </font>
    </dxf>
  </rfmt>
  <rfmt sheetId="1" sqref="AP535" start="0" length="0">
    <dxf>
      <font>
        <sz val="11"/>
        <color theme="1"/>
        <name val="Calibri"/>
        <scheme val="none"/>
      </font>
    </dxf>
  </rfmt>
  <rfmt sheetId="1" sqref="AQ535" start="0" length="0">
    <dxf>
      <font>
        <sz val="11"/>
        <color theme="1"/>
        <name val="Calibri"/>
        <scheme val="none"/>
      </font>
      <numFmt numFmtId="164" formatCode="_-* #,##0_-;\-* #,##0_-;_-* &quot;-&quot;??_-;_-@_-"/>
    </dxf>
  </rfmt>
  <rfmt sheetId="1" sqref="AR535" start="0" length="0">
    <dxf>
      <font>
        <sz val="11"/>
        <color theme="1"/>
        <name val="Calibri"/>
        <scheme val="none"/>
      </font>
      <numFmt numFmtId="164" formatCode="_-* #,##0_-;\-* #,##0_-;_-* &quot;-&quot;??_-;_-@_-"/>
    </dxf>
  </rfmt>
  <rfmt sheetId="1" sqref="AS535" start="0" length="0">
    <dxf>
      <font>
        <sz val="11"/>
        <color theme="1"/>
        <name val="Calibri"/>
        <scheme val="none"/>
      </font>
      <numFmt numFmtId="164" formatCode="_-* #,##0_-;\-* #,##0_-;_-* &quot;-&quot;??_-;_-@_-"/>
    </dxf>
  </rfmt>
  <rfmt sheetId="1" sqref="AT535" start="0" length="0">
    <dxf>
      <font>
        <sz val="11"/>
        <color theme="1"/>
        <name val="Calibri"/>
        <scheme val="none"/>
      </font>
      <numFmt numFmtId="164" formatCode="_-* #,##0_-;\-* #,##0_-;_-* &quot;-&quot;??_-;_-@_-"/>
    </dxf>
  </rfmt>
  <rfmt sheetId="1" sqref="AU535" start="0" length="0">
    <dxf>
      <font>
        <sz val="11"/>
        <color theme="1"/>
        <name val="Calibri"/>
        <scheme val="none"/>
      </font>
    </dxf>
  </rfmt>
  <rfmt sheetId="1" sqref="AV535" start="0" length="0">
    <dxf>
      <font>
        <sz val="11"/>
        <color theme="1"/>
        <name val="Calibri"/>
        <scheme val="none"/>
      </font>
    </dxf>
  </rfmt>
  <rfmt sheetId="1" sqref="AW535" start="0" length="0">
    <dxf>
      <font>
        <sz val="11"/>
        <color theme="1"/>
        <name val="Calibri"/>
        <scheme val="none"/>
      </font>
    </dxf>
  </rfmt>
  <rfmt sheetId="1" sqref="AX535" start="0" length="0">
    <dxf>
      <font>
        <sz val="11"/>
        <color theme="1"/>
        <name val="Calibri"/>
        <scheme val="none"/>
      </font>
    </dxf>
  </rfmt>
  <rfmt sheetId="1" sqref="AY535" start="0" length="0">
    <dxf>
      <font>
        <sz val="11"/>
        <color theme="1"/>
        <name val="Calibri"/>
        <scheme val="none"/>
      </font>
    </dxf>
  </rfmt>
  <rfmt sheetId="1" sqref="A535:XFD535" start="0" length="0">
    <dxf>
      <font>
        <sz val="11"/>
        <color theme="1"/>
        <name val="Calibri"/>
        <scheme val="none"/>
      </font>
    </dxf>
  </rfmt>
  <rfmt sheetId="1" sqref="A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3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3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36" start="0" length="0">
    <dxf>
      <font>
        <sz val="11"/>
        <color theme="1"/>
        <name val="Calibri"/>
        <scheme val="none"/>
      </font>
    </dxf>
  </rfmt>
  <rfmt sheetId="1" sqref="AM536" start="0" length="0">
    <dxf>
      <font>
        <sz val="11"/>
        <color theme="1"/>
        <name val="Calibri"/>
        <scheme val="none"/>
      </font>
      <numFmt numFmtId="1" formatCode="0"/>
    </dxf>
  </rfmt>
  <rfmt sheetId="1" sqref="AN536" start="0" length="0">
    <dxf>
      <font>
        <sz val="11"/>
        <color theme="1"/>
        <name val="Calibri"/>
        <scheme val="none"/>
      </font>
      <numFmt numFmtId="1" formatCode="0"/>
    </dxf>
  </rfmt>
  <rfmt sheetId="1" sqref="AO536" start="0" length="0">
    <dxf>
      <font>
        <sz val="11"/>
        <color theme="1"/>
        <name val="Calibri"/>
        <scheme val="none"/>
      </font>
    </dxf>
  </rfmt>
  <rfmt sheetId="1" sqref="AP536" start="0" length="0">
    <dxf>
      <font>
        <sz val="11"/>
        <color theme="1"/>
        <name val="Calibri"/>
        <scheme val="none"/>
      </font>
    </dxf>
  </rfmt>
  <rfmt sheetId="1" sqref="AQ536" start="0" length="0">
    <dxf>
      <font>
        <sz val="11"/>
        <color theme="1"/>
        <name val="Calibri"/>
        <scheme val="none"/>
      </font>
      <numFmt numFmtId="164" formatCode="_-* #,##0_-;\-* #,##0_-;_-* &quot;-&quot;??_-;_-@_-"/>
    </dxf>
  </rfmt>
  <rfmt sheetId="1" sqref="AR536" start="0" length="0">
    <dxf>
      <font>
        <sz val="11"/>
        <color theme="1"/>
        <name val="Calibri"/>
        <scheme val="none"/>
      </font>
      <numFmt numFmtId="164" formatCode="_-* #,##0_-;\-* #,##0_-;_-* &quot;-&quot;??_-;_-@_-"/>
    </dxf>
  </rfmt>
  <rfmt sheetId="1" sqref="AS536" start="0" length="0">
    <dxf>
      <font>
        <sz val="11"/>
        <color theme="1"/>
        <name val="Calibri"/>
        <scheme val="none"/>
      </font>
      <numFmt numFmtId="164" formatCode="_-* #,##0_-;\-* #,##0_-;_-* &quot;-&quot;??_-;_-@_-"/>
    </dxf>
  </rfmt>
  <rfmt sheetId="1" sqref="AT536" start="0" length="0">
    <dxf>
      <font>
        <sz val="11"/>
        <color theme="1"/>
        <name val="Calibri"/>
        <scheme val="none"/>
      </font>
      <numFmt numFmtId="164" formatCode="_-* #,##0_-;\-* #,##0_-;_-* &quot;-&quot;??_-;_-@_-"/>
    </dxf>
  </rfmt>
  <rfmt sheetId="1" sqref="AU536" start="0" length="0">
    <dxf>
      <font>
        <sz val="11"/>
        <color theme="1"/>
        <name val="Calibri"/>
        <scheme val="none"/>
      </font>
    </dxf>
  </rfmt>
  <rfmt sheetId="1" sqref="AV536" start="0" length="0">
    <dxf>
      <font>
        <sz val="11"/>
        <color theme="1"/>
        <name val="Calibri"/>
        <scheme val="none"/>
      </font>
    </dxf>
  </rfmt>
  <rfmt sheetId="1" sqref="AW536" start="0" length="0">
    <dxf>
      <font>
        <sz val="11"/>
        <color theme="1"/>
        <name val="Calibri"/>
        <scheme val="none"/>
      </font>
    </dxf>
  </rfmt>
  <rfmt sheetId="1" sqref="AX536" start="0" length="0">
    <dxf>
      <font>
        <sz val="11"/>
        <color theme="1"/>
        <name val="Calibri"/>
        <scheme val="none"/>
      </font>
    </dxf>
  </rfmt>
  <rfmt sheetId="1" sqref="AY536" start="0" length="0">
    <dxf>
      <font>
        <sz val="11"/>
        <color theme="1"/>
        <name val="Calibri"/>
        <scheme val="none"/>
      </font>
    </dxf>
  </rfmt>
  <rfmt sheetId="1" sqref="A536:XFD536" start="0" length="0">
    <dxf>
      <font>
        <sz val="11"/>
        <color theme="1"/>
        <name val="Calibri"/>
        <scheme val="none"/>
      </font>
    </dxf>
  </rfmt>
  <rfmt sheetId="1" sqref="A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3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3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37" start="0" length="0">
    <dxf>
      <font>
        <sz val="11"/>
        <color theme="1"/>
        <name val="Calibri"/>
        <scheme val="none"/>
      </font>
    </dxf>
  </rfmt>
  <rfmt sheetId="1" sqref="AM537" start="0" length="0">
    <dxf>
      <font>
        <sz val="11"/>
        <color theme="1"/>
        <name val="Calibri"/>
        <scheme val="none"/>
      </font>
      <numFmt numFmtId="1" formatCode="0"/>
    </dxf>
  </rfmt>
  <rfmt sheetId="1" sqref="AN537" start="0" length="0">
    <dxf>
      <font>
        <sz val="11"/>
        <color theme="1"/>
        <name val="Calibri"/>
        <scheme val="none"/>
      </font>
      <numFmt numFmtId="1" formatCode="0"/>
    </dxf>
  </rfmt>
  <rfmt sheetId="1" sqref="AO537" start="0" length="0">
    <dxf>
      <font>
        <sz val="11"/>
        <color theme="1"/>
        <name val="Calibri"/>
        <scheme val="none"/>
      </font>
    </dxf>
  </rfmt>
  <rfmt sheetId="1" sqref="AP537" start="0" length="0">
    <dxf>
      <font>
        <sz val="11"/>
        <color theme="1"/>
        <name val="Calibri"/>
        <scheme val="none"/>
      </font>
    </dxf>
  </rfmt>
  <rfmt sheetId="1" sqref="AQ537" start="0" length="0">
    <dxf>
      <font>
        <sz val="11"/>
        <color theme="1"/>
        <name val="Calibri"/>
        <scheme val="none"/>
      </font>
      <numFmt numFmtId="164" formatCode="_-* #,##0_-;\-* #,##0_-;_-* &quot;-&quot;??_-;_-@_-"/>
    </dxf>
  </rfmt>
  <rfmt sheetId="1" sqref="AR537" start="0" length="0">
    <dxf>
      <font>
        <sz val="11"/>
        <color theme="1"/>
        <name val="Calibri"/>
        <scheme val="none"/>
      </font>
      <numFmt numFmtId="164" formatCode="_-* #,##0_-;\-* #,##0_-;_-* &quot;-&quot;??_-;_-@_-"/>
    </dxf>
  </rfmt>
  <rfmt sheetId="1" sqref="AS537" start="0" length="0">
    <dxf>
      <font>
        <sz val="11"/>
        <color theme="1"/>
        <name val="Calibri"/>
        <scheme val="none"/>
      </font>
      <numFmt numFmtId="164" formatCode="_-* #,##0_-;\-* #,##0_-;_-* &quot;-&quot;??_-;_-@_-"/>
    </dxf>
  </rfmt>
  <rfmt sheetId="1" sqref="AT537" start="0" length="0">
    <dxf>
      <font>
        <sz val="11"/>
        <color theme="1"/>
        <name val="Calibri"/>
        <scheme val="none"/>
      </font>
      <numFmt numFmtId="164" formatCode="_-* #,##0_-;\-* #,##0_-;_-* &quot;-&quot;??_-;_-@_-"/>
    </dxf>
  </rfmt>
  <rfmt sheetId="1" sqref="AU537" start="0" length="0">
    <dxf>
      <font>
        <sz val="11"/>
        <color theme="1"/>
        <name val="Calibri"/>
        <scheme val="none"/>
      </font>
    </dxf>
  </rfmt>
  <rfmt sheetId="1" sqref="AV537" start="0" length="0">
    <dxf>
      <font>
        <sz val="11"/>
        <color theme="1"/>
        <name val="Calibri"/>
        <scheme val="none"/>
      </font>
    </dxf>
  </rfmt>
  <rfmt sheetId="1" sqref="AW537" start="0" length="0">
    <dxf>
      <font>
        <sz val="11"/>
        <color theme="1"/>
        <name val="Calibri"/>
        <scheme val="none"/>
      </font>
    </dxf>
  </rfmt>
  <rfmt sheetId="1" sqref="AX537" start="0" length="0">
    <dxf>
      <font>
        <sz val="11"/>
        <color theme="1"/>
        <name val="Calibri"/>
        <scheme val="none"/>
      </font>
    </dxf>
  </rfmt>
  <rfmt sheetId="1" sqref="AY537" start="0" length="0">
    <dxf>
      <font>
        <sz val="11"/>
        <color theme="1"/>
        <name val="Calibri"/>
        <scheme val="none"/>
      </font>
    </dxf>
  </rfmt>
  <rfmt sheetId="1" sqref="A537:XFD537" start="0" length="0">
    <dxf>
      <font>
        <sz val="11"/>
        <color theme="1"/>
        <name val="Calibri"/>
        <scheme val="none"/>
      </font>
    </dxf>
  </rfmt>
  <rfmt sheetId="1" sqref="A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3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3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38" start="0" length="0">
    <dxf>
      <font>
        <sz val="11"/>
        <color theme="1"/>
        <name val="Calibri"/>
        <scheme val="none"/>
      </font>
    </dxf>
  </rfmt>
  <rfmt sheetId="1" sqref="AM538" start="0" length="0">
    <dxf>
      <font>
        <sz val="11"/>
        <color theme="1"/>
        <name val="Calibri"/>
        <scheme val="none"/>
      </font>
      <numFmt numFmtId="1" formatCode="0"/>
    </dxf>
  </rfmt>
  <rfmt sheetId="1" sqref="AN538" start="0" length="0">
    <dxf>
      <font>
        <sz val="11"/>
        <color theme="1"/>
        <name val="Calibri"/>
        <scheme val="none"/>
      </font>
      <numFmt numFmtId="1" formatCode="0"/>
    </dxf>
  </rfmt>
  <rfmt sheetId="1" sqref="AO538" start="0" length="0">
    <dxf>
      <font>
        <sz val="11"/>
        <color theme="1"/>
        <name val="Calibri"/>
        <scheme val="none"/>
      </font>
    </dxf>
  </rfmt>
  <rfmt sheetId="1" sqref="AP538" start="0" length="0">
    <dxf>
      <font>
        <sz val="11"/>
        <color theme="1"/>
        <name val="Calibri"/>
        <scheme val="none"/>
      </font>
    </dxf>
  </rfmt>
  <rfmt sheetId="1" sqref="AQ538" start="0" length="0">
    <dxf>
      <font>
        <sz val="11"/>
        <color theme="1"/>
        <name val="Calibri"/>
        <scheme val="none"/>
      </font>
      <numFmt numFmtId="164" formatCode="_-* #,##0_-;\-* #,##0_-;_-* &quot;-&quot;??_-;_-@_-"/>
    </dxf>
  </rfmt>
  <rfmt sheetId="1" sqref="AR538" start="0" length="0">
    <dxf>
      <font>
        <sz val="11"/>
        <color theme="1"/>
        <name val="Calibri"/>
        <scheme val="none"/>
      </font>
      <numFmt numFmtId="164" formatCode="_-* #,##0_-;\-* #,##0_-;_-* &quot;-&quot;??_-;_-@_-"/>
    </dxf>
  </rfmt>
  <rfmt sheetId="1" sqref="AS538" start="0" length="0">
    <dxf>
      <font>
        <sz val="11"/>
        <color theme="1"/>
        <name val="Calibri"/>
        <scheme val="none"/>
      </font>
      <numFmt numFmtId="164" formatCode="_-* #,##0_-;\-* #,##0_-;_-* &quot;-&quot;??_-;_-@_-"/>
    </dxf>
  </rfmt>
  <rfmt sheetId="1" sqref="AT538" start="0" length="0">
    <dxf>
      <font>
        <sz val="11"/>
        <color theme="1"/>
        <name val="Calibri"/>
        <scheme val="none"/>
      </font>
      <numFmt numFmtId="164" formatCode="_-* #,##0_-;\-* #,##0_-;_-* &quot;-&quot;??_-;_-@_-"/>
    </dxf>
  </rfmt>
  <rfmt sheetId="1" sqref="AU538" start="0" length="0">
    <dxf>
      <font>
        <sz val="11"/>
        <color theme="1"/>
        <name val="Calibri"/>
        <scheme val="none"/>
      </font>
    </dxf>
  </rfmt>
  <rfmt sheetId="1" sqref="AV538" start="0" length="0">
    <dxf>
      <font>
        <sz val="11"/>
        <color theme="1"/>
        <name val="Calibri"/>
        <scheme val="none"/>
      </font>
    </dxf>
  </rfmt>
  <rfmt sheetId="1" sqref="AW538" start="0" length="0">
    <dxf>
      <font>
        <sz val="11"/>
        <color theme="1"/>
        <name val="Calibri"/>
        <scheme val="none"/>
      </font>
    </dxf>
  </rfmt>
  <rfmt sheetId="1" sqref="AX538" start="0" length="0">
    <dxf>
      <font>
        <sz val="11"/>
        <color theme="1"/>
        <name val="Calibri"/>
        <scheme val="none"/>
      </font>
    </dxf>
  </rfmt>
  <rfmt sheetId="1" sqref="AY538" start="0" length="0">
    <dxf>
      <font>
        <sz val="11"/>
        <color theme="1"/>
        <name val="Calibri"/>
        <scheme val="none"/>
      </font>
    </dxf>
  </rfmt>
  <rfmt sheetId="1" sqref="A538:XFD538" start="0" length="0">
    <dxf>
      <font>
        <sz val="11"/>
        <color theme="1"/>
        <name val="Calibri"/>
        <scheme val="none"/>
      </font>
    </dxf>
  </rfmt>
  <rfmt sheetId="1" sqref="A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3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3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39" start="0" length="0">
    <dxf>
      <font>
        <sz val="11"/>
        <color theme="1"/>
        <name val="Calibri"/>
        <scheme val="none"/>
      </font>
    </dxf>
  </rfmt>
  <rfmt sheetId="1" sqref="AM539" start="0" length="0">
    <dxf>
      <font>
        <sz val="11"/>
        <color theme="1"/>
        <name val="Calibri"/>
        <scheme val="none"/>
      </font>
      <numFmt numFmtId="1" formatCode="0"/>
    </dxf>
  </rfmt>
  <rfmt sheetId="1" sqref="AN539" start="0" length="0">
    <dxf>
      <font>
        <sz val="11"/>
        <color theme="1"/>
        <name val="Calibri"/>
        <scheme val="none"/>
      </font>
      <numFmt numFmtId="1" formatCode="0"/>
    </dxf>
  </rfmt>
  <rfmt sheetId="1" sqref="AO539" start="0" length="0">
    <dxf>
      <font>
        <sz val="11"/>
        <color theme="1"/>
        <name val="Calibri"/>
        <scheme val="none"/>
      </font>
    </dxf>
  </rfmt>
  <rfmt sheetId="1" sqref="AP539" start="0" length="0">
    <dxf>
      <font>
        <sz val="11"/>
        <color theme="1"/>
        <name val="Calibri"/>
        <scheme val="none"/>
      </font>
    </dxf>
  </rfmt>
  <rfmt sheetId="1" sqref="AQ539" start="0" length="0">
    <dxf>
      <font>
        <sz val="11"/>
        <color theme="1"/>
        <name val="Calibri"/>
        <scheme val="none"/>
      </font>
      <numFmt numFmtId="164" formatCode="_-* #,##0_-;\-* #,##0_-;_-* &quot;-&quot;??_-;_-@_-"/>
    </dxf>
  </rfmt>
  <rfmt sheetId="1" sqref="AR539" start="0" length="0">
    <dxf>
      <font>
        <sz val="11"/>
        <color theme="1"/>
        <name val="Calibri"/>
        <scheme val="none"/>
      </font>
      <numFmt numFmtId="164" formatCode="_-* #,##0_-;\-* #,##0_-;_-* &quot;-&quot;??_-;_-@_-"/>
    </dxf>
  </rfmt>
  <rfmt sheetId="1" sqref="AS539" start="0" length="0">
    <dxf>
      <font>
        <sz val="11"/>
        <color theme="1"/>
        <name val="Calibri"/>
        <scheme val="none"/>
      </font>
      <numFmt numFmtId="164" formatCode="_-* #,##0_-;\-* #,##0_-;_-* &quot;-&quot;??_-;_-@_-"/>
    </dxf>
  </rfmt>
  <rfmt sheetId="1" sqref="AT539" start="0" length="0">
    <dxf>
      <font>
        <sz val="11"/>
        <color theme="1"/>
        <name val="Calibri"/>
        <scheme val="none"/>
      </font>
      <numFmt numFmtId="164" formatCode="_-* #,##0_-;\-* #,##0_-;_-* &quot;-&quot;??_-;_-@_-"/>
    </dxf>
  </rfmt>
  <rfmt sheetId="1" sqref="AU539" start="0" length="0">
    <dxf>
      <font>
        <sz val="11"/>
        <color theme="1"/>
        <name val="Calibri"/>
        <scheme val="none"/>
      </font>
    </dxf>
  </rfmt>
  <rfmt sheetId="1" sqref="AV539" start="0" length="0">
    <dxf>
      <font>
        <sz val="11"/>
        <color theme="1"/>
        <name val="Calibri"/>
        <scheme val="none"/>
      </font>
    </dxf>
  </rfmt>
  <rfmt sheetId="1" sqref="AW539" start="0" length="0">
    <dxf>
      <font>
        <sz val="11"/>
        <color theme="1"/>
        <name val="Calibri"/>
        <scheme val="none"/>
      </font>
    </dxf>
  </rfmt>
  <rfmt sheetId="1" sqref="AX539" start="0" length="0">
    <dxf>
      <font>
        <sz val="11"/>
        <color theme="1"/>
        <name val="Calibri"/>
        <scheme val="none"/>
      </font>
    </dxf>
  </rfmt>
  <rfmt sheetId="1" sqref="AY539" start="0" length="0">
    <dxf>
      <font>
        <sz val="11"/>
        <color theme="1"/>
        <name val="Calibri"/>
        <scheme val="none"/>
      </font>
    </dxf>
  </rfmt>
  <rfmt sheetId="1" sqref="A539:XFD539" start="0" length="0">
    <dxf>
      <font>
        <sz val="11"/>
        <color theme="1"/>
        <name val="Calibri"/>
        <scheme val="none"/>
      </font>
    </dxf>
  </rfmt>
  <rfmt sheetId="1" sqref="A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4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4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40" start="0" length="0">
    <dxf>
      <font>
        <sz val="11"/>
        <color theme="1"/>
        <name val="Calibri"/>
        <scheme val="none"/>
      </font>
    </dxf>
  </rfmt>
  <rfmt sheetId="1" sqref="AM540" start="0" length="0">
    <dxf>
      <font>
        <sz val="11"/>
        <color theme="1"/>
        <name val="Calibri"/>
        <scheme val="none"/>
      </font>
      <numFmt numFmtId="1" formatCode="0"/>
    </dxf>
  </rfmt>
  <rfmt sheetId="1" sqref="AN540" start="0" length="0">
    <dxf>
      <font>
        <sz val="11"/>
        <color theme="1"/>
        <name val="Calibri"/>
        <scheme val="none"/>
      </font>
      <numFmt numFmtId="1" formatCode="0"/>
    </dxf>
  </rfmt>
  <rfmt sheetId="1" sqref="AO540" start="0" length="0">
    <dxf>
      <font>
        <sz val="11"/>
        <color theme="1"/>
        <name val="Calibri"/>
        <scheme val="none"/>
      </font>
    </dxf>
  </rfmt>
  <rfmt sheetId="1" sqref="AP540" start="0" length="0">
    <dxf>
      <font>
        <sz val="11"/>
        <color theme="1"/>
        <name val="Calibri"/>
        <scheme val="none"/>
      </font>
    </dxf>
  </rfmt>
  <rfmt sheetId="1" sqref="AQ540" start="0" length="0">
    <dxf>
      <font>
        <sz val="11"/>
        <color theme="1"/>
        <name val="Calibri"/>
        <scheme val="none"/>
      </font>
      <numFmt numFmtId="164" formatCode="_-* #,##0_-;\-* #,##0_-;_-* &quot;-&quot;??_-;_-@_-"/>
    </dxf>
  </rfmt>
  <rfmt sheetId="1" sqref="AR540" start="0" length="0">
    <dxf>
      <font>
        <sz val="11"/>
        <color theme="1"/>
        <name val="Calibri"/>
        <scheme val="none"/>
      </font>
      <numFmt numFmtId="164" formatCode="_-* #,##0_-;\-* #,##0_-;_-* &quot;-&quot;??_-;_-@_-"/>
    </dxf>
  </rfmt>
  <rfmt sheetId="1" sqref="AS540" start="0" length="0">
    <dxf>
      <font>
        <sz val="11"/>
        <color theme="1"/>
        <name val="Calibri"/>
        <scheme val="none"/>
      </font>
      <numFmt numFmtId="164" formatCode="_-* #,##0_-;\-* #,##0_-;_-* &quot;-&quot;??_-;_-@_-"/>
    </dxf>
  </rfmt>
  <rfmt sheetId="1" sqref="AT540" start="0" length="0">
    <dxf>
      <font>
        <sz val="11"/>
        <color theme="1"/>
        <name val="Calibri"/>
        <scheme val="none"/>
      </font>
      <numFmt numFmtId="164" formatCode="_-* #,##0_-;\-* #,##0_-;_-* &quot;-&quot;??_-;_-@_-"/>
    </dxf>
  </rfmt>
  <rfmt sheetId="1" sqref="AU540" start="0" length="0">
    <dxf>
      <font>
        <sz val="11"/>
        <color theme="1"/>
        <name val="Calibri"/>
        <scheme val="none"/>
      </font>
    </dxf>
  </rfmt>
  <rfmt sheetId="1" sqref="AV540" start="0" length="0">
    <dxf>
      <font>
        <sz val="11"/>
        <color theme="1"/>
        <name val="Calibri"/>
        <scheme val="none"/>
      </font>
    </dxf>
  </rfmt>
  <rfmt sheetId="1" sqref="AW540" start="0" length="0">
    <dxf>
      <font>
        <sz val="11"/>
        <color theme="1"/>
        <name val="Calibri"/>
        <scheme val="none"/>
      </font>
    </dxf>
  </rfmt>
  <rfmt sheetId="1" sqref="AX540" start="0" length="0">
    <dxf>
      <font>
        <sz val="11"/>
        <color theme="1"/>
        <name val="Calibri"/>
        <scheme val="none"/>
      </font>
    </dxf>
  </rfmt>
  <rfmt sheetId="1" sqref="AY540" start="0" length="0">
    <dxf>
      <font>
        <sz val="11"/>
        <color theme="1"/>
        <name val="Calibri"/>
        <scheme val="none"/>
      </font>
    </dxf>
  </rfmt>
  <rfmt sheetId="1" sqref="A540:XFD540" start="0" length="0">
    <dxf>
      <font>
        <sz val="11"/>
        <color theme="1"/>
        <name val="Calibri"/>
        <scheme val="none"/>
      </font>
    </dxf>
  </rfmt>
  <rfmt sheetId="1" sqref="A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4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4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41" start="0" length="0">
    <dxf>
      <font>
        <sz val="11"/>
        <color theme="1"/>
        <name val="Calibri"/>
        <scheme val="none"/>
      </font>
    </dxf>
  </rfmt>
  <rfmt sheetId="1" sqref="AM541" start="0" length="0">
    <dxf>
      <font>
        <sz val="11"/>
        <color theme="1"/>
        <name val="Calibri"/>
        <scheme val="none"/>
      </font>
      <numFmt numFmtId="1" formatCode="0"/>
    </dxf>
  </rfmt>
  <rfmt sheetId="1" sqref="AN541" start="0" length="0">
    <dxf>
      <font>
        <sz val="11"/>
        <color theme="1"/>
        <name val="Calibri"/>
        <scheme val="none"/>
      </font>
      <numFmt numFmtId="1" formatCode="0"/>
    </dxf>
  </rfmt>
  <rfmt sheetId="1" sqref="AO541" start="0" length="0">
    <dxf>
      <font>
        <sz val="11"/>
        <color theme="1"/>
        <name val="Calibri"/>
        <scheme val="none"/>
      </font>
    </dxf>
  </rfmt>
  <rfmt sheetId="1" sqref="AP541" start="0" length="0">
    <dxf>
      <font>
        <sz val="11"/>
        <color theme="1"/>
        <name val="Calibri"/>
        <scheme val="none"/>
      </font>
    </dxf>
  </rfmt>
  <rfmt sheetId="1" sqref="AQ541" start="0" length="0">
    <dxf>
      <font>
        <sz val="11"/>
        <color theme="1"/>
        <name val="Calibri"/>
        <scheme val="none"/>
      </font>
      <numFmt numFmtId="164" formatCode="_-* #,##0_-;\-* #,##0_-;_-* &quot;-&quot;??_-;_-@_-"/>
    </dxf>
  </rfmt>
  <rfmt sheetId="1" sqref="AR541" start="0" length="0">
    <dxf>
      <font>
        <sz val="11"/>
        <color theme="1"/>
        <name val="Calibri"/>
        <scheme val="none"/>
      </font>
      <numFmt numFmtId="164" formatCode="_-* #,##0_-;\-* #,##0_-;_-* &quot;-&quot;??_-;_-@_-"/>
    </dxf>
  </rfmt>
  <rfmt sheetId="1" sqref="AS541" start="0" length="0">
    <dxf>
      <font>
        <sz val="11"/>
        <color theme="1"/>
        <name val="Calibri"/>
        <scheme val="none"/>
      </font>
      <numFmt numFmtId="164" formatCode="_-* #,##0_-;\-* #,##0_-;_-* &quot;-&quot;??_-;_-@_-"/>
    </dxf>
  </rfmt>
  <rfmt sheetId="1" sqref="AT541" start="0" length="0">
    <dxf>
      <font>
        <sz val="11"/>
        <color theme="1"/>
        <name val="Calibri"/>
        <scheme val="none"/>
      </font>
      <numFmt numFmtId="164" formatCode="_-* #,##0_-;\-* #,##0_-;_-* &quot;-&quot;??_-;_-@_-"/>
    </dxf>
  </rfmt>
  <rfmt sheetId="1" sqref="AU541" start="0" length="0">
    <dxf>
      <font>
        <sz val="11"/>
        <color theme="1"/>
        <name val="Calibri"/>
        <scheme val="none"/>
      </font>
    </dxf>
  </rfmt>
  <rfmt sheetId="1" sqref="AV541" start="0" length="0">
    <dxf>
      <font>
        <sz val="11"/>
        <color theme="1"/>
        <name val="Calibri"/>
        <scheme val="none"/>
      </font>
    </dxf>
  </rfmt>
  <rfmt sheetId="1" sqref="AW541" start="0" length="0">
    <dxf>
      <font>
        <sz val="11"/>
        <color theme="1"/>
        <name val="Calibri"/>
        <scheme val="none"/>
      </font>
    </dxf>
  </rfmt>
  <rfmt sheetId="1" sqref="AX541" start="0" length="0">
    <dxf>
      <font>
        <sz val="11"/>
        <color theme="1"/>
        <name val="Calibri"/>
        <scheme val="none"/>
      </font>
    </dxf>
  </rfmt>
  <rfmt sheetId="1" sqref="AY541" start="0" length="0">
    <dxf>
      <font>
        <sz val="11"/>
        <color theme="1"/>
        <name val="Calibri"/>
        <scheme val="none"/>
      </font>
    </dxf>
  </rfmt>
  <rfmt sheetId="1" sqref="A541:XFD541" start="0" length="0">
    <dxf>
      <font>
        <sz val="11"/>
        <color theme="1"/>
        <name val="Calibri"/>
        <scheme val="none"/>
      </font>
    </dxf>
  </rfmt>
  <rfmt sheetId="1" sqref="A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4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4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42" start="0" length="0">
    <dxf>
      <font>
        <sz val="11"/>
        <color theme="1"/>
        <name val="Calibri"/>
        <scheme val="none"/>
      </font>
    </dxf>
  </rfmt>
  <rfmt sheetId="1" sqref="AM542" start="0" length="0">
    <dxf>
      <font>
        <sz val="11"/>
        <color theme="1"/>
        <name val="Calibri"/>
        <scheme val="none"/>
      </font>
      <numFmt numFmtId="1" formatCode="0"/>
    </dxf>
  </rfmt>
  <rfmt sheetId="1" sqref="AN542" start="0" length="0">
    <dxf>
      <font>
        <sz val="11"/>
        <color theme="1"/>
        <name val="Calibri"/>
        <scheme val="none"/>
      </font>
      <numFmt numFmtId="1" formatCode="0"/>
    </dxf>
  </rfmt>
  <rfmt sheetId="1" sqref="AO542" start="0" length="0">
    <dxf>
      <font>
        <sz val="11"/>
        <color theme="1"/>
        <name val="Calibri"/>
        <scheme val="none"/>
      </font>
    </dxf>
  </rfmt>
  <rfmt sheetId="1" sqref="AP542" start="0" length="0">
    <dxf>
      <font>
        <sz val="11"/>
        <color theme="1"/>
        <name val="Calibri"/>
        <scheme val="none"/>
      </font>
    </dxf>
  </rfmt>
  <rfmt sheetId="1" sqref="AQ542" start="0" length="0">
    <dxf>
      <font>
        <sz val="11"/>
        <color theme="1"/>
        <name val="Calibri"/>
        <scheme val="none"/>
      </font>
      <numFmt numFmtId="164" formatCode="_-* #,##0_-;\-* #,##0_-;_-* &quot;-&quot;??_-;_-@_-"/>
    </dxf>
  </rfmt>
  <rfmt sheetId="1" sqref="AR542" start="0" length="0">
    <dxf>
      <font>
        <sz val="11"/>
        <color theme="1"/>
        <name val="Calibri"/>
        <scheme val="none"/>
      </font>
      <numFmt numFmtId="164" formatCode="_-* #,##0_-;\-* #,##0_-;_-* &quot;-&quot;??_-;_-@_-"/>
    </dxf>
  </rfmt>
  <rfmt sheetId="1" sqref="AS542" start="0" length="0">
    <dxf>
      <font>
        <sz val="11"/>
        <color theme="1"/>
        <name val="Calibri"/>
        <scheme val="none"/>
      </font>
      <numFmt numFmtId="164" formatCode="_-* #,##0_-;\-* #,##0_-;_-* &quot;-&quot;??_-;_-@_-"/>
    </dxf>
  </rfmt>
  <rfmt sheetId="1" sqref="AT542" start="0" length="0">
    <dxf>
      <font>
        <sz val="11"/>
        <color theme="1"/>
        <name val="Calibri"/>
        <scheme val="none"/>
      </font>
      <numFmt numFmtId="164" formatCode="_-* #,##0_-;\-* #,##0_-;_-* &quot;-&quot;??_-;_-@_-"/>
    </dxf>
  </rfmt>
  <rfmt sheetId="1" sqref="AU542" start="0" length="0">
    <dxf>
      <font>
        <sz val="11"/>
        <color theme="1"/>
        <name val="Calibri"/>
        <scheme val="none"/>
      </font>
    </dxf>
  </rfmt>
  <rfmt sheetId="1" sqref="AV542" start="0" length="0">
    <dxf>
      <font>
        <sz val="11"/>
        <color theme="1"/>
        <name val="Calibri"/>
        <scheme val="none"/>
      </font>
    </dxf>
  </rfmt>
  <rfmt sheetId="1" sqref="AW542" start="0" length="0">
    <dxf>
      <font>
        <sz val="11"/>
        <color theme="1"/>
        <name val="Calibri"/>
        <scheme val="none"/>
      </font>
    </dxf>
  </rfmt>
  <rfmt sheetId="1" sqref="AX542" start="0" length="0">
    <dxf>
      <font>
        <sz val="11"/>
        <color theme="1"/>
        <name val="Calibri"/>
        <scheme val="none"/>
      </font>
    </dxf>
  </rfmt>
  <rfmt sheetId="1" sqref="AY542" start="0" length="0">
    <dxf>
      <font>
        <sz val="11"/>
        <color theme="1"/>
        <name val="Calibri"/>
        <scheme val="none"/>
      </font>
    </dxf>
  </rfmt>
  <rfmt sheetId="1" sqref="A542:XFD542" start="0" length="0">
    <dxf>
      <font>
        <sz val="11"/>
        <color theme="1"/>
        <name val="Calibri"/>
        <scheme val="none"/>
      </font>
    </dxf>
  </rfmt>
  <rfmt sheetId="1" sqref="A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4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4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43" start="0" length="0">
    <dxf>
      <font>
        <sz val="11"/>
        <color theme="1"/>
        <name val="Calibri"/>
        <scheme val="none"/>
      </font>
    </dxf>
  </rfmt>
  <rfmt sheetId="1" sqref="AM543" start="0" length="0">
    <dxf>
      <font>
        <sz val="11"/>
        <color theme="1"/>
        <name val="Calibri"/>
        <scheme val="none"/>
      </font>
      <numFmt numFmtId="1" formatCode="0"/>
    </dxf>
  </rfmt>
  <rfmt sheetId="1" sqref="AN543" start="0" length="0">
    <dxf>
      <font>
        <sz val="11"/>
        <color theme="1"/>
        <name val="Calibri"/>
        <scheme val="none"/>
      </font>
      <numFmt numFmtId="1" formatCode="0"/>
    </dxf>
  </rfmt>
  <rfmt sheetId="1" sqref="AO543" start="0" length="0">
    <dxf>
      <font>
        <sz val="11"/>
        <color theme="1"/>
        <name val="Calibri"/>
        <scheme val="none"/>
      </font>
    </dxf>
  </rfmt>
  <rfmt sheetId="1" sqref="AP543" start="0" length="0">
    <dxf>
      <font>
        <sz val="11"/>
        <color theme="1"/>
        <name val="Calibri"/>
        <scheme val="none"/>
      </font>
    </dxf>
  </rfmt>
  <rfmt sheetId="1" sqref="AQ543" start="0" length="0">
    <dxf>
      <font>
        <sz val="11"/>
        <color theme="1"/>
        <name val="Calibri"/>
        <scheme val="none"/>
      </font>
      <numFmt numFmtId="164" formatCode="_-* #,##0_-;\-* #,##0_-;_-* &quot;-&quot;??_-;_-@_-"/>
    </dxf>
  </rfmt>
  <rfmt sheetId="1" sqref="AR543" start="0" length="0">
    <dxf>
      <font>
        <sz val="11"/>
        <color theme="1"/>
        <name val="Calibri"/>
        <scheme val="none"/>
      </font>
      <numFmt numFmtId="164" formatCode="_-* #,##0_-;\-* #,##0_-;_-* &quot;-&quot;??_-;_-@_-"/>
    </dxf>
  </rfmt>
  <rfmt sheetId="1" sqref="AS543" start="0" length="0">
    <dxf>
      <font>
        <sz val="11"/>
        <color theme="1"/>
        <name val="Calibri"/>
        <scheme val="none"/>
      </font>
      <numFmt numFmtId="164" formatCode="_-* #,##0_-;\-* #,##0_-;_-* &quot;-&quot;??_-;_-@_-"/>
    </dxf>
  </rfmt>
  <rfmt sheetId="1" sqref="AT543" start="0" length="0">
    <dxf>
      <font>
        <sz val="11"/>
        <color theme="1"/>
        <name val="Calibri"/>
        <scheme val="none"/>
      </font>
      <numFmt numFmtId="164" formatCode="_-* #,##0_-;\-* #,##0_-;_-* &quot;-&quot;??_-;_-@_-"/>
    </dxf>
  </rfmt>
  <rfmt sheetId="1" sqref="AU543" start="0" length="0">
    <dxf>
      <font>
        <sz val="11"/>
        <color theme="1"/>
        <name val="Calibri"/>
        <scheme val="none"/>
      </font>
    </dxf>
  </rfmt>
  <rfmt sheetId="1" sqref="AV543" start="0" length="0">
    <dxf>
      <font>
        <sz val="11"/>
        <color theme="1"/>
        <name val="Calibri"/>
        <scheme val="none"/>
      </font>
    </dxf>
  </rfmt>
  <rfmt sheetId="1" sqref="AW543" start="0" length="0">
    <dxf>
      <font>
        <sz val="11"/>
        <color theme="1"/>
        <name val="Calibri"/>
        <scheme val="none"/>
      </font>
    </dxf>
  </rfmt>
  <rfmt sheetId="1" sqref="AX543" start="0" length="0">
    <dxf>
      <font>
        <sz val="11"/>
        <color theme="1"/>
        <name val="Calibri"/>
        <scheme val="none"/>
      </font>
    </dxf>
  </rfmt>
  <rfmt sheetId="1" sqref="AY543" start="0" length="0">
    <dxf>
      <font>
        <sz val="11"/>
        <color theme="1"/>
        <name val="Calibri"/>
        <scheme val="none"/>
      </font>
    </dxf>
  </rfmt>
  <rfmt sheetId="1" sqref="A543:XFD543" start="0" length="0">
    <dxf>
      <font>
        <sz val="11"/>
        <color theme="1"/>
        <name val="Calibri"/>
        <scheme val="none"/>
      </font>
    </dxf>
  </rfmt>
  <rfmt sheetId="1" sqref="A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4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4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44" start="0" length="0">
    <dxf>
      <font>
        <sz val="11"/>
        <color theme="1"/>
        <name val="Calibri"/>
        <scheme val="none"/>
      </font>
    </dxf>
  </rfmt>
  <rfmt sheetId="1" sqref="AM544" start="0" length="0">
    <dxf>
      <font>
        <sz val="11"/>
        <color theme="1"/>
        <name val="Calibri"/>
        <scheme val="none"/>
      </font>
      <numFmt numFmtId="1" formatCode="0"/>
    </dxf>
  </rfmt>
  <rfmt sheetId="1" sqref="AN544" start="0" length="0">
    <dxf>
      <font>
        <sz val="11"/>
        <color theme="1"/>
        <name val="Calibri"/>
        <scheme val="none"/>
      </font>
      <numFmt numFmtId="1" formatCode="0"/>
    </dxf>
  </rfmt>
  <rfmt sheetId="1" sqref="AO544" start="0" length="0">
    <dxf>
      <font>
        <sz val="11"/>
        <color theme="1"/>
        <name val="Calibri"/>
        <scheme val="none"/>
      </font>
    </dxf>
  </rfmt>
  <rfmt sheetId="1" sqref="AP544" start="0" length="0">
    <dxf>
      <font>
        <sz val="11"/>
        <color theme="1"/>
        <name val="Calibri"/>
        <scheme val="none"/>
      </font>
    </dxf>
  </rfmt>
  <rfmt sheetId="1" sqref="AQ544" start="0" length="0">
    <dxf>
      <font>
        <sz val="11"/>
        <color theme="1"/>
        <name val="Calibri"/>
        <scheme val="none"/>
      </font>
      <numFmt numFmtId="164" formatCode="_-* #,##0_-;\-* #,##0_-;_-* &quot;-&quot;??_-;_-@_-"/>
    </dxf>
  </rfmt>
  <rfmt sheetId="1" sqref="AR544" start="0" length="0">
    <dxf>
      <font>
        <sz val="11"/>
        <color theme="1"/>
        <name val="Calibri"/>
        <scheme val="none"/>
      </font>
      <numFmt numFmtId="164" formatCode="_-* #,##0_-;\-* #,##0_-;_-* &quot;-&quot;??_-;_-@_-"/>
    </dxf>
  </rfmt>
  <rfmt sheetId="1" sqref="AS544" start="0" length="0">
    <dxf>
      <font>
        <sz val="11"/>
        <color theme="1"/>
        <name val="Calibri"/>
        <scheme val="none"/>
      </font>
      <numFmt numFmtId="164" formatCode="_-* #,##0_-;\-* #,##0_-;_-* &quot;-&quot;??_-;_-@_-"/>
    </dxf>
  </rfmt>
  <rfmt sheetId="1" sqref="AT544" start="0" length="0">
    <dxf>
      <font>
        <sz val="11"/>
        <color theme="1"/>
        <name val="Calibri"/>
        <scheme val="none"/>
      </font>
      <numFmt numFmtId="164" formatCode="_-* #,##0_-;\-* #,##0_-;_-* &quot;-&quot;??_-;_-@_-"/>
    </dxf>
  </rfmt>
  <rfmt sheetId="1" sqref="AU544" start="0" length="0">
    <dxf>
      <font>
        <sz val="11"/>
        <color theme="1"/>
        <name val="Calibri"/>
        <scheme val="none"/>
      </font>
    </dxf>
  </rfmt>
  <rfmt sheetId="1" sqref="AV544" start="0" length="0">
    <dxf>
      <font>
        <sz val="11"/>
        <color theme="1"/>
        <name val="Calibri"/>
        <scheme val="none"/>
      </font>
    </dxf>
  </rfmt>
  <rfmt sheetId="1" sqref="AW544" start="0" length="0">
    <dxf>
      <font>
        <sz val="11"/>
        <color theme="1"/>
        <name val="Calibri"/>
        <scheme val="none"/>
      </font>
    </dxf>
  </rfmt>
  <rfmt sheetId="1" sqref="AX544" start="0" length="0">
    <dxf>
      <font>
        <sz val="11"/>
        <color theme="1"/>
        <name val="Calibri"/>
        <scheme val="none"/>
      </font>
    </dxf>
  </rfmt>
  <rfmt sheetId="1" sqref="AY544" start="0" length="0">
    <dxf>
      <font>
        <sz val="11"/>
        <color theme="1"/>
        <name val="Calibri"/>
        <scheme val="none"/>
      </font>
    </dxf>
  </rfmt>
  <rfmt sheetId="1" sqref="A544:XFD544" start="0" length="0">
    <dxf>
      <font>
        <sz val="11"/>
        <color theme="1"/>
        <name val="Calibri"/>
        <scheme val="none"/>
      </font>
    </dxf>
  </rfmt>
  <rfmt sheetId="1" sqref="A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4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4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45" start="0" length="0">
    <dxf>
      <font>
        <sz val="11"/>
        <color theme="1"/>
        <name val="Calibri"/>
        <scheme val="none"/>
      </font>
    </dxf>
  </rfmt>
  <rfmt sheetId="1" sqref="AM545" start="0" length="0">
    <dxf>
      <font>
        <sz val="11"/>
        <color theme="1"/>
        <name val="Calibri"/>
        <scheme val="none"/>
      </font>
      <numFmt numFmtId="1" formatCode="0"/>
    </dxf>
  </rfmt>
  <rfmt sheetId="1" sqref="AN545" start="0" length="0">
    <dxf>
      <font>
        <sz val="11"/>
        <color theme="1"/>
        <name val="Calibri"/>
        <scheme val="none"/>
      </font>
      <numFmt numFmtId="1" formatCode="0"/>
    </dxf>
  </rfmt>
  <rfmt sheetId="1" sqref="AO545" start="0" length="0">
    <dxf>
      <font>
        <sz val="11"/>
        <color theme="1"/>
        <name val="Calibri"/>
        <scheme val="none"/>
      </font>
    </dxf>
  </rfmt>
  <rfmt sheetId="1" sqref="AP545" start="0" length="0">
    <dxf>
      <font>
        <sz val="11"/>
        <color theme="1"/>
        <name val="Calibri"/>
        <scheme val="none"/>
      </font>
    </dxf>
  </rfmt>
  <rfmt sheetId="1" sqref="AQ545" start="0" length="0">
    <dxf>
      <font>
        <sz val="11"/>
        <color theme="1"/>
        <name val="Calibri"/>
        <scheme val="none"/>
      </font>
      <numFmt numFmtId="164" formatCode="_-* #,##0_-;\-* #,##0_-;_-* &quot;-&quot;??_-;_-@_-"/>
    </dxf>
  </rfmt>
  <rfmt sheetId="1" sqref="AR545" start="0" length="0">
    <dxf>
      <font>
        <sz val="11"/>
        <color theme="1"/>
        <name val="Calibri"/>
        <scheme val="none"/>
      </font>
      <numFmt numFmtId="164" formatCode="_-* #,##0_-;\-* #,##0_-;_-* &quot;-&quot;??_-;_-@_-"/>
    </dxf>
  </rfmt>
  <rfmt sheetId="1" sqref="AS545" start="0" length="0">
    <dxf>
      <font>
        <sz val="11"/>
        <color theme="1"/>
        <name val="Calibri"/>
        <scheme val="none"/>
      </font>
      <numFmt numFmtId="164" formatCode="_-* #,##0_-;\-* #,##0_-;_-* &quot;-&quot;??_-;_-@_-"/>
    </dxf>
  </rfmt>
  <rfmt sheetId="1" sqref="AT545" start="0" length="0">
    <dxf>
      <font>
        <sz val="11"/>
        <color theme="1"/>
        <name val="Calibri"/>
        <scheme val="none"/>
      </font>
      <numFmt numFmtId="164" formatCode="_-* #,##0_-;\-* #,##0_-;_-* &quot;-&quot;??_-;_-@_-"/>
    </dxf>
  </rfmt>
  <rfmt sheetId="1" sqref="AU545" start="0" length="0">
    <dxf>
      <font>
        <sz val="11"/>
        <color theme="1"/>
        <name val="Calibri"/>
        <scheme val="none"/>
      </font>
    </dxf>
  </rfmt>
  <rfmt sheetId="1" sqref="AV545" start="0" length="0">
    <dxf>
      <font>
        <sz val="11"/>
        <color theme="1"/>
        <name val="Calibri"/>
        <scheme val="none"/>
      </font>
    </dxf>
  </rfmt>
  <rfmt sheetId="1" sqref="AW545" start="0" length="0">
    <dxf>
      <font>
        <sz val="11"/>
        <color theme="1"/>
        <name val="Calibri"/>
        <scheme val="none"/>
      </font>
    </dxf>
  </rfmt>
  <rfmt sheetId="1" sqref="AX545" start="0" length="0">
    <dxf>
      <font>
        <sz val="11"/>
        <color theme="1"/>
        <name val="Calibri"/>
        <scheme val="none"/>
      </font>
    </dxf>
  </rfmt>
  <rfmt sheetId="1" sqref="AY545" start="0" length="0">
    <dxf>
      <font>
        <sz val="11"/>
        <color theme="1"/>
        <name val="Calibri"/>
        <scheme val="none"/>
      </font>
    </dxf>
  </rfmt>
  <rfmt sheetId="1" sqref="A545:XFD545" start="0" length="0">
    <dxf>
      <font>
        <sz val="11"/>
        <color theme="1"/>
        <name val="Calibri"/>
        <scheme val="none"/>
      </font>
    </dxf>
  </rfmt>
  <rfmt sheetId="1" sqref="A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4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4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46" start="0" length="0">
    <dxf>
      <font>
        <sz val="11"/>
        <color theme="1"/>
        <name val="Calibri"/>
        <scheme val="none"/>
      </font>
    </dxf>
  </rfmt>
  <rfmt sheetId="1" sqref="AM546" start="0" length="0">
    <dxf>
      <font>
        <sz val="11"/>
        <color theme="1"/>
        <name val="Calibri"/>
        <scheme val="none"/>
      </font>
      <numFmt numFmtId="1" formatCode="0"/>
    </dxf>
  </rfmt>
  <rfmt sheetId="1" sqref="AN546" start="0" length="0">
    <dxf>
      <font>
        <sz val="11"/>
        <color theme="1"/>
        <name val="Calibri"/>
        <scheme val="none"/>
      </font>
      <numFmt numFmtId="1" formatCode="0"/>
    </dxf>
  </rfmt>
  <rfmt sheetId="1" sqref="AO546" start="0" length="0">
    <dxf>
      <font>
        <sz val="11"/>
        <color theme="1"/>
        <name val="Calibri"/>
        <scheme val="none"/>
      </font>
    </dxf>
  </rfmt>
  <rfmt sheetId="1" sqref="AP546" start="0" length="0">
    <dxf>
      <font>
        <sz val="11"/>
        <color theme="1"/>
        <name val="Calibri"/>
        <scheme val="none"/>
      </font>
    </dxf>
  </rfmt>
  <rfmt sheetId="1" sqref="AQ546" start="0" length="0">
    <dxf>
      <font>
        <sz val="11"/>
        <color theme="1"/>
        <name val="Calibri"/>
        <scheme val="none"/>
      </font>
      <numFmt numFmtId="164" formatCode="_-* #,##0_-;\-* #,##0_-;_-* &quot;-&quot;??_-;_-@_-"/>
    </dxf>
  </rfmt>
  <rfmt sheetId="1" sqref="AR546" start="0" length="0">
    <dxf>
      <font>
        <sz val="11"/>
        <color theme="1"/>
        <name val="Calibri"/>
        <scheme val="none"/>
      </font>
      <numFmt numFmtId="164" formatCode="_-* #,##0_-;\-* #,##0_-;_-* &quot;-&quot;??_-;_-@_-"/>
    </dxf>
  </rfmt>
  <rfmt sheetId="1" sqref="AS546" start="0" length="0">
    <dxf>
      <font>
        <sz val="11"/>
        <color theme="1"/>
        <name val="Calibri"/>
        <scheme val="none"/>
      </font>
      <numFmt numFmtId="164" formatCode="_-* #,##0_-;\-* #,##0_-;_-* &quot;-&quot;??_-;_-@_-"/>
    </dxf>
  </rfmt>
  <rfmt sheetId="1" sqref="AT546" start="0" length="0">
    <dxf>
      <font>
        <sz val="11"/>
        <color theme="1"/>
        <name val="Calibri"/>
        <scheme val="none"/>
      </font>
      <numFmt numFmtId="164" formatCode="_-* #,##0_-;\-* #,##0_-;_-* &quot;-&quot;??_-;_-@_-"/>
    </dxf>
  </rfmt>
  <rfmt sheetId="1" sqref="AU546" start="0" length="0">
    <dxf>
      <font>
        <sz val="11"/>
        <color theme="1"/>
        <name val="Calibri"/>
        <scheme val="none"/>
      </font>
    </dxf>
  </rfmt>
  <rfmt sheetId="1" sqref="AV546" start="0" length="0">
    <dxf>
      <font>
        <sz val="11"/>
        <color theme="1"/>
        <name val="Calibri"/>
        <scheme val="none"/>
      </font>
    </dxf>
  </rfmt>
  <rfmt sheetId="1" sqref="AW546" start="0" length="0">
    <dxf>
      <font>
        <sz val="11"/>
        <color theme="1"/>
        <name val="Calibri"/>
        <scheme val="none"/>
      </font>
    </dxf>
  </rfmt>
  <rfmt sheetId="1" sqref="AX546" start="0" length="0">
    <dxf>
      <font>
        <sz val="11"/>
        <color theme="1"/>
        <name val="Calibri"/>
        <scheme val="none"/>
      </font>
    </dxf>
  </rfmt>
  <rfmt sheetId="1" sqref="AY546" start="0" length="0">
    <dxf>
      <font>
        <sz val="11"/>
        <color theme="1"/>
        <name val="Calibri"/>
        <scheme val="none"/>
      </font>
    </dxf>
  </rfmt>
  <rfmt sheetId="1" sqref="A546:XFD546" start="0" length="0">
    <dxf>
      <font>
        <sz val="11"/>
        <color theme="1"/>
        <name val="Calibri"/>
        <scheme val="none"/>
      </font>
    </dxf>
  </rfmt>
  <rfmt sheetId="1" sqref="A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4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4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47" start="0" length="0">
    <dxf>
      <font>
        <sz val="11"/>
        <color theme="1"/>
        <name val="Calibri"/>
        <scheme val="none"/>
      </font>
    </dxf>
  </rfmt>
  <rfmt sheetId="1" sqref="AM547" start="0" length="0">
    <dxf>
      <font>
        <sz val="11"/>
        <color theme="1"/>
        <name val="Calibri"/>
        <scheme val="none"/>
      </font>
      <numFmt numFmtId="1" formatCode="0"/>
    </dxf>
  </rfmt>
  <rfmt sheetId="1" sqref="AN547" start="0" length="0">
    <dxf>
      <font>
        <sz val="11"/>
        <color theme="1"/>
        <name val="Calibri"/>
        <scheme val="none"/>
      </font>
      <numFmt numFmtId="1" formatCode="0"/>
    </dxf>
  </rfmt>
  <rfmt sheetId="1" sqref="AO547" start="0" length="0">
    <dxf>
      <font>
        <sz val="11"/>
        <color theme="1"/>
        <name val="Calibri"/>
        <scheme val="none"/>
      </font>
    </dxf>
  </rfmt>
  <rfmt sheetId="1" sqref="AP547" start="0" length="0">
    <dxf>
      <font>
        <sz val="11"/>
        <color theme="1"/>
        <name val="Calibri"/>
        <scheme val="none"/>
      </font>
    </dxf>
  </rfmt>
  <rfmt sheetId="1" sqref="AQ547" start="0" length="0">
    <dxf>
      <font>
        <sz val="11"/>
        <color theme="1"/>
        <name val="Calibri"/>
        <scheme val="none"/>
      </font>
      <numFmt numFmtId="164" formatCode="_-* #,##0_-;\-* #,##0_-;_-* &quot;-&quot;??_-;_-@_-"/>
    </dxf>
  </rfmt>
  <rfmt sheetId="1" sqref="AR547" start="0" length="0">
    <dxf>
      <font>
        <sz val="11"/>
        <color theme="1"/>
        <name val="Calibri"/>
        <scheme val="none"/>
      </font>
      <numFmt numFmtId="164" formatCode="_-* #,##0_-;\-* #,##0_-;_-* &quot;-&quot;??_-;_-@_-"/>
    </dxf>
  </rfmt>
  <rfmt sheetId="1" sqref="AS547" start="0" length="0">
    <dxf>
      <font>
        <sz val="11"/>
        <color theme="1"/>
        <name val="Calibri"/>
        <scheme val="none"/>
      </font>
      <numFmt numFmtId="164" formatCode="_-* #,##0_-;\-* #,##0_-;_-* &quot;-&quot;??_-;_-@_-"/>
    </dxf>
  </rfmt>
  <rfmt sheetId="1" sqref="AT547" start="0" length="0">
    <dxf>
      <font>
        <sz val="11"/>
        <color theme="1"/>
        <name val="Calibri"/>
        <scheme val="none"/>
      </font>
      <numFmt numFmtId="164" formatCode="_-* #,##0_-;\-* #,##0_-;_-* &quot;-&quot;??_-;_-@_-"/>
    </dxf>
  </rfmt>
  <rfmt sheetId="1" sqref="AU547" start="0" length="0">
    <dxf>
      <font>
        <sz val="11"/>
        <color theme="1"/>
        <name val="Calibri"/>
        <scheme val="none"/>
      </font>
    </dxf>
  </rfmt>
  <rfmt sheetId="1" sqref="AV547" start="0" length="0">
    <dxf>
      <font>
        <sz val="11"/>
        <color theme="1"/>
        <name val="Calibri"/>
        <scheme val="none"/>
      </font>
    </dxf>
  </rfmt>
  <rfmt sheetId="1" sqref="AW547" start="0" length="0">
    <dxf>
      <font>
        <sz val="11"/>
        <color theme="1"/>
        <name val="Calibri"/>
        <scheme val="none"/>
      </font>
    </dxf>
  </rfmt>
  <rfmt sheetId="1" sqref="AX547" start="0" length="0">
    <dxf>
      <font>
        <sz val="11"/>
        <color theme="1"/>
        <name val="Calibri"/>
        <scheme val="none"/>
      </font>
    </dxf>
  </rfmt>
  <rfmt sheetId="1" sqref="AY547" start="0" length="0">
    <dxf>
      <font>
        <sz val="11"/>
        <color theme="1"/>
        <name val="Calibri"/>
        <scheme val="none"/>
      </font>
    </dxf>
  </rfmt>
  <rfmt sheetId="1" sqref="A547:XFD547" start="0" length="0">
    <dxf>
      <font>
        <sz val="11"/>
        <color theme="1"/>
        <name val="Calibri"/>
        <scheme val="none"/>
      </font>
    </dxf>
  </rfmt>
  <rfmt sheetId="1" sqref="A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4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4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48" start="0" length="0">
    <dxf>
      <font>
        <sz val="11"/>
        <color theme="1"/>
        <name val="Calibri"/>
        <scheme val="none"/>
      </font>
    </dxf>
  </rfmt>
  <rfmt sheetId="1" sqref="AM548" start="0" length="0">
    <dxf>
      <font>
        <sz val="11"/>
        <color theme="1"/>
        <name val="Calibri"/>
        <scheme val="none"/>
      </font>
      <numFmt numFmtId="1" formatCode="0"/>
    </dxf>
  </rfmt>
  <rfmt sheetId="1" sqref="AN548" start="0" length="0">
    <dxf>
      <font>
        <sz val="11"/>
        <color theme="1"/>
        <name val="Calibri"/>
        <scheme val="none"/>
      </font>
      <numFmt numFmtId="1" formatCode="0"/>
    </dxf>
  </rfmt>
  <rfmt sheetId="1" sqref="AO548" start="0" length="0">
    <dxf>
      <font>
        <sz val="11"/>
        <color theme="1"/>
        <name val="Calibri"/>
        <scheme val="none"/>
      </font>
    </dxf>
  </rfmt>
  <rfmt sheetId="1" sqref="AP548" start="0" length="0">
    <dxf>
      <font>
        <sz val="11"/>
        <color theme="1"/>
        <name val="Calibri"/>
        <scheme val="none"/>
      </font>
    </dxf>
  </rfmt>
  <rfmt sheetId="1" sqref="AQ548" start="0" length="0">
    <dxf>
      <font>
        <sz val="11"/>
        <color theme="1"/>
        <name val="Calibri"/>
        <scheme val="none"/>
      </font>
      <numFmt numFmtId="164" formatCode="_-* #,##0_-;\-* #,##0_-;_-* &quot;-&quot;??_-;_-@_-"/>
    </dxf>
  </rfmt>
  <rfmt sheetId="1" sqref="AR548" start="0" length="0">
    <dxf>
      <font>
        <sz val="11"/>
        <color theme="1"/>
        <name val="Calibri"/>
        <scheme val="none"/>
      </font>
      <numFmt numFmtId="164" formatCode="_-* #,##0_-;\-* #,##0_-;_-* &quot;-&quot;??_-;_-@_-"/>
    </dxf>
  </rfmt>
  <rfmt sheetId="1" sqref="AS548" start="0" length="0">
    <dxf>
      <font>
        <sz val="11"/>
        <color theme="1"/>
        <name val="Calibri"/>
        <scheme val="none"/>
      </font>
      <numFmt numFmtId="164" formatCode="_-* #,##0_-;\-* #,##0_-;_-* &quot;-&quot;??_-;_-@_-"/>
    </dxf>
  </rfmt>
  <rfmt sheetId="1" sqref="AT548" start="0" length="0">
    <dxf>
      <font>
        <sz val="11"/>
        <color theme="1"/>
        <name val="Calibri"/>
        <scheme val="none"/>
      </font>
      <numFmt numFmtId="164" formatCode="_-* #,##0_-;\-* #,##0_-;_-* &quot;-&quot;??_-;_-@_-"/>
    </dxf>
  </rfmt>
  <rfmt sheetId="1" sqref="AU548" start="0" length="0">
    <dxf>
      <font>
        <sz val="11"/>
        <color theme="1"/>
        <name val="Calibri"/>
        <scheme val="none"/>
      </font>
    </dxf>
  </rfmt>
  <rfmt sheetId="1" sqref="AV548" start="0" length="0">
    <dxf>
      <font>
        <sz val="11"/>
        <color theme="1"/>
        <name val="Calibri"/>
        <scheme val="none"/>
      </font>
    </dxf>
  </rfmt>
  <rfmt sheetId="1" sqref="AW548" start="0" length="0">
    <dxf>
      <font>
        <sz val="11"/>
        <color theme="1"/>
        <name val="Calibri"/>
        <scheme val="none"/>
      </font>
    </dxf>
  </rfmt>
  <rfmt sheetId="1" sqref="AX548" start="0" length="0">
    <dxf>
      <font>
        <sz val="11"/>
        <color theme="1"/>
        <name val="Calibri"/>
        <scheme val="none"/>
      </font>
    </dxf>
  </rfmt>
  <rfmt sheetId="1" sqref="AY548" start="0" length="0">
    <dxf>
      <font>
        <sz val="11"/>
        <color theme="1"/>
        <name val="Calibri"/>
        <scheme val="none"/>
      </font>
    </dxf>
  </rfmt>
  <rfmt sheetId="1" sqref="A548:XFD548" start="0" length="0">
    <dxf>
      <font>
        <sz val="11"/>
        <color theme="1"/>
        <name val="Calibri"/>
        <scheme val="none"/>
      </font>
    </dxf>
  </rfmt>
  <rfmt sheetId="1" sqref="A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4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4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49" start="0" length="0">
    <dxf>
      <font>
        <sz val="11"/>
        <color theme="1"/>
        <name val="Calibri"/>
        <scheme val="none"/>
      </font>
    </dxf>
  </rfmt>
  <rfmt sheetId="1" sqref="AM549" start="0" length="0">
    <dxf>
      <font>
        <sz val="11"/>
        <color theme="1"/>
        <name val="Calibri"/>
        <scheme val="none"/>
      </font>
      <numFmt numFmtId="1" formatCode="0"/>
    </dxf>
  </rfmt>
  <rfmt sheetId="1" sqref="AN549" start="0" length="0">
    <dxf>
      <font>
        <sz val="11"/>
        <color theme="1"/>
        <name val="Calibri"/>
        <scheme val="none"/>
      </font>
      <numFmt numFmtId="1" formatCode="0"/>
    </dxf>
  </rfmt>
  <rfmt sheetId="1" sqref="AO549" start="0" length="0">
    <dxf>
      <font>
        <sz val="11"/>
        <color theme="1"/>
        <name val="Calibri"/>
        <scheme val="none"/>
      </font>
    </dxf>
  </rfmt>
  <rfmt sheetId="1" sqref="AP549" start="0" length="0">
    <dxf>
      <font>
        <sz val="11"/>
        <color theme="1"/>
        <name val="Calibri"/>
        <scheme val="none"/>
      </font>
    </dxf>
  </rfmt>
  <rfmt sheetId="1" sqref="AQ549" start="0" length="0">
    <dxf>
      <font>
        <sz val="11"/>
        <color theme="1"/>
        <name val="Calibri"/>
        <scheme val="none"/>
      </font>
      <numFmt numFmtId="164" formatCode="_-* #,##0_-;\-* #,##0_-;_-* &quot;-&quot;??_-;_-@_-"/>
    </dxf>
  </rfmt>
  <rfmt sheetId="1" sqref="AR549" start="0" length="0">
    <dxf>
      <font>
        <sz val="11"/>
        <color theme="1"/>
        <name val="Calibri"/>
        <scheme val="none"/>
      </font>
      <numFmt numFmtId="164" formatCode="_-* #,##0_-;\-* #,##0_-;_-* &quot;-&quot;??_-;_-@_-"/>
    </dxf>
  </rfmt>
  <rfmt sheetId="1" sqref="AS549" start="0" length="0">
    <dxf>
      <font>
        <sz val="11"/>
        <color theme="1"/>
        <name val="Calibri"/>
        <scheme val="none"/>
      </font>
      <numFmt numFmtId="164" formatCode="_-* #,##0_-;\-* #,##0_-;_-* &quot;-&quot;??_-;_-@_-"/>
    </dxf>
  </rfmt>
  <rfmt sheetId="1" sqref="AT549" start="0" length="0">
    <dxf>
      <font>
        <sz val="11"/>
        <color theme="1"/>
        <name val="Calibri"/>
        <scheme val="none"/>
      </font>
      <numFmt numFmtId="164" formatCode="_-* #,##0_-;\-* #,##0_-;_-* &quot;-&quot;??_-;_-@_-"/>
    </dxf>
  </rfmt>
  <rfmt sheetId="1" sqref="AU549" start="0" length="0">
    <dxf>
      <font>
        <sz val="11"/>
        <color theme="1"/>
        <name val="Calibri"/>
        <scheme val="none"/>
      </font>
    </dxf>
  </rfmt>
  <rfmt sheetId="1" sqref="AV549" start="0" length="0">
    <dxf>
      <font>
        <sz val="11"/>
        <color theme="1"/>
        <name val="Calibri"/>
        <scheme val="none"/>
      </font>
    </dxf>
  </rfmt>
  <rfmt sheetId="1" sqref="AW549" start="0" length="0">
    <dxf>
      <font>
        <sz val="11"/>
        <color theme="1"/>
        <name val="Calibri"/>
        <scheme val="none"/>
      </font>
    </dxf>
  </rfmt>
  <rfmt sheetId="1" sqref="AX549" start="0" length="0">
    <dxf>
      <font>
        <sz val="11"/>
        <color theme="1"/>
        <name val="Calibri"/>
        <scheme val="none"/>
      </font>
    </dxf>
  </rfmt>
  <rfmt sheetId="1" sqref="AY549" start="0" length="0">
    <dxf>
      <font>
        <sz val="11"/>
        <color theme="1"/>
        <name val="Calibri"/>
        <scheme val="none"/>
      </font>
    </dxf>
  </rfmt>
  <rfmt sheetId="1" sqref="A549:XFD549" start="0" length="0">
    <dxf>
      <font>
        <sz val="11"/>
        <color theme="1"/>
        <name val="Calibri"/>
        <scheme val="none"/>
      </font>
    </dxf>
  </rfmt>
  <rfmt sheetId="1" sqref="A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5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5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50" start="0" length="0">
    <dxf>
      <font>
        <sz val="11"/>
        <color theme="1"/>
        <name val="Calibri"/>
        <scheme val="none"/>
      </font>
    </dxf>
  </rfmt>
  <rfmt sheetId="1" sqref="AM550" start="0" length="0">
    <dxf>
      <font>
        <sz val="11"/>
        <color theme="1"/>
        <name val="Calibri"/>
        <scheme val="none"/>
      </font>
      <numFmt numFmtId="1" formatCode="0"/>
    </dxf>
  </rfmt>
  <rfmt sheetId="1" sqref="AN550" start="0" length="0">
    <dxf>
      <font>
        <sz val="11"/>
        <color theme="1"/>
        <name val="Calibri"/>
        <scheme val="none"/>
      </font>
      <numFmt numFmtId="1" formatCode="0"/>
    </dxf>
  </rfmt>
  <rfmt sheetId="1" sqref="AO550" start="0" length="0">
    <dxf>
      <font>
        <sz val="11"/>
        <color theme="1"/>
        <name val="Calibri"/>
        <scheme val="none"/>
      </font>
    </dxf>
  </rfmt>
  <rfmt sheetId="1" sqref="AP550" start="0" length="0">
    <dxf>
      <font>
        <sz val="11"/>
        <color theme="1"/>
        <name val="Calibri"/>
        <scheme val="none"/>
      </font>
    </dxf>
  </rfmt>
  <rfmt sheetId="1" sqref="AQ550" start="0" length="0">
    <dxf>
      <font>
        <sz val="11"/>
        <color theme="1"/>
        <name val="Calibri"/>
        <scheme val="none"/>
      </font>
      <numFmt numFmtId="164" formatCode="_-* #,##0_-;\-* #,##0_-;_-* &quot;-&quot;??_-;_-@_-"/>
    </dxf>
  </rfmt>
  <rfmt sheetId="1" sqref="AR550" start="0" length="0">
    <dxf>
      <font>
        <sz val="11"/>
        <color theme="1"/>
        <name val="Calibri"/>
        <scheme val="none"/>
      </font>
      <numFmt numFmtId="164" formatCode="_-* #,##0_-;\-* #,##0_-;_-* &quot;-&quot;??_-;_-@_-"/>
    </dxf>
  </rfmt>
  <rfmt sheetId="1" sqref="AS550" start="0" length="0">
    <dxf>
      <font>
        <sz val="11"/>
        <color theme="1"/>
        <name val="Calibri"/>
        <scheme val="none"/>
      </font>
      <numFmt numFmtId="164" formatCode="_-* #,##0_-;\-* #,##0_-;_-* &quot;-&quot;??_-;_-@_-"/>
    </dxf>
  </rfmt>
  <rfmt sheetId="1" sqref="AT550" start="0" length="0">
    <dxf>
      <font>
        <sz val="11"/>
        <color theme="1"/>
        <name val="Calibri"/>
        <scheme val="none"/>
      </font>
      <numFmt numFmtId="164" formatCode="_-* #,##0_-;\-* #,##0_-;_-* &quot;-&quot;??_-;_-@_-"/>
    </dxf>
  </rfmt>
  <rfmt sheetId="1" sqref="AU550" start="0" length="0">
    <dxf>
      <font>
        <sz val="11"/>
        <color theme="1"/>
        <name val="Calibri"/>
        <scheme val="none"/>
      </font>
    </dxf>
  </rfmt>
  <rfmt sheetId="1" sqref="AV550" start="0" length="0">
    <dxf>
      <font>
        <sz val="11"/>
        <color theme="1"/>
        <name val="Calibri"/>
        <scheme val="none"/>
      </font>
    </dxf>
  </rfmt>
  <rfmt sheetId="1" sqref="AW550" start="0" length="0">
    <dxf>
      <font>
        <sz val="11"/>
        <color theme="1"/>
        <name val="Calibri"/>
        <scheme val="none"/>
      </font>
    </dxf>
  </rfmt>
  <rfmt sheetId="1" sqref="AX550" start="0" length="0">
    <dxf>
      <font>
        <sz val="11"/>
        <color theme="1"/>
        <name val="Calibri"/>
        <scheme val="none"/>
      </font>
    </dxf>
  </rfmt>
  <rfmt sheetId="1" sqref="AY550" start="0" length="0">
    <dxf>
      <font>
        <sz val="11"/>
        <color theme="1"/>
        <name val="Calibri"/>
        <scheme val="none"/>
      </font>
    </dxf>
  </rfmt>
  <rfmt sheetId="1" sqref="A550:XFD550" start="0" length="0">
    <dxf>
      <font>
        <sz val="11"/>
        <color theme="1"/>
        <name val="Calibri"/>
        <scheme val="none"/>
      </font>
    </dxf>
  </rfmt>
  <rfmt sheetId="1" sqref="A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5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5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51" start="0" length="0">
    <dxf>
      <font>
        <sz val="11"/>
        <color theme="1"/>
        <name val="Calibri"/>
        <scheme val="none"/>
      </font>
    </dxf>
  </rfmt>
  <rfmt sheetId="1" sqref="AM551" start="0" length="0">
    <dxf>
      <font>
        <sz val="11"/>
        <color theme="1"/>
        <name val="Calibri"/>
        <scheme val="none"/>
      </font>
      <numFmt numFmtId="1" formatCode="0"/>
    </dxf>
  </rfmt>
  <rfmt sheetId="1" sqref="AN551" start="0" length="0">
    <dxf>
      <font>
        <sz val="11"/>
        <color theme="1"/>
        <name val="Calibri"/>
        <scheme val="none"/>
      </font>
      <numFmt numFmtId="1" formatCode="0"/>
    </dxf>
  </rfmt>
  <rfmt sheetId="1" sqref="AO551" start="0" length="0">
    <dxf>
      <font>
        <sz val="11"/>
        <color theme="1"/>
        <name val="Calibri"/>
        <scheme val="none"/>
      </font>
    </dxf>
  </rfmt>
  <rfmt sheetId="1" sqref="AP551" start="0" length="0">
    <dxf>
      <font>
        <sz val="11"/>
        <color theme="1"/>
        <name val="Calibri"/>
        <scheme val="none"/>
      </font>
    </dxf>
  </rfmt>
  <rfmt sheetId="1" sqref="AQ551" start="0" length="0">
    <dxf>
      <font>
        <sz val="11"/>
        <color theme="1"/>
        <name val="Calibri"/>
        <scheme val="none"/>
      </font>
      <numFmt numFmtId="164" formatCode="_-* #,##0_-;\-* #,##0_-;_-* &quot;-&quot;??_-;_-@_-"/>
    </dxf>
  </rfmt>
  <rfmt sheetId="1" sqref="AR551" start="0" length="0">
    <dxf>
      <font>
        <sz val="11"/>
        <color theme="1"/>
        <name val="Calibri"/>
        <scheme val="none"/>
      </font>
      <numFmt numFmtId="164" formatCode="_-* #,##0_-;\-* #,##0_-;_-* &quot;-&quot;??_-;_-@_-"/>
    </dxf>
  </rfmt>
  <rfmt sheetId="1" sqref="AS551" start="0" length="0">
    <dxf>
      <font>
        <sz val="11"/>
        <color theme="1"/>
        <name val="Calibri"/>
        <scheme val="none"/>
      </font>
      <numFmt numFmtId="164" formatCode="_-* #,##0_-;\-* #,##0_-;_-* &quot;-&quot;??_-;_-@_-"/>
    </dxf>
  </rfmt>
  <rfmt sheetId="1" sqref="AT551" start="0" length="0">
    <dxf>
      <font>
        <sz val="11"/>
        <color theme="1"/>
        <name val="Calibri"/>
        <scheme val="none"/>
      </font>
      <numFmt numFmtId="164" formatCode="_-* #,##0_-;\-* #,##0_-;_-* &quot;-&quot;??_-;_-@_-"/>
    </dxf>
  </rfmt>
  <rfmt sheetId="1" sqref="AU551" start="0" length="0">
    <dxf>
      <font>
        <sz val="11"/>
        <color theme="1"/>
        <name val="Calibri"/>
        <scheme val="none"/>
      </font>
    </dxf>
  </rfmt>
  <rfmt sheetId="1" sqref="AV551" start="0" length="0">
    <dxf>
      <font>
        <sz val="11"/>
        <color theme="1"/>
        <name val="Calibri"/>
        <scheme val="none"/>
      </font>
    </dxf>
  </rfmt>
  <rfmt sheetId="1" sqref="AW551" start="0" length="0">
    <dxf>
      <font>
        <sz val="11"/>
        <color theme="1"/>
        <name val="Calibri"/>
        <scheme val="none"/>
      </font>
    </dxf>
  </rfmt>
  <rfmt sheetId="1" sqref="AX551" start="0" length="0">
    <dxf>
      <font>
        <sz val="11"/>
        <color theme="1"/>
        <name val="Calibri"/>
        <scheme val="none"/>
      </font>
    </dxf>
  </rfmt>
  <rfmt sheetId="1" sqref="AY551" start="0" length="0">
    <dxf>
      <font>
        <sz val="11"/>
        <color theme="1"/>
        <name val="Calibri"/>
        <scheme val="none"/>
      </font>
    </dxf>
  </rfmt>
  <rfmt sheetId="1" sqref="A551:XFD551" start="0" length="0">
    <dxf>
      <font>
        <sz val="11"/>
        <color theme="1"/>
        <name val="Calibri"/>
        <scheme val="none"/>
      </font>
    </dxf>
  </rfmt>
  <rfmt sheetId="1" sqref="A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5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5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52" start="0" length="0">
    <dxf>
      <font>
        <sz val="11"/>
        <color theme="1"/>
        <name val="Calibri"/>
        <scheme val="none"/>
      </font>
    </dxf>
  </rfmt>
  <rfmt sheetId="1" sqref="AM552" start="0" length="0">
    <dxf>
      <font>
        <sz val="11"/>
        <color theme="1"/>
        <name val="Calibri"/>
        <scheme val="none"/>
      </font>
      <numFmt numFmtId="1" formatCode="0"/>
    </dxf>
  </rfmt>
  <rfmt sheetId="1" sqref="AN552" start="0" length="0">
    <dxf>
      <font>
        <sz val="11"/>
        <color theme="1"/>
        <name val="Calibri"/>
        <scheme val="none"/>
      </font>
      <numFmt numFmtId="1" formatCode="0"/>
    </dxf>
  </rfmt>
  <rfmt sheetId="1" sqref="AO552" start="0" length="0">
    <dxf>
      <font>
        <sz val="11"/>
        <color theme="1"/>
        <name val="Calibri"/>
        <scheme val="none"/>
      </font>
    </dxf>
  </rfmt>
  <rfmt sheetId="1" sqref="AP552" start="0" length="0">
    <dxf>
      <font>
        <sz val="11"/>
        <color theme="1"/>
        <name val="Calibri"/>
        <scheme val="none"/>
      </font>
    </dxf>
  </rfmt>
  <rfmt sheetId="1" sqref="AQ552" start="0" length="0">
    <dxf>
      <font>
        <sz val="11"/>
        <color theme="1"/>
        <name val="Calibri"/>
        <scheme val="none"/>
      </font>
      <numFmt numFmtId="164" formatCode="_-* #,##0_-;\-* #,##0_-;_-* &quot;-&quot;??_-;_-@_-"/>
    </dxf>
  </rfmt>
  <rfmt sheetId="1" sqref="AR552" start="0" length="0">
    <dxf>
      <font>
        <sz val="11"/>
        <color theme="1"/>
        <name val="Calibri"/>
        <scheme val="none"/>
      </font>
      <numFmt numFmtId="164" formatCode="_-* #,##0_-;\-* #,##0_-;_-* &quot;-&quot;??_-;_-@_-"/>
    </dxf>
  </rfmt>
  <rfmt sheetId="1" sqref="AS552" start="0" length="0">
    <dxf>
      <font>
        <sz val="11"/>
        <color theme="1"/>
        <name val="Calibri"/>
        <scheme val="none"/>
      </font>
      <numFmt numFmtId="164" formatCode="_-* #,##0_-;\-* #,##0_-;_-* &quot;-&quot;??_-;_-@_-"/>
    </dxf>
  </rfmt>
  <rfmt sheetId="1" sqref="AT552" start="0" length="0">
    <dxf>
      <font>
        <sz val="11"/>
        <color theme="1"/>
        <name val="Calibri"/>
        <scheme val="none"/>
      </font>
      <numFmt numFmtId="164" formatCode="_-* #,##0_-;\-* #,##0_-;_-* &quot;-&quot;??_-;_-@_-"/>
    </dxf>
  </rfmt>
  <rfmt sheetId="1" sqref="AU552" start="0" length="0">
    <dxf>
      <font>
        <sz val="11"/>
        <color theme="1"/>
        <name val="Calibri"/>
        <scheme val="none"/>
      </font>
    </dxf>
  </rfmt>
  <rfmt sheetId="1" sqref="AV552" start="0" length="0">
    <dxf>
      <font>
        <sz val="11"/>
        <color theme="1"/>
        <name val="Calibri"/>
        <scheme val="none"/>
      </font>
    </dxf>
  </rfmt>
  <rfmt sheetId="1" sqref="AW552" start="0" length="0">
    <dxf>
      <font>
        <sz val="11"/>
        <color theme="1"/>
        <name val="Calibri"/>
        <scheme val="none"/>
      </font>
    </dxf>
  </rfmt>
  <rfmt sheetId="1" sqref="AX552" start="0" length="0">
    <dxf>
      <font>
        <sz val="11"/>
        <color theme="1"/>
        <name val="Calibri"/>
        <scheme val="none"/>
      </font>
    </dxf>
  </rfmt>
  <rfmt sheetId="1" sqref="AY552" start="0" length="0">
    <dxf>
      <font>
        <sz val="11"/>
        <color theme="1"/>
        <name val="Calibri"/>
        <scheme val="none"/>
      </font>
    </dxf>
  </rfmt>
  <rfmt sheetId="1" sqref="A552:XFD552" start="0" length="0">
    <dxf>
      <font>
        <sz val="11"/>
        <color theme="1"/>
        <name val="Calibri"/>
        <scheme val="none"/>
      </font>
    </dxf>
  </rfmt>
  <rfmt sheetId="1" sqref="A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5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5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53" start="0" length="0">
    <dxf>
      <font>
        <sz val="11"/>
        <color theme="1"/>
        <name val="Calibri"/>
        <scheme val="none"/>
      </font>
    </dxf>
  </rfmt>
  <rfmt sheetId="1" sqref="AM553" start="0" length="0">
    <dxf>
      <font>
        <sz val="11"/>
        <color theme="1"/>
        <name val="Calibri"/>
        <scheme val="none"/>
      </font>
      <numFmt numFmtId="1" formatCode="0"/>
    </dxf>
  </rfmt>
  <rfmt sheetId="1" sqref="AN553" start="0" length="0">
    <dxf>
      <font>
        <sz val="11"/>
        <color theme="1"/>
        <name val="Calibri"/>
        <scheme val="none"/>
      </font>
      <numFmt numFmtId="1" formatCode="0"/>
    </dxf>
  </rfmt>
  <rfmt sheetId="1" sqref="AO553" start="0" length="0">
    <dxf>
      <font>
        <sz val="11"/>
        <color theme="1"/>
        <name val="Calibri"/>
        <scheme val="none"/>
      </font>
    </dxf>
  </rfmt>
  <rfmt sheetId="1" sqref="AP553" start="0" length="0">
    <dxf>
      <font>
        <sz val="11"/>
        <color theme="1"/>
        <name val="Calibri"/>
        <scheme val="none"/>
      </font>
    </dxf>
  </rfmt>
  <rfmt sheetId="1" sqref="AQ553" start="0" length="0">
    <dxf>
      <font>
        <sz val="11"/>
        <color theme="1"/>
        <name val="Calibri"/>
        <scheme val="none"/>
      </font>
      <numFmt numFmtId="164" formatCode="_-* #,##0_-;\-* #,##0_-;_-* &quot;-&quot;??_-;_-@_-"/>
    </dxf>
  </rfmt>
  <rfmt sheetId="1" sqref="AR553" start="0" length="0">
    <dxf>
      <font>
        <sz val="11"/>
        <color theme="1"/>
        <name val="Calibri"/>
        <scheme val="none"/>
      </font>
      <numFmt numFmtId="164" formatCode="_-* #,##0_-;\-* #,##0_-;_-* &quot;-&quot;??_-;_-@_-"/>
    </dxf>
  </rfmt>
  <rfmt sheetId="1" sqref="AS553" start="0" length="0">
    <dxf>
      <font>
        <sz val="11"/>
        <color theme="1"/>
        <name val="Calibri"/>
        <scheme val="none"/>
      </font>
      <numFmt numFmtId="164" formatCode="_-* #,##0_-;\-* #,##0_-;_-* &quot;-&quot;??_-;_-@_-"/>
    </dxf>
  </rfmt>
  <rfmt sheetId="1" sqref="AT553" start="0" length="0">
    <dxf>
      <font>
        <sz val="11"/>
        <color theme="1"/>
        <name val="Calibri"/>
        <scheme val="none"/>
      </font>
      <numFmt numFmtId="164" formatCode="_-* #,##0_-;\-* #,##0_-;_-* &quot;-&quot;??_-;_-@_-"/>
    </dxf>
  </rfmt>
  <rfmt sheetId="1" sqref="AU553" start="0" length="0">
    <dxf>
      <font>
        <sz val="11"/>
        <color theme="1"/>
        <name val="Calibri"/>
        <scheme val="none"/>
      </font>
    </dxf>
  </rfmt>
  <rfmt sheetId="1" sqref="AV553" start="0" length="0">
    <dxf>
      <font>
        <sz val="11"/>
        <color theme="1"/>
        <name val="Calibri"/>
        <scheme val="none"/>
      </font>
    </dxf>
  </rfmt>
  <rfmt sheetId="1" sqref="AW553" start="0" length="0">
    <dxf>
      <font>
        <sz val="11"/>
        <color theme="1"/>
        <name val="Calibri"/>
        <scheme val="none"/>
      </font>
    </dxf>
  </rfmt>
  <rfmt sheetId="1" sqref="AX553" start="0" length="0">
    <dxf>
      <font>
        <sz val="11"/>
        <color theme="1"/>
        <name val="Calibri"/>
        <scheme val="none"/>
      </font>
    </dxf>
  </rfmt>
  <rfmt sheetId="1" sqref="AY553" start="0" length="0">
    <dxf>
      <font>
        <sz val="11"/>
        <color theme="1"/>
        <name val="Calibri"/>
        <scheme val="none"/>
      </font>
    </dxf>
  </rfmt>
  <rfmt sheetId="1" sqref="A553:XFD553" start="0" length="0">
    <dxf>
      <font>
        <sz val="11"/>
        <color theme="1"/>
        <name val="Calibri"/>
        <scheme val="none"/>
      </font>
    </dxf>
  </rfmt>
  <rfmt sheetId="1" sqref="A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5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5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54" start="0" length="0">
    <dxf>
      <font>
        <sz val="11"/>
        <color theme="1"/>
        <name val="Calibri"/>
        <scheme val="none"/>
      </font>
    </dxf>
  </rfmt>
  <rfmt sheetId="1" sqref="AM554" start="0" length="0">
    <dxf>
      <font>
        <sz val="11"/>
        <color theme="1"/>
        <name val="Calibri"/>
        <scheme val="none"/>
      </font>
      <numFmt numFmtId="1" formatCode="0"/>
    </dxf>
  </rfmt>
  <rfmt sheetId="1" sqref="AN554" start="0" length="0">
    <dxf>
      <font>
        <sz val="11"/>
        <color theme="1"/>
        <name val="Calibri"/>
        <scheme val="none"/>
      </font>
      <numFmt numFmtId="1" formatCode="0"/>
    </dxf>
  </rfmt>
  <rfmt sheetId="1" sqref="AO554" start="0" length="0">
    <dxf>
      <font>
        <sz val="11"/>
        <color theme="1"/>
        <name val="Calibri"/>
        <scheme val="none"/>
      </font>
    </dxf>
  </rfmt>
  <rfmt sheetId="1" sqref="AP554" start="0" length="0">
    <dxf>
      <font>
        <sz val="11"/>
        <color theme="1"/>
        <name val="Calibri"/>
        <scheme val="none"/>
      </font>
    </dxf>
  </rfmt>
  <rfmt sheetId="1" sqref="AQ554" start="0" length="0">
    <dxf>
      <font>
        <sz val="11"/>
        <color theme="1"/>
        <name val="Calibri"/>
        <scheme val="none"/>
      </font>
      <numFmt numFmtId="164" formatCode="_-* #,##0_-;\-* #,##0_-;_-* &quot;-&quot;??_-;_-@_-"/>
    </dxf>
  </rfmt>
  <rfmt sheetId="1" sqref="AR554" start="0" length="0">
    <dxf>
      <font>
        <sz val="11"/>
        <color theme="1"/>
        <name val="Calibri"/>
        <scheme val="none"/>
      </font>
      <numFmt numFmtId="164" formatCode="_-* #,##0_-;\-* #,##0_-;_-* &quot;-&quot;??_-;_-@_-"/>
    </dxf>
  </rfmt>
  <rfmt sheetId="1" sqref="AS554" start="0" length="0">
    <dxf>
      <font>
        <sz val="11"/>
        <color theme="1"/>
        <name val="Calibri"/>
        <scheme val="none"/>
      </font>
      <numFmt numFmtId="164" formatCode="_-* #,##0_-;\-* #,##0_-;_-* &quot;-&quot;??_-;_-@_-"/>
    </dxf>
  </rfmt>
  <rfmt sheetId="1" sqref="AT554" start="0" length="0">
    <dxf>
      <font>
        <sz val="11"/>
        <color theme="1"/>
        <name val="Calibri"/>
        <scheme val="none"/>
      </font>
      <numFmt numFmtId="164" formatCode="_-* #,##0_-;\-* #,##0_-;_-* &quot;-&quot;??_-;_-@_-"/>
    </dxf>
  </rfmt>
  <rfmt sheetId="1" sqref="AU554" start="0" length="0">
    <dxf>
      <font>
        <sz val="11"/>
        <color theme="1"/>
        <name val="Calibri"/>
        <scheme val="none"/>
      </font>
    </dxf>
  </rfmt>
  <rfmt sheetId="1" sqref="AV554" start="0" length="0">
    <dxf>
      <font>
        <sz val="11"/>
        <color theme="1"/>
        <name val="Calibri"/>
        <scheme val="none"/>
      </font>
    </dxf>
  </rfmt>
  <rfmt sheetId="1" sqref="AW554" start="0" length="0">
    <dxf>
      <font>
        <sz val="11"/>
        <color theme="1"/>
        <name val="Calibri"/>
        <scheme val="none"/>
      </font>
    </dxf>
  </rfmt>
  <rfmt sheetId="1" sqref="AX554" start="0" length="0">
    <dxf>
      <font>
        <sz val="11"/>
        <color theme="1"/>
        <name val="Calibri"/>
        <scheme val="none"/>
      </font>
    </dxf>
  </rfmt>
  <rfmt sheetId="1" sqref="AY554" start="0" length="0">
    <dxf>
      <font>
        <sz val="11"/>
        <color theme="1"/>
        <name val="Calibri"/>
        <scheme val="none"/>
      </font>
    </dxf>
  </rfmt>
  <rfmt sheetId="1" sqref="A554:XFD554" start="0" length="0">
    <dxf>
      <font>
        <sz val="11"/>
        <color theme="1"/>
        <name val="Calibri"/>
        <scheme val="none"/>
      </font>
    </dxf>
  </rfmt>
  <rfmt sheetId="1" sqref="A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5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5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55" start="0" length="0">
    <dxf>
      <font>
        <sz val="11"/>
        <color theme="1"/>
        <name val="Calibri"/>
        <scheme val="none"/>
      </font>
    </dxf>
  </rfmt>
  <rfmt sheetId="1" sqref="AM555" start="0" length="0">
    <dxf>
      <font>
        <sz val="11"/>
        <color theme="1"/>
        <name val="Calibri"/>
        <scheme val="none"/>
      </font>
      <numFmt numFmtId="1" formatCode="0"/>
    </dxf>
  </rfmt>
  <rfmt sheetId="1" sqref="AN555" start="0" length="0">
    <dxf>
      <font>
        <sz val="11"/>
        <color theme="1"/>
        <name val="Calibri"/>
        <scheme val="none"/>
      </font>
      <numFmt numFmtId="1" formatCode="0"/>
    </dxf>
  </rfmt>
  <rfmt sheetId="1" sqref="AO555" start="0" length="0">
    <dxf>
      <font>
        <sz val="11"/>
        <color theme="1"/>
        <name val="Calibri"/>
        <scheme val="none"/>
      </font>
    </dxf>
  </rfmt>
  <rfmt sheetId="1" sqref="AP555" start="0" length="0">
    <dxf>
      <font>
        <sz val="11"/>
        <color theme="1"/>
        <name val="Calibri"/>
        <scheme val="none"/>
      </font>
    </dxf>
  </rfmt>
  <rfmt sheetId="1" sqref="AQ555" start="0" length="0">
    <dxf>
      <font>
        <sz val="11"/>
        <color theme="1"/>
        <name val="Calibri"/>
        <scheme val="none"/>
      </font>
      <numFmt numFmtId="164" formatCode="_-* #,##0_-;\-* #,##0_-;_-* &quot;-&quot;??_-;_-@_-"/>
    </dxf>
  </rfmt>
  <rfmt sheetId="1" sqref="AR555" start="0" length="0">
    <dxf>
      <font>
        <sz val="11"/>
        <color theme="1"/>
        <name val="Calibri"/>
        <scheme val="none"/>
      </font>
      <numFmt numFmtId="164" formatCode="_-* #,##0_-;\-* #,##0_-;_-* &quot;-&quot;??_-;_-@_-"/>
    </dxf>
  </rfmt>
  <rfmt sheetId="1" sqref="AS555" start="0" length="0">
    <dxf>
      <font>
        <sz val="11"/>
        <color theme="1"/>
        <name val="Calibri"/>
        <scheme val="none"/>
      </font>
      <numFmt numFmtId="164" formatCode="_-* #,##0_-;\-* #,##0_-;_-* &quot;-&quot;??_-;_-@_-"/>
    </dxf>
  </rfmt>
  <rfmt sheetId="1" sqref="AT555" start="0" length="0">
    <dxf>
      <font>
        <sz val="11"/>
        <color theme="1"/>
        <name val="Calibri"/>
        <scheme val="none"/>
      </font>
      <numFmt numFmtId="164" formatCode="_-* #,##0_-;\-* #,##0_-;_-* &quot;-&quot;??_-;_-@_-"/>
    </dxf>
  </rfmt>
  <rfmt sheetId="1" sqref="AU555" start="0" length="0">
    <dxf>
      <font>
        <sz val="11"/>
        <color theme="1"/>
        <name val="Calibri"/>
        <scheme val="none"/>
      </font>
    </dxf>
  </rfmt>
  <rfmt sheetId="1" sqref="AV555" start="0" length="0">
    <dxf>
      <font>
        <sz val="11"/>
        <color theme="1"/>
        <name val="Calibri"/>
        <scheme val="none"/>
      </font>
    </dxf>
  </rfmt>
  <rfmt sheetId="1" sqref="AW555" start="0" length="0">
    <dxf>
      <font>
        <sz val="11"/>
        <color theme="1"/>
        <name val="Calibri"/>
        <scheme val="none"/>
      </font>
    </dxf>
  </rfmt>
  <rfmt sheetId="1" sqref="AX555" start="0" length="0">
    <dxf>
      <font>
        <sz val="11"/>
        <color theme="1"/>
        <name val="Calibri"/>
        <scheme val="none"/>
      </font>
    </dxf>
  </rfmt>
  <rfmt sheetId="1" sqref="AY555" start="0" length="0">
    <dxf>
      <font>
        <sz val="11"/>
        <color theme="1"/>
        <name val="Calibri"/>
        <scheme val="none"/>
      </font>
    </dxf>
  </rfmt>
  <rfmt sheetId="1" sqref="A555:XFD555" start="0" length="0">
    <dxf>
      <font>
        <sz val="11"/>
        <color theme="1"/>
        <name val="Calibri"/>
        <scheme val="none"/>
      </font>
    </dxf>
  </rfmt>
  <rfmt sheetId="1" sqref="A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5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5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56" start="0" length="0">
    <dxf>
      <font>
        <sz val="11"/>
        <color theme="1"/>
        <name val="Calibri"/>
        <scheme val="none"/>
      </font>
    </dxf>
  </rfmt>
  <rfmt sheetId="1" sqref="AM556" start="0" length="0">
    <dxf>
      <font>
        <sz val="11"/>
        <color theme="1"/>
        <name val="Calibri"/>
        <scheme val="none"/>
      </font>
      <numFmt numFmtId="1" formatCode="0"/>
    </dxf>
  </rfmt>
  <rfmt sheetId="1" sqref="AN556" start="0" length="0">
    <dxf>
      <font>
        <sz val="11"/>
        <color theme="1"/>
        <name val="Calibri"/>
        <scheme val="none"/>
      </font>
      <numFmt numFmtId="1" formatCode="0"/>
    </dxf>
  </rfmt>
  <rfmt sheetId="1" sqref="AO556" start="0" length="0">
    <dxf>
      <font>
        <sz val="11"/>
        <color theme="1"/>
        <name val="Calibri"/>
        <scheme val="none"/>
      </font>
    </dxf>
  </rfmt>
  <rfmt sheetId="1" sqref="AP556" start="0" length="0">
    <dxf>
      <font>
        <sz val="11"/>
        <color theme="1"/>
        <name val="Calibri"/>
        <scheme val="none"/>
      </font>
    </dxf>
  </rfmt>
  <rfmt sheetId="1" sqref="AQ556" start="0" length="0">
    <dxf>
      <font>
        <sz val="11"/>
        <color theme="1"/>
        <name val="Calibri"/>
        <scheme val="none"/>
      </font>
      <numFmt numFmtId="164" formatCode="_-* #,##0_-;\-* #,##0_-;_-* &quot;-&quot;??_-;_-@_-"/>
    </dxf>
  </rfmt>
  <rfmt sheetId="1" sqref="AR556" start="0" length="0">
    <dxf>
      <font>
        <sz val="11"/>
        <color theme="1"/>
        <name val="Calibri"/>
        <scheme val="none"/>
      </font>
      <numFmt numFmtId="164" formatCode="_-* #,##0_-;\-* #,##0_-;_-* &quot;-&quot;??_-;_-@_-"/>
    </dxf>
  </rfmt>
  <rfmt sheetId="1" sqref="AS556" start="0" length="0">
    <dxf>
      <font>
        <sz val="11"/>
        <color theme="1"/>
        <name val="Calibri"/>
        <scheme val="none"/>
      </font>
      <numFmt numFmtId="164" formatCode="_-* #,##0_-;\-* #,##0_-;_-* &quot;-&quot;??_-;_-@_-"/>
    </dxf>
  </rfmt>
  <rfmt sheetId="1" sqref="AT556" start="0" length="0">
    <dxf>
      <font>
        <sz val="11"/>
        <color theme="1"/>
        <name val="Calibri"/>
        <scheme val="none"/>
      </font>
      <numFmt numFmtId="164" formatCode="_-* #,##0_-;\-* #,##0_-;_-* &quot;-&quot;??_-;_-@_-"/>
    </dxf>
  </rfmt>
  <rfmt sheetId="1" sqref="AU556" start="0" length="0">
    <dxf>
      <font>
        <sz val="11"/>
        <color theme="1"/>
        <name val="Calibri"/>
        <scheme val="none"/>
      </font>
    </dxf>
  </rfmt>
  <rfmt sheetId="1" sqref="AV556" start="0" length="0">
    <dxf>
      <font>
        <sz val="11"/>
        <color theme="1"/>
        <name val="Calibri"/>
        <scheme val="none"/>
      </font>
    </dxf>
  </rfmt>
  <rfmt sheetId="1" sqref="AW556" start="0" length="0">
    <dxf>
      <font>
        <sz val="11"/>
        <color theme="1"/>
        <name val="Calibri"/>
        <scheme val="none"/>
      </font>
    </dxf>
  </rfmt>
  <rfmt sheetId="1" sqref="AX556" start="0" length="0">
    <dxf>
      <font>
        <sz val="11"/>
        <color theme="1"/>
        <name val="Calibri"/>
        <scheme val="none"/>
      </font>
    </dxf>
  </rfmt>
  <rfmt sheetId="1" sqref="AY556" start="0" length="0">
    <dxf>
      <font>
        <sz val="11"/>
        <color theme="1"/>
        <name val="Calibri"/>
        <scheme val="none"/>
      </font>
    </dxf>
  </rfmt>
  <rfmt sheetId="1" sqref="A556:XFD556" start="0" length="0">
    <dxf>
      <font>
        <sz val="11"/>
        <color theme="1"/>
        <name val="Calibri"/>
        <scheme val="none"/>
      </font>
    </dxf>
  </rfmt>
  <rfmt sheetId="1" sqref="A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5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5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57" start="0" length="0">
    <dxf>
      <font>
        <sz val="11"/>
        <color theme="1"/>
        <name val="Calibri"/>
        <scheme val="none"/>
      </font>
    </dxf>
  </rfmt>
  <rfmt sheetId="1" sqref="AM557" start="0" length="0">
    <dxf>
      <font>
        <sz val="11"/>
        <color theme="1"/>
        <name val="Calibri"/>
        <scheme val="none"/>
      </font>
      <numFmt numFmtId="1" formatCode="0"/>
    </dxf>
  </rfmt>
  <rfmt sheetId="1" sqref="AN557" start="0" length="0">
    <dxf>
      <font>
        <sz val="11"/>
        <color theme="1"/>
        <name val="Calibri"/>
        <scheme val="none"/>
      </font>
      <numFmt numFmtId="1" formatCode="0"/>
    </dxf>
  </rfmt>
  <rfmt sheetId="1" sqref="AO557" start="0" length="0">
    <dxf>
      <font>
        <sz val="11"/>
        <color theme="1"/>
        <name val="Calibri"/>
        <scheme val="none"/>
      </font>
    </dxf>
  </rfmt>
  <rfmt sheetId="1" sqref="AP557" start="0" length="0">
    <dxf>
      <font>
        <sz val="11"/>
        <color theme="1"/>
        <name val="Calibri"/>
        <scheme val="none"/>
      </font>
    </dxf>
  </rfmt>
  <rfmt sheetId="1" sqref="AQ557" start="0" length="0">
    <dxf>
      <font>
        <sz val="11"/>
        <color theme="1"/>
        <name val="Calibri"/>
        <scheme val="none"/>
      </font>
      <numFmt numFmtId="164" formatCode="_-* #,##0_-;\-* #,##0_-;_-* &quot;-&quot;??_-;_-@_-"/>
    </dxf>
  </rfmt>
  <rfmt sheetId="1" sqref="AR557" start="0" length="0">
    <dxf>
      <font>
        <sz val="11"/>
        <color theme="1"/>
        <name val="Calibri"/>
        <scheme val="none"/>
      </font>
      <numFmt numFmtId="164" formatCode="_-* #,##0_-;\-* #,##0_-;_-* &quot;-&quot;??_-;_-@_-"/>
    </dxf>
  </rfmt>
  <rfmt sheetId="1" sqref="AS557" start="0" length="0">
    <dxf>
      <font>
        <sz val="11"/>
        <color theme="1"/>
        <name val="Calibri"/>
        <scheme val="none"/>
      </font>
      <numFmt numFmtId="164" formatCode="_-* #,##0_-;\-* #,##0_-;_-* &quot;-&quot;??_-;_-@_-"/>
    </dxf>
  </rfmt>
  <rfmt sheetId="1" sqref="AT557" start="0" length="0">
    <dxf>
      <font>
        <sz val="11"/>
        <color theme="1"/>
        <name val="Calibri"/>
        <scheme val="none"/>
      </font>
      <numFmt numFmtId="164" formatCode="_-* #,##0_-;\-* #,##0_-;_-* &quot;-&quot;??_-;_-@_-"/>
    </dxf>
  </rfmt>
  <rfmt sheetId="1" sqref="AU557" start="0" length="0">
    <dxf>
      <font>
        <sz val="11"/>
        <color theme="1"/>
        <name val="Calibri"/>
        <scheme val="none"/>
      </font>
    </dxf>
  </rfmt>
  <rfmt sheetId="1" sqref="AV557" start="0" length="0">
    <dxf>
      <font>
        <sz val="11"/>
        <color theme="1"/>
        <name val="Calibri"/>
        <scheme val="none"/>
      </font>
    </dxf>
  </rfmt>
  <rfmt sheetId="1" sqref="AW557" start="0" length="0">
    <dxf>
      <font>
        <sz val="11"/>
        <color theme="1"/>
        <name val="Calibri"/>
        <scheme val="none"/>
      </font>
    </dxf>
  </rfmt>
  <rfmt sheetId="1" sqref="AX557" start="0" length="0">
    <dxf>
      <font>
        <sz val="11"/>
        <color theme="1"/>
        <name val="Calibri"/>
        <scheme val="none"/>
      </font>
    </dxf>
  </rfmt>
  <rfmt sheetId="1" sqref="AY557" start="0" length="0">
    <dxf>
      <font>
        <sz val="11"/>
        <color theme="1"/>
        <name val="Calibri"/>
        <scheme val="none"/>
      </font>
    </dxf>
  </rfmt>
  <rfmt sheetId="1" sqref="A557:XFD557" start="0" length="0">
    <dxf>
      <font>
        <sz val="11"/>
        <color theme="1"/>
        <name val="Calibri"/>
        <scheme val="none"/>
      </font>
    </dxf>
  </rfmt>
  <rfmt sheetId="1" sqref="A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5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5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58" start="0" length="0">
    <dxf>
      <font>
        <sz val="11"/>
        <color theme="1"/>
        <name val="Calibri"/>
        <scheme val="none"/>
      </font>
    </dxf>
  </rfmt>
  <rfmt sheetId="1" sqref="AM558" start="0" length="0">
    <dxf>
      <font>
        <sz val="11"/>
        <color theme="1"/>
        <name val="Calibri"/>
        <scheme val="none"/>
      </font>
      <numFmt numFmtId="1" formatCode="0"/>
    </dxf>
  </rfmt>
  <rfmt sheetId="1" sqref="AN558" start="0" length="0">
    <dxf>
      <font>
        <sz val="11"/>
        <color theme="1"/>
        <name val="Calibri"/>
        <scheme val="none"/>
      </font>
      <numFmt numFmtId="1" formatCode="0"/>
    </dxf>
  </rfmt>
  <rfmt sheetId="1" sqref="AO558" start="0" length="0">
    <dxf>
      <font>
        <sz val="11"/>
        <color theme="1"/>
        <name val="Calibri"/>
        <scheme val="none"/>
      </font>
    </dxf>
  </rfmt>
  <rfmt sheetId="1" sqref="AP558" start="0" length="0">
    <dxf>
      <font>
        <sz val="11"/>
        <color theme="1"/>
        <name val="Calibri"/>
        <scheme val="none"/>
      </font>
    </dxf>
  </rfmt>
  <rfmt sheetId="1" sqref="AQ558" start="0" length="0">
    <dxf>
      <font>
        <sz val="11"/>
        <color theme="1"/>
        <name val="Calibri"/>
        <scheme val="none"/>
      </font>
      <numFmt numFmtId="164" formatCode="_-* #,##0_-;\-* #,##0_-;_-* &quot;-&quot;??_-;_-@_-"/>
    </dxf>
  </rfmt>
  <rfmt sheetId="1" sqref="AR558" start="0" length="0">
    <dxf>
      <font>
        <sz val="11"/>
        <color theme="1"/>
        <name val="Calibri"/>
        <scheme val="none"/>
      </font>
      <numFmt numFmtId="164" formatCode="_-* #,##0_-;\-* #,##0_-;_-* &quot;-&quot;??_-;_-@_-"/>
    </dxf>
  </rfmt>
  <rfmt sheetId="1" sqref="AS558" start="0" length="0">
    <dxf>
      <font>
        <sz val="11"/>
        <color theme="1"/>
        <name val="Calibri"/>
        <scheme val="none"/>
      </font>
      <numFmt numFmtId="164" formatCode="_-* #,##0_-;\-* #,##0_-;_-* &quot;-&quot;??_-;_-@_-"/>
    </dxf>
  </rfmt>
  <rfmt sheetId="1" sqref="AT558" start="0" length="0">
    <dxf>
      <font>
        <sz val="11"/>
        <color theme="1"/>
        <name val="Calibri"/>
        <scheme val="none"/>
      </font>
      <numFmt numFmtId="164" formatCode="_-* #,##0_-;\-* #,##0_-;_-* &quot;-&quot;??_-;_-@_-"/>
    </dxf>
  </rfmt>
  <rfmt sheetId="1" sqref="AU558" start="0" length="0">
    <dxf>
      <font>
        <sz val="11"/>
        <color theme="1"/>
        <name val="Calibri"/>
        <scheme val="none"/>
      </font>
    </dxf>
  </rfmt>
  <rfmt sheetId="1" sqref="AV558" start="0" length="0">
    <dxf>
      <font>
        <sz val="11"/>
        <color theme="1"/>
        <name val="Calibri"/>
        <scheme val="none"/>
      </font>
    </dxf>
  </rfmt>
  <rfmt sheetId="1" sqref="AW558" start="0" length="0">
    <dxf>
      <font>
        <sz val="11"/>
        <color theme="1"/>
        <name val="Calibri"/>
        <scheme val="none"/>
      </font>
    </dxf>
  </rfmt>
  <rfmt sheetId="1" sqref="AX558" start="0" length="0">
    <dxf>
      <font>
        <sz val="11"/>
        <color theme="1"/>
        <name val="Calibri"/>
        <scheme val="none"/>
      </font>
    </dxf>
  </rfmt>
  <rfmt sheetId="1" sqref="AY558" start="0" length="0">
    <dxf>
      <font>
        <sz val="11"/>
        <color theme="1"/>
        <name val="Calibri"/>
        <scheme val="none"/>
      </font>
    </dxf>
  </rfmt>
  <rfmt sheetId="1" sqref="A558:XFD558" start="0" length="0">
    <dxf>
      <font>
        <sz val="11"/>
        <color theme="1"/>
        <name val="Calibri"/>
        <scheme val="none"/>
      </font>
    </dxf>
  </rfmt>
  <rfmt sheetId="1" sqref="A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5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5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59" start="0" length="0">
    <dxf>
      <font>
        <sz val="11"/>
        <color theme="1"/>
        <name val="Calibri"/>
        <scheme val="none"/>
      </font>
    </dxf>
  </rfmt>
  <rfmt sheetId="1" sqref="AM559" start="0" length="0">
    <dxf>
      <font>
        <sz val="11"/>
        <color theme="1"/>
        <name val="Calibri"/>
        <scheme val="none"/>
      </font>
      <numFmt numFmtId="1" formatCode="0"/>
    </dxf>
  </rfmt>
  <rfmt sheetId="1" sqref="AN559" start="0" length="0">
    <dxf>
      <font>
        <sz val="11"/>
        <color theme="1"/>
        <name val="Calibri"/>
        <scheme val="none"/>
      </font>
      <numFmt numFmtId="1" formatCode="0"/>
    </dxf>
  </rfmt>
  <rfmt sheetId="1" sqref="AO559" start="0" length="0">
    <dxf>
      <font>
        <sz val="11"/>
        <color theme="1"/>
        <name val="Calibri"/>
        <scheme val="none"/>
      </font>
    </dxf>
  </rfmt>
  <rfmt sheetId="1" sqref="AP559" start="0" length="0">
    <dxf>
      <font>
        <sz val="11"/>
        <color theme="1"/>
        <name val="Calibri"/>
        <scheme val="none"/>
      </font>
    </dxf>
  </rfmt>
  <rfmt sheetId="1" sqref="AQ559" start="0" length="0">
    <dxf>
      <font>
        <sz val="11"/>
        <color theme="1"/>
        <name val="Calibri"/>
        <scheme val="none"/>
      </font>
      <numFmt numFmtId="164" formatCode="_-* #,##0_-;\-* #,##0_-;_-* &quot;-&quot;??_-;_-@_-"/>
    </dxf>
  </rfmt>
  <rfmt sheetId="1" sqref="AR559" start="0" length="0">
    <dxf>
      <font>
        <sz val="11"/>
        <color theme="1"/>
        <name val="Calibri"/>
        <scheme val="none"/>
      </font>
      <numFmt numFmtId="164" formatCode="_-* #,##0_-;\-* #,##0_-;_-* &quot;-&quot;??_-;_-@_-"/>
    </dxf>
  </rfmt>
  <rfmt sheetId="1" sqref="AS559" start="0" length="0">
    <dxf>
      <font>
        <sz val="11"/>
        <color theme="1"/>
        <name val="Calibri"/>
        <scheme val="none"/>
      </font>
      <numFmt numFmtId="164" formatCode="_-* #,##0_-;\-* #,##0_-;_-* &quot;-&quot;??_-;_-@_-"/>
    </dxf>
  </rfmt>
  <rfmt sheetId="1" sqref="AT559" start="0" length="0">
    <dxf>
      <font>
        <sz val="11"/>
        <color theme="1"/>
        <name val="Calibri"/>
        <scheme val="none"/>
      </font>
      <numFmt numFmtId="164" formatCode="_-* #,##0_-;\-* #,##0_-;_-* &quot;-&quot;??_-;_-@_-"/>
    </dxf>
  </rfmt>
  <rfmt sheetId="1" sqref="AU559" start="0" length="0">
    <dxf>
      <font>
        <sz val="11"/>
        <color theme="1"/>
        <name val="Calibri"/>
        <scheme val="none"/>
      </font>
    </dxf>
  </rfmt>
  <rfmt sheetId="1" sqref="AV559" start="0" length="0">
    <dxf>
      <font>
        <sz val="11"/>
        <color theme="1"/>
        <name val="Calibri"/>
        <scheme val="none"/>
      </font>
    </dxf>
  </rfmt>
  <rfmt sheetId="1" sqref="AW559" start="0" length="0">
    <dxf>
      <font>
        <sz val="11"/>
        <color theme="1"/>
        <name val="Calibri"/>
        <scheme val="none"/>
      </font>
    </dxf>
  </rfmt>
  <rfmt sheetId="1" sqref="AX559" start="0" length="0">
    <dxf>
      <font>
        <sz val="11"/>
        <color theme="1"/>
        <name val="Calibri"/>
        <scheme val="none"/>
      </font>
    </dxf>
  </rfmt>
  <rfmt sheetId="1" sqref="AY559" start="0" length="0">
    <dxf>
      <font>
        <sz val="11"/>
        <color theme="1"/>
        <name val="Calibri"/>
        <scheme val="none"/>
      </font>
    </dxf>
  </rfmt>
  <rfmt sheetId="1" sqref="A559:XFD559" start="0" length="0">
    <dxf>
      <font>
        <sz val="11"/>
        <color theme="1"/>
        <name val="Calibri"/>
        <scheme val="none"/>
      </font>
    </dxf>
  </rfmt>
  <rfmt sheetId="1" sqref="A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6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6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60" start="0" length="0">
    <dxf>
      <font>
        <sz val="11"/>
        <color theme="1"/>
        <name val="Calibri"/>
        <scheme val="none"/>
      </font>
    </dxf>
  </rfmt>
  <rfmt sheetId="1" sqref="AM560" start="0" length="0">
    <dxf>
      <font>
        <sz val="11"/>
        <color theme="1"/>
        <name val="Calibri"/>
        <scheme val="none"/>
      </font>
      <numFmt numFmtId="1" formatCode="0"/>
    </dxf>
  </rfmt>
  <rfmt sheetId="1" sqref="AN560" start="0" length="0">
    <dxf>
      <font>
        <sz val="11"/>
        <color theme="1"/>
        <name val="Calibri"/>
        <scheme val="none"/>
      </font>
      <numFmt numFmtId="1" formatCode="0"/>
    </dxf>
  </rfmt>
  <rfmt sheetId="1" sqref="AO560" start="0" length="0">
    <dxf>
      <font>
        <sz val="11"/>
        <color theme="1"/>
        <name val="Calibri"/>
        <scheme val="none"/>
      </font>
    </dxf>
  </rfmt>
  <rfmt sheetId="1" sqref="AP560" start="0" length="0">
    <dxf>
      <font>
        <sz val="11"/>
        <color theme="1"/>
        <name val="Calibri"/>
        <scheme val="none"/>
      </font>
    </dxf>
  </rfmt>
  <rfmt sheetId="1" sqref="AQ560" start="0" length="0">
    <dxf>
      <font>
        <sz val="11"/>
        <color theme="1"/>
        <name val="Calibri"/>
        <scheme val="none"/>
      </font>
      <numFmt numFmtId="164" formatCode="_-* #,##0_-;\-* #,##0_-;_-* &quot;-&quot;??_-;_-@_-"/>
    </dxf>
  </rfmt>
  <rfmt sheetId="1" sqref="AR560" start="0" length="0">
    <dxf>
      <font>
        <sz val="11"/>
        <color theme="1"/>
        <name val="Calibri"/>
        <scheme val="none"/>
      </font>
      <numFmt numFmtId="164" formatCode="_-* #,##0_-;\-* #,##0_-;_-* &quot;-&quot;??_-;_-@_-"/>
    </dxf>
  </rfmt>
  <rfmt sheetId="1" sqref="AS560" start="0" length="0">
    <dxf>
      <font>
        <sz val="11"/>
        <color theme="1"/>
        <name val="Calibri"/>
        <scheme val="none"/>
      </font>
      <numFmt numFmtId="164" formatCode="_-* #,##0_-;\-* #,##0_-;_-* &quot;-&quot;??_-;_-@_-"/>
    </dxf>
  </rfmt>
  <rfmt sheetId="1" sqref="AT560" start="0" length="0">
    <dxf>
      <font>
        <sz val="11"/>
        <color theme="1"/>
        <name val="Calibri"/>
        <scheme val="none"/>
      </font>
      <numFmt numFmtId="164" formatCode="_-* #,##0_-;\-* #,##0_-;_-* &quot;-&quot;??_-;_-@_-"/>
    </dxf>
  </rfmt>
  <rfmt sheetId="1" sqref="AU560" start="0" length="0">
    <dxf>
      <font>
        <sz val="11"/>
        <color theme="1"/>
        <name val="Calibri"/>
        <scheme val="none"/>
      </font>
    </dxf>
  </rfmt>
  <rfmt sheetId="1" sqref="AV560" start="0" length="0">
    <dxf>
      <font>
        <sz val="11"/>
        <color theme="1"/>
        <name val="Calibri"/>
        <scheme val="none"/>
      </font>
    </dxf>
  </rfmt>
  <rfmt sheetId="1" sqref="AW560" start="0" length="0">
    <dxf>
      <font>
        <sz val="11"/>
        <color theme="1"/>
        <name val="Calibri"/>
        <scheme val="none"/>
      </font>
    </dxf>
  </rfmt>
  <rfmt sheetId="1" sqref="AX560" start="0" length="0">
    <dxf>
      <font>
        <sz val="11"/>
        <color theme="1"/>
        <name val="Calibri"/>
        <scheme val="none"/>
      </font>
    </dxf>
  </rfmt>
  <rfmt sheetId="1" sqref="AY560" start="0" length="0">
    <dxf>
      <font>
        <sz val="11"/>
        <color theme="1"/>
        <name val="Calibri"/>
        <scheme val="none"/>
      </font>
    </dxf>
  </rfmt>
  <rfmt sheetId="1" sqref="A560:XFD560" start="0" length="0">
    <dxf>
      <font>
        <sz val="11"/>
        <color theme="1"/>
        <name val="Calibri"/>
        <scheme val="none"/>
      </font>
    </dxf>
  </rfmt>
  <rfmt sheetId="1" sqref="A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6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6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61" start="0" length="0">
    <dxf>
      <font>
        <sz val="11"/>
        <color theme="1"/>
        <name val="Calibri"/>
        <scheme val="none"/>
      </font>
    </dxf>
  </rfmt>
  <rfmt sheetId="1" sqref="AM561" start="0" length="0">
    <dxf>
      <font>
        <sz val="11"/>
        <color theme="1"/>
        <name val="Calibri"/>
        <scheme val="none"/>
      </font>
      <numFmt numFmtId="1" formatCode="0"/>
    </dxf>
  </rfmt>
  <rfmt sheetId="1" sqref="AN561" start="0" length="0">
    <dxf>
      <font>
        <sz val="11"/>
        <color theme="1"/>
        <name val="Calibri"/>
        <scheme val="none"/>
      </font>
      <numFmt numFmtId="1" formatCode="0"/>
    </dxf>
  </rfmt>
  <rfmt sheetId="1" sqref="AO561" start="0" length="0">
    <dxf>
      <font>
        <sz val="11"/>
        <color theme="1"/>
        <name val="Calibri"/>
        <scheme val="none"/>
      </font>
    </dxf>
  </rfmt>
  <rfmt sheetId="1" sqref="AP561" start="0" length="0">
    <dxf>
      <font>
        <sz val="11"/>
        <color theme="1"/>
        <name val="Calibri"/>
        <scheme val="none"/>
      </font>
    </dxf>
  </rfmt>
  <rfmt sheetId="1" sqref="AQ561" start="0" length="0">
    <dxf>
      <font>
        <sz val="11"/>
        <color theme="1"/>
        <name val="Calibri"/>
        <scheme val="none"/>
      </font>
      <numFmt numFmtId="164" formatCode="_-* #,##0_-;\-* #,##0_-;_-* &quot;-&quot;??_-;_-@_-"/>
    </dxf>
  </rfmt>
  <rfmt sheetId="1" sqref="AR561" start="0" length="0">
    <dxf>
      <font>
        <sz val="11"/>
        <color theme="1"/>
        <name val="Calibri"/>
        <scheme val="none"/>
      </font>
      <numFmt numFmtId="164" formatCode="_-* #,##0_-;\-* #,##0_-;_-* &quot;-&quot;??_-;_-@_-"/>
    </dxf>
  </rfmt>
  <rfmt sheetId="1" sqref="AS561" start="0" length="0">
    <dxf>
      <font>
        <sz val="11"/>
        <color theme="1"/>
        <name val="Calibri"/>
        <scheme val="none"/>
      </font>
      <numFmt numFmtId="164" formatCode="_-* #,##0_-;\-* #,##0_-;_-* &quot;-&quot;??_-;_-@_-"/>
    </dxf>
  </rfmt>
  <rfmt sheetId="1" sqref="AT561" start="0" length="0">
    <dxf>
      <font>
        <sz val="11"/>
        <color theme="1"/>
        <name val="Calibri"/>
        <scheme val="none"/>
      </font>
      <numFmt numFmtId="164" formatCode="_-* #,##0_-;\-* #,##0_-;_-* &quot;-&quot;??_-;_-@_-"/>
    </dxf>
  </rfmt>
  <rfmt sheetId="1" sqref="AU561" start="0" length="0">
    <dxf>
      <font>
        <sz val="11"/>
        <color theme="1"/>
        <name val="Calibri"/>
        <scheme val="none"/>
      </font>
    </dxf>
  </rfmt>
  <rfmt sheetId="1" sqref="AV561" start="0" length="0">
    <dxf>
      <font>
        <sz val="11"/>
        <color theme="1"/>
        <name val="Calibri"/>
        <scheme val="none"/>
      </font>
    </dxf>
  </rfmt>
  <rfmt sheetId="1" sqref="AW561" start="0" length="0">
    <dxf>
      <font>
        <sz val="11"/>
        <color theme="1"/>
        <name val="Calibri"/>
        <scheme val="none"/>
      </font>
    </dxf>
  </rfmt>
  <rfmt sheetId="1" sqref="AX561" start="0" length="0">
    <dxf>
      <font>
        <sz val="11"/>
        <color theme="1"/>
        <name val="Calibri"/>
        <scheme val="none"/>
      </font>
    </dxf>
  </rfmt>
  <rfmt sheetId="1" sqref="AY561" start="0" length="0">
    <dxf>
      <font>
        <sz val="11"/>
        <color theme="1"/>
        <name val="Calibri"/>
        <scheme val="none"/>
      </font>
    </dxf>
  </rfmt>
  <rfmt sheetId="1" sqref="A561:XFD561" start="0" length="0">
    <dxf>
      <font>
        <sz val="11"/>
        <color theme="1"/>
        <name val="Calibri"/>
        <scheme val="none"/>
      </font>
    </dxf>
  </rfmt>
  <rfmt sheetId="1" sqref="A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6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6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62" start="0" length="0">
    <dxf>
      <font>
        <sz val="11"/>
        <color theme="1"/>
        <name val="Calibri"/>
        <scheme val="none"/>
      </font>
    </dxf>
  </rfmt>
  <rfmt sheetId="1" sqref="AM562" start="0" length="0">
    <dxf>
      <font>
        <sz val="11"/>
        <color theme="1"/>
        <name val="Calibri"/>
        <scheme val="none"/>
      </font>
      <numFmt numFmtId="1" formatCode="0"/>
    </dxf>
  </rfmt>
  <rfmt sheetId="1" sqref="AN562" start="0" length="0">
    <dxf>
      <font>
        <sz val="11"/>
        <color theme="1"/>
        <name val="Calibri"/>
        <scheme val="none"/>
      </font>
      <numFmt numFmtId="1" formatCode="0"/>
    </dxf>
  </rfmt>
  <rfmt sheetId="1" sqref="AO562" start="0" length="0">
    <dxf>
      <font>
        <sz val="11"/>
        <color theme="1"/>
        <name val="Calibri"/>
        <scheme val="none"/>
      </font>
    </dxf>
  </rfmt>
  <rfmt sheetId="1" sqref="AP562" start="0" length="0">
    <dxf>
      <font>
        <sz val="11"/>
        <color theme="1"/>
        <name val="Calibri"/>
        <scheme val="none"/>
      </font>
    </dxf>
  </rfmt>
  <rfmt sheetId="1" sqref="AQ562" start="0" length="0">
    <dxf>
      <font>
        <sz val="11"/>
        <color theme="1"/>
        <name val="Calibri"/>
        <scheme val="none"/>
      </font>
      <numFmt numFmtId="164" formatCode="_-* #,##0_-;\-* #,##0_-;_-* &quot;-&quot;??_-;_-@_-"/>
    </dxf>
  </rfmt>
  <rfmt sheetId="1" sqref="AR562" start="0" length="0">
    <dxf>
      <font>
        <sz val="11"/>
        <color theme="1"/>
        <name val="Calibri"/>
        <scheme val="none"/>
      </font>
      <numFmt numFmtId="164" formatCode="_-* #,##0_-;\-* #,##0_-;_-* &quot;-&quot;??_-;_-@_-"/>
    </dxf>
  </rfmt>
  <rfmt sheetId="1" sqref="AS562" start="0" length="0">
    <dxf>
      <font>
        <sz val="11"/>
        <color theme="1"/>
        <name val="Calibri"/>
        <scheme val="none"/>
      </font>
      <numFmt numFmtId="164" formatCode="_-* #,##0_-;\-* #,##0_-;_-* &quot;-&quot;??_-;_-@_-"/>
    </dxf>
  </rfmt>
  <rfmt sheetId="1" sqref="AT562" start="0" length="0">
    <dxf>
      <font>
        <sz val="11"/>
        <color theme="1"/>
        <name val="Calibri"/>
        <scheme val="none"/>
      </font>
      <numFmt numFmtId="164" formatCode="_-* #,##0_-;\-* #,##0_-;_-* &quot;-&quot;??_-;_-@_-"/>
    </dxf>
  </rfmt>
  <rfmt sheetId="1" sqref="AU562" start="0" length="0">
    <dxf>
      <font>
        <sz val="11"/>
        <color theme="1"/>
        <name val="Calibri"/>
        <scheme val="none"/>
      </font>
    </dxf>
  </rfmt>
  <rfmt sheetId="1" sqref="AV562" start="0" length="0">
    <dxf>
      <font>
        <sz val="11"/>
        <color theme="1"/>
        <name val="Calibri"/>
        <scheme val="none"/>
      </font>
    </dxf>
  </rfmt>
  <rfmt sheetId="1" sqref="AW562" start="0" length="0">
    <dxf>
      <font>
        <sz val="11"/>
        <color theme="1"/>
        <name val="Calibri"/>
        <scheme val="none"/>
      </font>
    </dxf>
  </rfmt>
  <rfmt sheetId="1" sqref="AX562" start="0" length="0">
    <dxf>
      <font>
        <sz val="11"/>
        <color theme="1"/>
        <name val="Calibri"/>
        <scheme val="none"/>
      </font>
    </dxf>
  </rfmt>
  <rfmt sheetId="1" sqref="AY562" start="0" length="0">
    <dxf>
      <font>
        <sz val="11"/>
        <color theme="1"/>
        <name val="Calibri"/>
        <scheme val="none"/>
      </font>
    </dxf>
  </rfmt>
  <rfmt sheetId="1" sqref="A562:XFD562" start="0" length="0">
    <dxf>
      <font>
        <sz val="11"/>
        <color theme="1"/>
        <name val="Calibri"/>
        <scheme val="none"/>
      </font>
    </dxf>
  </rfmt>
  <rfmt sheetId="1" sqref="A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6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6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63" start="0" length="0">
    <dxf>
      <font>
        <sz val="11"/>
        <color theme="1"/>
        <name val="Calibri"/>
        <scheme val="none"/>
      </font>
    </dxf>
  </rfmt>
  <rfmt sheetId="1" sqref="AM563" start="0" length="0">
    <dxf>
      <font>
        <sz val="11"/>
        <color theme="1"/>
        <name val="Calibri"/>
        <scheme val="none"/>
      </font>
      <numFmt numFmtId="1" formatCode="0"/>
    </dxf>
  </rfmt>
  <rfmt sheetId="1" sqref="AN563" start="0" length="0">
    <dxf>
      <font>
        <sz val="11"/>
        <color theme="1"/>
        <name val="Calibri"/>
        <scheme val="none"/>
      </font>
      <numFmt numFmtId="1" formatCode="0"/>
    </dxf>
  </rfmt>
  <rfmt sheetId="1" sqref="AO563" start="0" length="0">
    <dxf>
      <font>
        <sz val="11"/>
        <color theme="1"/>
        <name val="Calibri"/>
        <scheme val="none"/>
      </font>
    </dxf>
  </rfmt>
  <rfmt sheetId="1" sqref="AP563" start="0" length="0">
    <dxf>
      <font>
        <sz val="11"/>
        <color theme="1"/>
        <name val="Calibri"/>
        <scheme val="none"/>
      </font>
    </dxf>
  </rfmt>
  <rfmt sheetId="1" sqref="AQ563" start="0" length="0">
    <dxf>
      <font>
        <sz val="11"/>
        <color theme="1"/>
        <name val="Calibri"/>
        <scheme val="none"/>
      </font>
      <numFmt numFmtId="164" formatCode="_-* #,##0_-;\-* #,##0_-;_-* &quot;-&quot;??_-;_-@_-"/>
    </dxf>
  </rfmt>
  <rfmt sheetId="1" sqref="AR563" start="0" length="0">
    <dxf>
      <font>
        <sz val="11"/>
        <color theme="1"/>
        <name val="Calibri"/>
        <scheme val="none"/>
      </font>
      <numFmt numFmtId="164" formatCode="_-* #,##0_-;\-* #,##0_-;_-* &quot;-&quot;??_-;_-@_-"/>
    </dxf>
  </rfmt>
  <rfmt sheetId="1" sqref="AS563" start="0" length="0">
    <dxf>
      <font>
        <sz val="11"/>
        <color theme="1"/>
        <name val="Calibri"/>
        <scheme val="none"/>
      </font>
      <numFmt numFmtId="164" formatCode="_-* #,##0_-;\-* #,##0_-;_-* &quot;-&quot;??_-;_-@_-"/>
    </dxf>
  </rfmt>
  <rfmt sheetId="1" sqref="AT563" start="0" length="0">
    <dxf>
      <font>
        <sz val="11"/>
        <color theme="1"/>
        <name val="Calibri"/>
        <scheme val="none"/>
      </font>
      <numFmt numFmtId="164" formatCode="_-* #,##0_-;\-* #,##0_-;_-* &quot;-&quot;??_-;_-@_-"/>
    </dxf>
  </rfmt>
  <rfmt sheetId="1" sqref="AU563" start="0" length="0">
    <dxf>
      <font>
        <sz val="11"/>
        <color theme="1"/>
        <name val="Calibri"/>
        <scheme val="none"/>
      </font>
    </dxf>
  </rfmt>
  <rfmt sheetId="1" sqref="AV563" start="0" length="0">
    <dxf>
      <font>
        <sz val="11"/>
        <color theme="1"/>
        <name val="Calibri"/>
        <scheme val="none"/>
      </font>
    </dxf>
  </rfmt>
  <rfmt sheetId="1" sqref="AW563" start="0" length="0">
    <dxf>
      <font>
        <sz val="11"/>
        <color theme="1"/>
        <name val="Calibri"/>
        <scheme val="none"/>
      </font>
    </dxf>
  </rfmt>
  <rfmt sheetId="1" sqref="AX563" start="0" length="0">
    <dxf>
      <font>
        <sz val="11"/>
        <color theme="1"/>
        <name val="Calibri"/>
        <scheme val="none"/>
      </font>
    </dxf>
  </rfmt>
  <rfmt sheetId="1" sqref="AY563" start="0" length="0">
    <dxf>
      <font>
        <sz val="11"/>
        <color theme="1"/>
        <name val="Calibri"/>
        <scheme val="none"/>
      </font>
    </dxf>
  </rfmt>
  <rfmt sheetId="1" sqref="A563:XFD563" start="0" length="0">
    <dxf>
      <font>
        <sz val="11"/>
        <color theme="1"/>
        <name val="Calibri"/>
        <scheme val="none"/>
      </font>
    </dxf>
  </rfmt>
  <rfmt sheetId="1" sqref="A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6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6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64" start="0" length="0">
    <dxf>
      <font>
        <sz val="11"/>
        <color theme="1"/>
        <name val="Calibri"/>
        <scheme val="none"/>
      </font>
    </dxf>
  </rfmt>
  <rfmt sheetId="1" sqref="AM564" start="0" length="0">
    <dxf>
      <font>
        <sz val="11"/>
        <color theme="1"/>
        <name val="Calibri"/>
        <scheme val="none"/>
      </font>
      <numFmt numFmtId="1" formatCode="0"/>
    </dxf>
  </rfmt>
  <rfmt sheetId="1" sqref="AN564" start="0" length="0">
    <dxf>
      <font>
        <sz val="11"/>
        <color theme="1"/>
        <name val="Calibri"/>
        <scheme val="none"/>
      </font>
      <numFmt numFmtId="1" formatCode="0"/>
    </dxf>
  </rfmt>
  <rfmt sheetId="1" sqref="AO564" start="0" length="0">
    <dxf>
      <font>
        <sz val="11"/>
        <color theme="1"/>
        <name val="Calibri"/>
        <scheme val="none"/>
      </font>
    </dxf>
  </rfmt>
  <rfmt sheetId="1" sqref="AP564" start="0" length="0">
    <dxf>
      <font>
        <sz val="11"/>
        <color theme="1"/>
        <name val="Calibri"/>
        <scheme val="none"/>
      </font>
    </dxf>
  </rfmt>
  <rfmt sheetId="1" sqref="AQ564" start="0" length="0">
    <dxf>
      <font>
        <sz val="11"/>
        <color theme="1"/>
        <name val="Calibri"/>
        <scheme val="none"/>
      </font>
      <numFmt numFmtId="164" formatCode="_-* #,##0_-;\-* #,##0_-;_-* &quot;-&quot;??_-;_-@_-"/>
    </dxf>
  </rfmt>
  <rfmt sheetId="1" sqref="AR564" start="0" length="0">
    <dxf>
      <font>
        <sz val="11"/>
        <color theme="1"/>
        <name val="Calibri"/>
        <scheme val="none"/>
      </font>
      <numFmt numFmtId="164" formatCode="_-* #,##0_-;\-* #,##0_-;_-* &quot;-&quot;??_-;_-@_-"/>
    </dxf>
  </rfmt>
  <rfmt sheetId="1" sqref="AS564" start="0" length="0">
    <dxf>
      <font>
        <sz val="11"/>
        <color theme="1"/>
        <name val="Calibri"/>
        <scheme val="none"/>
      </font>
      <numFmt numFmtId="164" formatCode="_-* #,##0_-;\-* #,##0_-;_-* &quot;-&quot;??_-;_-@_-"/>
    </dxf>
  </rfmt>
  <rfmt sheetId="1" sqref="AT564" start="0" length="0">
    <dxf>
      <font>
        <sz val="11"/>
        <color theme="1"/>
        <name val="Calibri"/>
        <scheme val="none"/>
      </font>
      <numFmt numFmtId="164" formatCode="_-* #,##0_-;\-* #,##0_-;_-* &quot;-&quot;??_-;_-@_-"/>
    </dxf>
  </rfmt>
  <rfmt sheetId="1" sqref="AU564" start="0" length="0">
    <dxf>
      <font>
        <sz val="11"/>
        <color theme="1"/>
        <name val="Calibri"/>
        <scheme val="none"/>
      </font>
    </dxf>
  </rfmt>
  <rfmt sheetId="1" sqref="AV564" start="0" length="0">
    <dxf>
      <font>
        <sz val="11"/>
        <color theme="1"/>
        <name val="Calibri"/>
        <scheme val="none"/>
      </font>
    </dxf>
  </rfmt>
  <rfmt sheetId="1" sqref="AW564" start="0" length="0">
    <dxf>
      <font>
        <sz val="11"/>
        <color theme="1"/>
        <name val="Calibri"/>
        <scheme val="none"/>
      </font>
    </dxf>
  </rfmt>
  <rfmt sheetId="1" sqref="AX564" start="0" length="0">
    <dxf>
      <font>
        <sz val="11"/>
        <color theme="1"/>
        <name val="Calibri"/>
        <scheme val="none"/>
      </font>
    </dxf>
  </rfmt>
  <rfmt sheetId="1" sqref="AY564" start="0" length="0">
    <dxf>
      <font>
        <sz val="11"/>
        <color theme="1"/>
        <name val="Calibri"/>
        <scheme val="none"/>
      </font>
    </dxf>
  </rfmt>
  <rfmt sheetId="1" sqref="A564:XFD564" start="0" length="0">
    <dxf>
      <font>
        <sz val="11"/>
        <color theme="1"/>
        <name val="Calibri"/>
        <scheme val="none"/>
      </font>
    </dxf>
  </rfmt>
  <rfmt sheetId="1" sqref="A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6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6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65" start="0" length="0">
    <dxf>
      <font>
        <sz val="11"/>
        <color theme="1"/>
        <name val="Calibri"/>
        <scheme val="none"/>
      </font>
    </dxf>
  </rfmt>
  <rfmt sheetId="1" sqref="AM565" start="0" length="0">
    <dxf>
      <font>
        <sz val="11"/>
        <color theme="1"/>
        <name val="Calibri"/>
        <scheme val="none"/>
      </font>
      <numFmt numFmtId="1" formatCode="0"/>
    </dxf>
  </rfmt>
  <rfmt sheetId="1" sqref="AN565" start="0" length="0">
    <dxf>
      <font>
        <sz val="11"/>
        <color theme="1"/>
        <name val="Calibri"/>
        <scheme val="none"/>
      </font>
      <numFmt numFmtId="1" formatCode="0"/>
    </dxf>
  </rfmt>
  <rfmt sheetId="1" sqref="AO565" start="0" length="0">
    <dxf>
      <font>
        <sz val="11"/>
        <color theme="1"/>
        <name val="Calibri"/>
        <scheme val="none"/>
      </font>
    </dxf>
  </rfmt>
  <rfmt sheetId="1" sqref="AP565" start="0" length="0">
    <dxf>
      <font>
        <sz val="11"/>
        <color theme="1"/>
        <name val="Calibri"/>
        <scheme val="none"/>
      </font>
    </dxf>
  </rfmt>
  <rfmt sheetId="1" sqref="AQ565" start="0" length="0">
    <dxf>
      <font>
        <sz val="11"/>
        <color theme="1"/>
        <name val="Calibri"/>
        <scheme val="none"/>
      </font>
      <numFmt numFmtId="164" formatCode="_-* #,##0_-;\-* #,##0_-;_-* &quot;-&quot;??_-;_-@_-"/>
    </dxf>
  </rfmt>
  <rfmt sheetId="1" sqref="AR565" start="0" length="0">
    <dxf>
      <font>
        <sz val="11"/>
        <color theme="1"/>
        <name val="Calibri"/>
        <scheme val="none"/>
      </font>
      <numFmt numFmtId="164" formatCode="_-* #,##0_-;\-* #,##0_-;_-* &quot;-&quot;??_-;_-@_-"/>
    </dxf>
  </rfmt>
  <rfmt sheetId="1" sqref="AS565" start="0" length="0">
    <dxf>
      <font>
        <sz val="11"/>
        <color theme="1"/>
        <name val="Calibri"/>
        <scheme val="none"/>
      </font>
      <numFmt numFmtId="164" formatCode="_-* #,##0_-;\-* #,##0_-;_-* &quot;-&quot;??_-;_-@_-"/>
    </dxf>
  </rfmt>
  <rfmt sheetId="1" sqref="AT565" start="0" length="0">
    <dxf>
      <font>
        <sz val="11"/>
        <color theme="1"/>
        <name val="Calibri"/>
        <scheme val="none"/>
      </font>
      <numFmt numFmtId="164" formatCode="_-* #,##0_-;\-* #,##0_-;_-* &quot;-&quot;??_-;_-@_-"/>
    </dxf>
  </rfmt>
  <rfmt sheetId="1" sqref="AU565" start="0" length="0">
    <dxf>
      <font>
        <sz val="11"/>
        <color theme="1"/>
        <name val="Calibri"/>
        <scheme val="none"/>
      </font>
    </dxf>
  </rfmt>
  <rfmt sheetId="1" sqref="AV565" start="0" length="0">
    <dxf>
      <font>
        <sz val="11"/>
        <color theme="1"/>
        <name val="Calibri"/>
        <scheme val="none"/>
      </font>
    </dxf>
  </rfmt>
  <rfmt sheetId="1" sqref="AW565" start="0" length="0">
    <dxf>
      <font>
        <sz val="11"/>
        <color theme="1"/>
        <name val="Calibri"/>
        <scheme val="none"/>
      </font>
    </dxf>
  </rfmt>
  <rfmt sheetId="1" sqref="AX565" start="0" length="0">
    <dxf>
      <font>
        <sz val="11"/>
        <color theme="1"/>
        <name val="Calibri"/>
        <scheme val="none"/>
      </font>
    </dxf>
  </rfmt>
  <rfmt sheetId="1" sqref="AY565" start="0" length="0">
    <dxf>
      <font>
        <sz val="11"/>
        <color theme="1"/>
        <name val="Calibri"/>
        <scheme val="none"/>
      </font>
    </dxf>
  </rfmt>
  <rfmt sheetId="1" sqref="A565:XFD565" start="0" length="0">
    <dxf>
      <font>
        <sz val="11"/>
        <color theme="1"/>
        <name val="Calibri"/>
        <scheme val="none"/>
      </font>
    </dxf>
  </rfmt>
  <rfmt sheetId="1" sqref="A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6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6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66" start="0" length="0">
    <dxf>
      <font>
        <sz val="11"/>
        <color theme="1"/>
        <name val="Calibri"/>
        <scheme val="none"/>
      </font>
    </dxf>
  </rfmt>
  <rfmt sheetId="1" sqref="AM566" start="0" length="0">
    <dxf>
      <font>
        <sz val="11"/>
        <color theme="1"/>
        <name val="Calibri"/>
        <scheme val="none"/>
      </font>
      <numFmt numFmtId="1" formatCode="0"/>
    </dxf>
  </rfmt>
  <rfmt sheetId="1" sqref="AN566" start="0" length="0">
    <dxf>
      <font>
        <sz val="11"/>
        <color theme="1"/>
        <name val="Calibri"/>
        <scheme val="none"/>
      </font>
      <numFmt numFmtId="1" formatCode="0"/>
    </dxf>
  </rfmt>
  <rfmt sheetId="1" sqref="AO566" start="0" length="0">
    <dxf>
      <font>
        <sz val="11"/>
        <color theme="1"/>
        <name val="Calibri"/>
        <scheme val="none"/>
      </font>
    </dxf>
  </rfmt>
  <rfmt sheetId="1" sqref="AP566" start="0" length="0">
    <dxf>
      <font>
        <sz val="11"/>
        <color theme="1"/>
        <name val="Calibri"/>
        <scheme val="none"/>
      </font>
    </dxf>
  </rfmt>
  <rfmt sheetId="1" sqref="AQ566" start="0" length="0">
    <dxf>
      <font>
        <sz val="11"/>
        <color theme="1"/>
        <name val="Calibri"/>
        <scheme val="none"/>
      </font>
      <numFmt numFmtId="164" formatCode="_-* #,##0_-;\-* #,##0_-;_-* &quot;-&quot;??_-;_-@_-"/>
    </dxf>
  </rfmt>
  <rfmt sheetId="1" sqref="AR566" start="0" length="0">
    <dxf>
      <font>
        <sz val="11"/>
        <color theme="1"/>
        <name val="Calibri"/>
        <scheme val="none"/>
      </font>
      <numFmt numFmtId="164" formatCode="_-* #,##0_-;\-* #,##0_-;_-* &quot;-&quot;??_-;_-@_-"/>
    </dxf>
  </rfmt>
  <rfmt sheetId="1" sqref="AS566" start="0" length="0">
    <dxf>
      <font>
        <sz val="11"/>
        <color theme="1"/>
        <name val="Calibri"/>
        <scheme val="none"/>
      </font>
      <numFmt numFmtId="164" formatCode="_-* #,##0_-;\-* #,##0_-;_-* &quot;-&quot;??_-;_-@_-"/>
    </dxf>
  </rfmt>
  <rfmt sheetId="1" sqref="AT566" start="0" length="0">
    <dxf>
      <font>
        <sz val="11"/>
        <color theme="1"/>
        <name val="Calibri"/>
        <scheme val="none"/>
      </font>
      <numFmt numFmtId="164" formatCode="_-* #,##0_-;\-* #,##0_-;_-* &quot;-&quot;??_-;_-@_-"/>
    </dxf>
  </rfmt>
  <rfmt sheetId="1" sqref="AU566" start="0" length="0">
    <dxf>
      <font>
        <sz val="11"/>
        <color theme="1"/>
        <name val="Calibri"/>
        <scheme val="none"/>
      </font>
    </dxf>
  </rfmt>
  <rfmt sheetId="1" sqref="AV566" start="0" length="0">
    <dxf>
      <font>
        <sz val="11"/>
        <color theme="1"/>
        <name val="Calibri"/>
        <scheme val="none"/>
      </font>
    </dxf>
  </rfmt>
  <rfmt sheetId="1" sqref="AW566" start="0" length="0">
    <dxf>
      <font>
        <sz val="11"/>
        <color theme="1"/>
        <name val="Calibri"/>
        <scheme val="none"/>
      </font>
    </dxf>
  </rfmt>
  <rfmt sheetId="1" sqref="AX566" start="0" length="0">
    <dxf>
      <font>
        <sz val="11"/>
        <color theme="1"/>
        <name val="Calibri"/>
        <scheme val="none"/>
      </font>
    </dxf>
  </rfmt>
  <rfmt sheetId="1" sqref="AY566" start="0" length="0">
    <dxf>
      <font>
        <sz val="11"/>
        <color theme="1"/>
        <name val="Calibri"/>
        <scheme val="none"/>
      </font>
    </dxf>
  </rfmt>
  <rfmt sheetId="1" sqref="A566:XFD566" start="0" length="0">
    <dxf>
      <font>
        <sz val="11"/>
        <color theme="1"/>
        <name val="Calibri"/>
        <scheme val="none"/>
      </font>
    </dxf>
  </rfmt>
  <rfmt sheetId="1" sqref="A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6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6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67" start="0" length="0">
    <dxf>
      <font>
        <sz val="11"/>
        <color theme="1"/>
        <name val="Calibri"/>
        <scheme val="none"/>
      </font>
    </dxf>
  </rfmt>
  <rfmt sheetId="1" sqref="AM567" start="0" length="0">
    <dxf>
      <font>
        <sz val="11"/>
        <color theme="1"/>
        <name val="Calibri"/>
        <scheme val="none"/>
      </font>
      <numFmt numFmtId="1" formatCode="0"/>
    </dxf>
  </rfmt>
  <rfmt sheetId="1" sqref="AN567" start="0" length="0">
    <dxf>
      <font>
        <sz val="11"/>
        <color theme="1"/>
        <name val="Calibri"/>
        <scheme val="none"/>
      </font>
      <numFmt numFmtId="1" formatCode="0"/>
    </dxf>
  </rfmt>
  <rfmt sheetId="1" sqref="AO567" start="0" length="0">
    <dxf>
      <font>
        <sz val="11"/>
        <color theme="1"/>
        <name val="Calibri"/>
        <scheme val="none"/>
      </font>
    </dxf>
  </rfmt>
  <rfmt sheetId="1" sqref="AP567" start="0" length="0">
    <dxf>
      <font>
        <sz val="11"/>
        <color theme="1"/>
        <name val="Calibri"/>
        <scheme val="none"/>
      </font>
    </dxf>
  </rfmt>
  <rfmt sheetId="1" sqref="AQ567" start="0" length="0">
    <dxf>
      <font>
        <sz val="11"/>
        <color theme="1"/>
        <name val="Calibri"/>
        <scheme val="none"/>
      </font>
      <numFmt numFmtId="164" formatCode="_-* #,##0_-;\-* #,##0_-;_-* &quot;-&quot;??_-;_-@_-"/>
    </dxf>
  </rfmt>
  <rfmt sheetId="1" sqref="AR567" start="0" length="0">
    <dxf>
      <font>
        <sz val="11"/>
        <color theme="1"/>
        <name val="Calibri"/>
        <scheme val="none"/>
      </font>
      <numFmt numFmtId="164" formatCode="_-* #,##0_-;\-* #,##0_-;_-* &quot;-&quot;??_-;_-@_-"/>
    </dxf>
  </rfmt>
  <rfmt sheetId="1" sqref="AS567" start="0" length="0">
    <dxf>
      <font>
        <sz val="11"/>
        <color theme="1"/>
        <name val="Calibri"/>
        <scheme val="none"/>
      </font>
      <numFmt numFmtId="164" formatCode="_-* #,##0_-;\-* #,##0_-;_-* &quot;-&quot;??_-;_-@_-"/>
    </dxf>
  </rfmt>
  <rfmt sheetId="1" sqref="AT567" start="0" length="0">
    <dxf>
      <font>
        <sz val="11"/>
        <color theme="1"/>
        <name val="Calibri"/>
        <scheme val="none"/>
      </font>
      <numFmt numFmtId="164" formatCode="_-* #,##0_-;\-* #,##0_-;_-* &quot;-&quot;??_-;_-@_-"/>
    </dxf>
  </rfmt>
  <rfmt sheetId="1" sqref="AU567" start="0" length="0">
    <dxf>
      <font>
        <sz val="11"/>
        <color theme="1"/>
        <name val="Calibri"/>
        <scheme val="none"/>
      </font>
    </dxf>
  </rfmt>
  <rfmt sheetId="1" sqref="AV567" start="0" length="0">
    <dxf>
      <font>
        <sz val="11"/>
        <color theme="1"/>
        <name val="Calibri"/>
        <scheme val="none"/>
      </font>
    </dxf>
  </rfmt>
  <rfmt sheetId="1" sqref="AW567" start="0" length="0">
    <dxf>
      <font>
        <sz val="11"/>
        <color theme="1"/>
        <name val="Calibri"/>
        <scheme val="none"/>
      </font>
    </dxf>
  </rfmt>
  <rfmt sheetId="1" sqref="AX567" start="0" length="0">
    <dxf>
      <font>
        <sz val="11"/>
        <color theme="1"/>
        <name val="Calibri"/>
        <scheme val="none"/>
      </font>
    </dxf>
  </rfmt>
  <rfmt sheetId="1" sqref="AY567" start="0" length="0">
    <dxf>
      <font>
        <sz val="11"/>
        <color theme="1"/>
        <name val="Calibri"/>
        <scheme val="none"/>
      </font>
    </dxf>
  </rfmt>
  <rfmt sheetId="1" sqref="A567:XFD567" start="0" length="0">
    <dxf>
      <font>
        <sz val="11"/>
        <color theme="1"/>
        <name val="Calibri"/>
        <scheme val="none"/>
      </font>
    </dxf>
  </rfmt>
  <rfmt sheetId="1" sqref="A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6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6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68" start="0" length="0">
    <dxf>
      <font>
        <sz val="11"/>
        <color theme="1"/>
        <name val="Calibri"/>
        <scheme val="none"/>
      </font>
    </dxf>
  </rfmt>
  <rfmt sheetId="1" sqref="AM568" start="0" length="0">
    <dxf>
      <font>
        <sz val="11"/>
        <color theme="1"/>
        <name val="Calibri"/>
        <scheme val="none"/>
      </font>
      <numFmt numFmtId="1" formatCode="0"/>
    </dxf>
  </rfmt>
  <rfmt sheetId="1" sqref="AN568" start="0" length="0">
    <dxf>
      <font>
        <sz val="11"/>
        <color theme="1"/>
        <name val="Calibri"/>
        <scheme val="none"/>
      </font>
      <numFmt numFmtId="1" formatCode="0"/>
    </dxf>
  </rfmt>
  <rfmt sheetId="1" sqref="AO568" start="0" length="0">
    <dxf>
      <font>
        <sz val="11"/>
        <color theme="1"/>
        <name val="Calibri"/>
        <scheme val="none"/>
      </font>
    </dxf>
  </rfmt>
  <rfmt sheetId="1" sqref="AP568" start="0" length="0">
    <dxf>
      <font>
        <sz val="11"/>
        <color theme="1"/>
        <name val="Calibri"/>
        <scheme val="none"/>
      </font>
    </dxf>
  </rfmt>
  <rfmt sheetId="1" sqref="AQ568" start="0" length="0">
    <dxf>
      <font>
        <sz val="11"/>
        <color theme="1"/>
        <name val="Calibri"/>
        <scheme val="none"/>
      </font>
      <numFmt numFmtId="164" formatCode="_-* #,##0_-;\-* #,##0_-;_-* &quot;-&quot;??_-;_-@_-"/>
    </dxf>
  </rfmt>
  <rfmt sheetId="1" sqref="AR568" start="0" length="0">
    <dxf>
      <font>
        <sz val="11"/>
        <color theme="1"/>
        <name val="Calibri"/>
        <scheme val="none"/>
      </font>
      <numFmt numFmtId="164" formatCode="_-* #,##0_-;\-* #,##0_-;_-* &quot;-&quot;??_-;_-@_-"/>
    </dxf>
  </rfmt>
  <rfmt sheetId="1" sqref="AS568" start="0" length="0">
    <dxf>
      <font>
        <sz val="11"/>
        <color theme="1"/>
        <name val="Calibri"/>
        <scheme val="none"/>
      </font>
      <numFmt numFmtId="164" formatCode="_-* #,##0_-;\-* #,##0_-;_-* &quot;-&quot;??_-;_-@_-"/>
    </dxf>
  </rfmt>
  <rfmt sheetId="1" sqref="AT568" start="0" length="0">
    <dxf>
      <font>
        <sz val="11"/>
        <color theme="1"/>
        <name val="Calibri"/>
        <scheme val="none"/>
      </font>
      <numFmt numFmtId="164" formatCode="_-* #,##0_-;\-* #,##0_-;_-* &quot;-&quot;??_-;_-@_-"/>
    </dxf>
  </rfmt>
  <rfmt sheetId="1" sqref="AU568" start="0" length="0">
    <dxf>
      <font>
        <sz val="11"/>
        <color theme="1"/>
        <name val="Calibri"/>
        <scheme val="none"/>
      </font>
    </dxf>
  </rfmt>
  <rfmt sheetId="1" sqref="AV568" start="0" length="0">
    <dxf>
      <font>
        <sz val="11"/>
        <color theme="1"/>
        <name val="Calibri"/>
        <scheme val="none"/>
      </font>
    </dxf>
  </rfmt>
  <rfmt sheetId="1" sqref="AW568" start="0" length="0">
    <dxf>
      <font>
        <sz val="11"/>
        <color theme="1"/>
        <name val="Calibri"/>
        <scheme val="none"/>
      </font>
    </dxf>
  </rfmt>
  <rfmt sheetId="1" sqref="AX568" start="0" length="0">
    <dxf>
      <font>
        <sz val="11"/>
        <color theme="1"/>
        <name val="Calibri"/>
        <scheme val="none"/>
      </font>
    </dxf>
  </rfmt>
  <rfmt sheetId="1" sqref="AY568" start="0" length="0">
    <dxf>
      <font>
        <sz val="11"/>
        <color theme="1"/>
        <name val="Calibri"/>
        <scheme val="none"/>
      </font>
    </dxf>
  </rfmt>
  <rfmt sheetId="1" sqref="A568:XFD568" start="0" length="0">
    <dxf>
      <font>
        <sz val="11"/>
        <color theme="1"/>
        <name val="Calibri"/>
        <scheme val="none"/>
      </font>
    </dxf>
  </rfmt>
  <rfmt sheetId="1" sqref="A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6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6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69" start="0" length="0">
    <dxf>
      <font>
        <sz val="11"/>
        <color theme="1"/>
        <name val="Calibri"/>
        <scheme val="none"/>
      </font>
    </dxf>
  </rfmt>
  <rfmt sheetId="1" sqref="AM569" start="0" length="0">
    <dxf>
      <font>
        <sz val="11"/>
        <color theme="1"/>
        <name val="Calibri"/>
        <scheme val="none"/>
      </font>
      <numFmt numFmtId="1" formatCode="0"/>
    </dxf>
  </rfmt>
  <rfmt sheetId="1" sqref="AN569" start="0" length="0">
    <dxf>
      <font>
        <sz val="11"/>
        <color theme="1"/>
        <name val="Calibri"/>
        <scheme val="none"/>
      </font>
      <numFmt numFmtId="1" formatCode="0"/>
    </dxf>
  </rfmt>
  <rfmt sheetId="1" sqref="AO569" start="0" length="0">
    <dxf>
      <font>
        <sz val="11"/>
        <color theme="1"/>
        <name val="Calibri"/>
        <scheme val="none"/>
      </font>
    </dxf>
  </rfmt>
  <rfmt sheetId="1" sqref="AP569" start="0" length="0">
    <dxf>
      <font>
        <sz val="11"/>
        <color theme="1"/>
        <name val="Calibri"/>
        <scheme val="none"/>
      </font>
    </dxf>
  </rfmt>
  <rfmt sheetId="1" sqref="AQ569" start="0" length="0">
    <dxf>
      <font>
        <sz val="11"/>
        <color theme="1"/>
        <name val="Calibri"/>
        <scheme val="none"/>
      </font>
      <numFmt numFmtId="164" formatCode="_-* #,##0_-;\-* #,##0_-;_-* &quot;-&quot;??_-;_-@_-"/>
    </dxf>
  </rfmt>
  <rfmt sheetId="1" sqref="AR569" start="0" length="0">
    <dxf>
      <font>
        <sz val="11"/>
        <color theme="1"/>
        <name val="Calibri"/>
        <scheme val="none"/>
      </font>
      <numFmt numFmtId="164" formatCode="_-* #,##0_-;\-* #,##0_-;_-* &quot;-&quot;??_-;_-@_-"/>
    </dxf>
  </rfmt>
  <rfmt sheetId="1" sqref="AS569" start="0" length="0">
    <dxf>
      <font>
        <sz val="11"/>
        <color theme="1"/>
        <name val="Calibri"/>
        <scheme val="none"/>
      </font>
      <numFmt numFmtId="164" formatCode="_-* #,##0_-;\-* #,##0_-;_-* &quot;-&quot;??_-;_-@_-"/>
    </dxf>
  </rfmt>
  <rfmt sheetId="1" sqref="AT569" start="0" length="0">
    <dxf>
      <font>
        <sz val="11"/>
        <color theme="1"/>
        <name val="Calibri"/>
        <scheme val="none"/>
      </font>
      <numFmt numFmtId="164" formatCode="_-* #,##0_-;\-* #,##0_-;_-* &quot;-&quot;??_-;_-@_-"/>
    </dxf>
  </rfmt>
  <rfmt sheetId="1" sqref="AU569" start="0" length="0">
    <dxf>
      <font>
        <sz val="11"/>
        <color theme="1"/>
        <name val="Calibri"/>
        <scheme val="none"/>
      </font>
    </dxf>
  </rfmt>
  <rfmt sheetId="1" sqref="AV569" start="0" length="0">
    <dxf>
      <font>
        <sz val="11"/>
        <color theme="1"/>
        <name val="Calibri"/>
        <scheme val="none"/>
      </font>
    </dxf>
  </rfmt>
  <rfmt sheetId="1" sqref="AW569" start="0" length="0">
    <dxf>
      <font>
        <sz val="11"/>
        <color theme="1"/>
        <name val="Calibri"/>
        <scheme val="none"/>
      </font>
    </dxf>
  </rfmt>
  <rfmt sheetId="1" sqref="AX569" start="0" length="0">
    <dxf>
      <font>
        <sz val="11"/>
        <color theme="1"/>
        <name val="Calibri"/>
        <scheme val="none"/>
      </font>
    </dxf>
  </rfmt>
  <rfmt sheetId="1" sqref="AY569" start="0" length="0">
    <dxf>
      <font>
        <sz val="11"/>
        <color theme="1"/>
        <name val="Calibri"/>
        <scheme val="none"/>
      </font>
    </dxf>
  </rfmt>
  <rfmt sheetId="1" sqref="A569:XFD569" start="0" length="0">
    <dxf>
      <font>
        <sz val="11"/>
        <color theme="1"/>
        <name val="Calibri"/>
        <scheme val="none"/>
      </font>
    </dxf>
  </rfmt>
  <rfmt sheetId="1" sqref="A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7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7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70" start="0" length="0">
    <dxf>
      <font>
        <sz val="11"/>
        <color theme="1"/>
        <name val="Calibri"/>
        <scheme val="none"/>
      </font>
    </dxf>
  </rfmt>
  <rfmt sheetId="1" sqref="AM570" start="0" length="0">
    <dxf>
      <font>
        <sz val="11"/>
        <color theme="1"/>
        <name val="Calibri"/>
        <scheme val="none"/>
      </font>
      <numFmt numFmtId="1" formatCode="0"/>
    </dxf>
  </rfmt>
  <rfmt sheetId="1" sqref="AN570" start="0" length="0">
    <dxf>
      <font>
        <sz val="11"/>
        <color theme="1"/>
        <name val="Calibri"/>
        <scheme val="none"/>
      </font>
      <numFmt numFmtId="1" formatCode="0"/>
    </dxf>
  </rfmt>
  <rfmt sheetId="1" sqref="AO570" start="0" length="0">
    <dxf>
      <font>
        <sz val="11"/>
        <color theme="1"/>
        <name val="Calibri"/>
        <scheme val="none"/>
      </font>
    </dxf>
  </rfmt>
  <rfmt sheetId="1" sqref="AP570" start="0" length="0">
    <dxf>
      <font>
        <sz val="11"/>
        <color theme="1"/>
        <name val="Calibri"/>
        <scheme val="none"/>
      </font>
    </dxf>
  </rfmt>
  <rfmt sheetId="1" sqref="AQ570" start="0" length="0">
    <dxf>
      <font>
        <sz val="11"/>
        <color theme="1"/>
        <name val="Calibri"/>
        <scheme val="none"/>
      </font>
      <numFmt numFmtId="164" formatCode="_-* #,##0_-;\-* #,##0_-;_-* &quot;-&quot;??_-;_-@_-"/>
    </dxf>
  </rfmt>
  <rfmt sheetId="1" sqref="AR570" start="0" length="0">
    <dxf>
      <font>
        <sz val="11"/>
        <color theme="1"/>
        <name val="Calibri"/>
        <scheme val="none"/>
      </font>
      <numFmt numFmtId="164" formatCode="_-* #,##0_-;\-* #,##0_-;_-* &quot;-&quot;??_-;_-@_-"/>
    </dxf>
  </rfmt>
  <rfmt sheetId="1" sqref="AS570" start="0" length="0">
    <dxf>
      <font>
        <sz val="11"/>
        <color theme="1"/>
        <name val="Calibri"/>
        <scheme val="none"/>
      </font>
      <numFmt numFmtId="164" formatCode="_-* #,##0_-;\-* #,##0_-;_-* &quot;-&quot;??_-;_-@_-"/>
    </dxf>
  </rfmt>
  <rfmt sheetId="1" sqref="AT570" start="0" length="0">
    <dxf>
      <font>
        <sz val="11"/>
        <color theme="1"/>
        <name val="Calibri"/>
        <scheme val="none"/>
      </font>
      <numFmt numFmtId="164" formatCode="_-* #,##0_-;\-* #,##0_-;_-* &quot;-&quot;??_-;_-@_-"/>
    </dxf>
  </rfmt>
  <rfmt sheetId="1" sqref="AU570" start="0" length="0">
    <dxf>
      <font>
        <sz val="11"/>
        <color theme="1"/>
        <name val="Calibri"/>
        <scheme val="none"/>
      </font>
    </dxf>
  </rfmt>
  <rfmt sheetId="1" sqref="AV570" start="0" length="0">
    <dxf>
      <font>
        <sz val="11"/>
        <color theme="1"/>
        <name val="Calibri"/>
        <scheme val="none"/>
      </font>
    </dxf>
  </rfmt>
  <rfmt sheetId="1" sqref="AW570" start="0" length="0">
    <dxf>
      <font>
        <sz val="11"/>
        <color theme="1"/>
        <name val="Calibri"/>
        <scheme val="none"/>
      </font>
    </dxf>
  </rfmt>
  <rfmt sheetId="1" sqref="AX570" start="0" length="0">
    <dxf>
      <font>
        <sz val="11"/>
        <color theme="1"/>
        <name val="Calibri"/>
        <scheme val="none"/>
      </font>
    </dxf>
  </rfmt>
  <rfmt sheetId="1" sqref="AY570" start="0" length="0">
    <dxf>
      <font>
        <sz val="11"/>
        <color theme="1"/>
        <name val="Calibri"/>
        <scheme val="none"/>
      </font>
    </dxf>
  </rfmt>
  <rfmt sheetId="1" sqref="A570:XFD570" start="0" length="0">
    <dxf>
      <font>
        <sz val="11"/>
        <color theme="1"/>
        <name val="Calibri"/>
        <scheme val="none"/>
      </font>
    </dxf>
  </rfmt>
  <rfmt sheetId="1" sqref="A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7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7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71" start="0" length="0">
    <dxf>
      <font>
        <sz val="11"/>
        <color theme="1"/>
        <name val="Calibri"/>
        <scheme val="none"/>
      </font>
    </dxf>
  </rfmt>
  <rfmt sheetId="1" sqref="AM571" start="0" length="0">
    <dxf>
      <font>
        <sz val="11"/>
        <color theme="1"/>
        <name val="Calibri"/>
        <scheme val="none"/>
      </font>
      <numFmt numFmtId="1" formatCode="0"/>
    </dxf>
  </rfmt>
  <rfmt sheetId="1" sqref="AN571" start="0" length="0">
    <dxf>
      <font>
        <sz val="11"/>
        <color theme="1"/>
        <name val="Calibri"/>
        <scheme val="none"/>
      </font>
      <numFmt numFmtId="1" formatCode="0"/>
    </dxf>
  </rfmt>
  <rfmt sheetId="1" sqref="AO571" start="0" length="0">
    <dxf>
      <font>
        <sz val="11"/>
        <color theme="1"/>
        <name val="Calibri"/>
        <scheme val="none"/>
      </font>
    </dxf>
  </rfmt>
  <rfmt sheetId="1" sqref="AP571" start="0" length="0">
    <dxf>
      <font>
        <sz val="11"/>
        <color theme="1"/>
        <name val="Calibri"/>
        <scheme val="none"/>
      </font>
    </dxf>
  </rfmt>
  <rfmt sheetId="1" sqref="AQ571" start="0" length="0">
    <dxf>
      <font>
        <sz val="11"/>
        <color theme="1"/>
        <name val="Calibri"/>
        <scheme val="none"/>
      </font>
      <numFmt numFmtId="164" formatCode="_-* #,##0_-;\-* #,##0_-;_-* &quot;-&quot;??_-;_-@_-"/>
    </dxf>
  </rfmt>
  <rfmt sheetId="1" sqref="AR571" start="0" length="0">
    <dxf>
      <font>
        <sz val="11"/>
        <color theme="1"/>
        <name val="Calibri"/>
        <scheme val="none"/>
      </font>
      <numFmt numFmtId="164" formatCode="_-* #,##0_-;\-* #,##0_-;_-* &quot;-&quot;??_-;_-@_-"/>
    </dxf>
  </rfmt>
  <rfmt sheetId="1" sqref="AS571" start="0" length="0">
    <dxf>
      <font>
        <sz val="11"/>
        <color theme="1"/>
        <name val="Calibri"/>
        <scheme val="none"/>
      </font>
      <numFmt numFmtId="164" formatCode="_-* #,##0_-;\-* #,##0_-;_-* &quot;-&quot;??_-;_-@_-"/>
    </dxf>
  </rfmt>
  <rfmt sheetId="1" sqref="AT571" start="0" length="0">
    <dxf>
      <font>
        <sz val="11"/>
        <color theme="1"/>
        <name val="Calibri"/>
        <scheme val="none"/>
      </font>
      <numFmt numFmtId="164" formatCode="_-* #,##0_-;\-* #,##0_-;_-* &quot;-&quot;??_-;_-@_-"/>
    </dxf>
  </rfmt>
  <rfmt sheetId="1" sqref="AU571" start="0" length="0">
    <dxf>
      <font>
        <sz val="11"/>
        <color theme="1"/>
        <name val="Calibri"/>
        <scheme val="none"/>
      </font>
    </dxf>
  </rfmt>
  <rfmt sheetId="1" sqref="AV571" start="0" length="0">
    <dxf>
      <font>
        <sz val="11"/>
        <color theme="1"/>
        <name val="Calibri"/>
        <scheme val="none"/>
      </font>
    </dxf>
  </rfmt>
  <rfmt sheetId="1" sqref="AW571" start="0" length="0">
    <dxf>
      <font>
        <sz val="11"/>
        <color theme="1"/>
        <name val="Calibri"/>
        <scheme val="none"/>
      </font>
    </dxf>
  </rfmt>
  <rfmt sheetId="1" sqref="AX571" start="0" length="0">
    <dxf>
      <font>
        <sz val="11"/>
        <color theme="1"/>
        <name val="Calibri"/>
        <scheme val="none"/>
      </font>
    </dxf>
  </rfmt>
  <rfmt sheetId="1" sqref="AY571" start="0" length="0">
    <dxf>
      <font>
        <sz val="11"/>
        <color theme="1"/>
        <name val="Calibri"/>
        <scheme val="none"/>
      </font>
    </dxf>
  </rfmt>
  <rfmt sheetId="1" sqref="A571:XFD571" start="0" length="0">
    <dxf>
      <font>
        <sz val="11"/>
        <color theme="1"/>
        <name val="Calibri"/>
        <scheme val="none"/>
      </font>
    </dxf>
  </rfmt>
  <rfmt sheetId="1" sqref="A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7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7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72" start="0" length="0">
    <dxf>
      <font>
        <sz val="11"/>
        <color theme="1"/>
        <name val="Calibri"/>
        <scheme val="none"/>
      </font>
    </dxf>
  </rfmt>
  <rfmt sheetId="1" sqref="AM572" start="0" length="0">
    <dxf>
      <font>
        <sz val="11"/>
        <color theme="1"/>
        <name val="Calibri"/>
        <scheme val="none"/>
      </font>
      <numFmt numFmtId="1" formatCode="0"/>
    </dxf>
  </rfmt>
  <rfmt sheetId="1" sqref="AN572" start="0" length="0">
    <dxf>
      <font>
        <sz val="11"/>
        <color theme="1"/>
        <name val="Calibri"/>
        <scheme val="none"/>
      </font>
      <numFmt numFmtId="1" formatCode="0"/>
    </dxf>
  </rfmt>
  <rfmt sheetId="1" sqref="AO572" start="0" length="0">
    <dxf>
      <font>
        <sz val="11"/>
        <color theme="1"/>
        <name val="Calibri"/>
        <scheme val="none"/>
      </font>
    </dxf>
  </rfmt>
  <rfmt sheetId="1" sqref="AP572" start="0" length="0">
    <dxf>
      <font>
        <sz val="11"/>
        <color theme="1"/>
        <name val="Calibri"/>
        <scheme val="none"/>
      </font>
    </dxf>
  </rfmt>
  <rfmt sheetId="1" sqref="AQ572" start="0" length="0">
    <dxf>
      <font>
        <sz val="11"/>
        <color theme="1"/>
        <name val="Calibri"/>
        <scheme val="none"/>
      </font>
      <numFmt numFmtId="164" formatCode="_-* #,##0_-;\-* #,##0_-;_-* &quot;-&quot;??_-;_-@_-"/>
    </dxf>
  </rfmt>
  <rfmt sheetId="1" sqref="AR572" start="0" length="0">
    <dxf>
      <font>
        <sz val="11"/>
        <color theme="1"/>
        <name val="Calibri"/>
        <scheme val="none"/>
      </font>
      <numFmt numFmtId="164" formatCode="_-* #,##0_-;\-* #,##0_-;_-* &quot;-&quot;??_-;_-@_-"/>
    </dxf>
  </rfmt>
  <rfmt sheetId="1" sqref="AS572" start="0" length="0">
    <dxf>
      <font>
        <sz val="11"/>
        <color theme="1"/>
        <name val="Calibri"/>
        <scheme val="none"/>
      </font>
      <numFmt numFmtId="164" formatCode="_-* #,##0_-;\-* #,##0_-;_-* &quot;-&quot;??_-;_-@_-"/>
    </dxf>
  </rfmt>
  <rfmt sheetId="1" sqref="AT572" start="0" length="0">
    <dxf>
      <font>
        <sz val="11"/>
        <color theme="1"/>
        <name val="Calibri"/>
        <scheme val="none"/>
      </font>
      <numFmt numFmtId="164" formatCode="_-* #,##0_-;\-* #,##0_-;_-* &quot;-&quot;??_-;_-@_-"/>
    </dxf>
  </rfmt>
  <rfmt sheetId="1" sqref="AU572" start="0" length="0">
    <dxf>
      <font>
        <sz val="11"/>
        <color theme="1"/>
        <name val="Calibri"/>
        <scheme val="none"/>
      </font>
    </dxf>
  </rfmt>
  <rfmt sheetId="1" sqref="AV572" start="0" length="0">
    <dxf>
      <font>
        <sz val="11"/>
        <color theme="1"/>
        <name val="Calibri"/>
        <scheme val="none"/>
      </font>
    </dxf>
  </rfmt>
  <rfmt sheetId="1" sqref="AW572" start="0" length="0">
    <dxf>
      <font>
        <sz val="11"/>
        <color theme="1"/>
        <name val="Calibri"/>
        <scheme val="none"/>
      </font>
    </dxf>
  </rfmt>
  <rfmt sheetId="1" sqref="AX572" start="0" length="0">
    <dxf>
      <font>
        <sz val="11"/>
        <color theme="1"/>
        <name val="Calibri"/>
        <scheme val="none"/>
      </font>
    </dxf>
  </rfmt>
  <rfmt sheetId="1" sqref="AY572" start="0" length="0">
    <dxf>
      <font>
        <sz val="11"/>
        <color theme="1"/>
        <name val="Calibri"/>
        <scheme val="none"/>
      </font>
    </dxf>
  </rfmt>
  <rfmt sheetId="1" sqref="A572:XFD572" start="0" length="0">
    <dxf>
      <font>
        <sz val="11"/>
        <color theme="1"/>
        <name val="Calibri"/>
        <scheme val="none"/>
      </font>
    </dxf>
  </rfmt>
  <rfmt sheetId="1" sqref="A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7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7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73" start="0" length="0">
    <dxf>
      <font>
        <sz val="11"/>
        <color theme="1"/>
        <name val="Calibri"/>
        <scheme val="none"/>
      </font>
    </dxf>
  </rfmt>
  <rfmt sheetId="1" sqref="AM573" start="0" length="0">
    <dxf>
      <font>
        <sz val="11"/>
        <color theme="1"/>
        <name val="Calibri"/>
        <scheme val="none"/>
      </font>
      <numFmt numFmtId="1" formatCode="0"/>
    </dxf>
  </rfmt>
  <rfmt sheetId="1" sqref="AN573" start="0" length="0">
    <dxf>
      <font>
        <sz val="11"/>
        <color theme="1"/>
        <name val="Calibri"/>
        <scheme val="none"/>
      </font>
      <numFmt numFmtId="1" formatCode="0"/>
    </dxf>
  </rfmt>
  <rfmt sheetId="1" sqref="AO573" start="0" length="0">
    <dxf>
      <font>
        <sz val="11"/>
        <color theme="1"/>
        <name val="Calibri"/>
        <scheme val="none"/>
      </font>
    </dxf>
  </rfmt>
  <rfmt sheetId="1" sqref="AP573" start="0" length="0">
    <dxf>
      <font>
        <sz val="11"/>
        <color theme="1"/>
        <name val="Calibri"/>
        <scheme val="none"/>
      </font>
    </dxf>
  </rfmt>
  <rfmt sheetId="1" sqref="AQ573" start="0" length="0">
    <dxf>
      <font>
        <sz val="11"/>
        <color theme="1"/>
        <name val="Calibri"/>
        <scheme val="none"/>
      </font>
      <numFmt numFmtId="164" formatCode="_-* #,##0_-;\-* #,##0_-;_-* &quot;-&quot;??_-;_-@_-"/>
    </dxf>
  </rfmt>
  <rfmt sheetId="1" sqref="AR573" start="0" length="0">
    <dxf>
      <font>
        <sz val="11"/>
        <color theme="1"/>
        <name val="Calibri"/>
        <scheme val="none"/>
      </font>
      <numFmt numFmtId="164" formatCode="_-* #,##0_-;\-* #,##0_-;_-* &quot;-&quot;??_-;_-@_-"/>
    </dxf>
  </rfmt>
  <rfmt sheetId="1" sqref="AS573" start="0" length="0">
    <dxf>
      <font>
        <sz val="11"/>
        <color theme="1"/>
        <name val="Calibri"/>
        <scheme val="none"/>
      </font>
      <numFmt numFmtId="164" formatCode="_-* #,##0_-;\-* #,##0_-;_-* &quot;-&quot;??_-;_-@_-"/>
    </dxf>
  </rfmt>
  <rfmt sheetId="1" sqref="AT573" start="0" length="0">
    <dxf>
      <font>
        <sz val="11"/>
        <color theme="1"/>
        <name val="Calibri"/>
        <scheme val="none"/>
      </font>
      <numFmt numFmtId="164" formatCode="_-* #,##0_-;\-* #,##0_-;_-* &quot;-&quot;??_-;_-@_-"/>
    </dxf>
  </rfmt>
  <rfmt sheetId="1" sqref="AU573" start="0" length="0">
    <dxf>
      <font>
        <sz val="11"/>
        <color theme="1"/>
        <name val="Calibri"/>
        <scheme val="none"/>
      </font>
    </dxf>
  </rfmt>
  <rfmt sheetId="1" sqref="AV573" start="0" length="0">
    <dxf>
      <font>
        <sz val="11"/>
        <color theme="1"/>
        <name val="Calibri"/>
        <scheme val="none"/>
      </font>
    </dxf>
  </rfmt>
  <rfmt sheetId="1" sqref="AW573" start="0" length="0">
    <dxf>
      <font>
        <sz val="11"/>
        <color theme="1"/>
        <name val="Calibri"/>
        <scheme val="none"/>
      </font>
    </dxf>
  </rfmt>
  <rfmt sheetId="1" sqref="AX573" start="0" length="0">
    <dxf>
      <font>
        <sz val="11"/>
        <color theme="1"/>
        <name val="Calibri"/>
        <scheme val="none"/>
      </font>
    </dxf>
  </rfmt>
  <rfmt sheetId="1" sqref="AY573" start="0" length="0">
    <dxf>
      <font>
        <sz val="11"/>
        <color theme="1"/>
        <name val="Calibri"/>
        <scheme val="none"/>
      </font>
    </dxf>
  </rfmt>
  <rfmt sheetId="1" sqref="A573:XFD573" start="0" length="0">
    <dxf>
      <font>
        <sz val="11"/>
        <color theme="1"/>
        <name val="Calibri"/>
        <scheme val="none"/>
      </font>
    </dxf>
  </rfmt>
  <rfmt sheetId="1" sqref="A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7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7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74" start="0" length="0">
    <dxf>
      <font>
        <sz val="11"/>
        <color theme="1"/>
        <name val="Calibri"/>
        <scheme val="none"/>
      </font>
    </dxf>
  </rfmt>
  <rfmt sheetId="1" sqref="AM574" start="0" length="0">
    <dxf>
      <font>
        <sz val="11"/>
        <color theme="1"/>
        <name val="Calibri"/>
        <scheme val="none"/>
      </font>
      <numFmt numFmtId="1" formatCode="0"/>
    </dxf>
  </rfmt>
  <rfmt sheetId="1" sqref="AN574" start="0" length="0">
    <dxf>
      <font>
        <sz val="11"/>
        <color theme="1"/>
        <name val="Calibri"/>
        <scheme val="none"/>
      </font>
      <numFmt numFmtId="1" formatCode="0"/>
    </dxf>
  </rfmt>
  <rfmt sheetId="1" sqref="AO574" start="0" length="0">
    <dxf>
      <font>
        <sz val="11"/>
        <color theme="1"/>
        <name val="Calibri"/>
        <scheme val="none"/>
      </font>
    </dxf>
  </rfmt>
  <rfmt sheetId="1" sqref="AP574" start="0" length="0">
    <dxf>
      <font>
        <sz val="11"/>
        <color theme="1"/>
        <name val="Calibri"/>
        <scheme val="none"/>
      </font>
    </dxf>
  </rfmt>
  <rfmt sheetId="1" sqref="AQ574" start="0" length="0">
    <dxf>
      <font>
        <sz val="11"/>
        <color theme="1"/>
        <name val="Calibri"/>
        <scheme val="none"/>
      </font>
      <numFmt numFmtId="164" formatCode="_-* #,##0_-;\-* #,##0_-;_-* &quot;-&quot;??_-;_-@_-"/>
    </dxf>
  </rfmt>
  <rfmt sheetId="1" sqref="AR574" start="0" length="0">
    <dxf>
      <font>
        <sz val="11"/>
        <color theme="1"/>
        <name val="Calibri"/>
        <scheme val="none"/>
      </font>
      <numFmt numFmtId="164" formatCode="_-* #,##0_-;\-* #,##0_-;_-* &quot;-&quot;??_-;_-@_-"/>
    </dxf>
  </rfmt>
  <rfmt sheetId="1" sqref="AS574" start="0" length="0">
    <dxf>
      <font>
        <sz val="11"/>
        <color theme="1"/>
        <name val="Calibri"/>
        <scheme val="none"/>
      </font>
      <numFmt numFmtId="164" formatCode="_-* #,##0_-;\-* #,##0_-;_-* &quot;-&quot;??_-;_-@_-"/>
    </dxf>
  </rfmt>
  <rfmt sheetId="1" sqref="AT574" start="0" length="0">
    <dxf>
      <font>
        <sz val="11"/>
        <color theme="1"/>
        <name val="Calibri"/>
        <scheme val="none"/>
      </font>
      <numFmt numFmtId="164" formatCode="_-* #,##0_-;\-* #,##0_-;_-* &quot;-&quot;??_-;_-@_-"/>
    </dxf>
  </rfmt>
  <rfmt sheetId="1" sqref="AU574" start="0" length="0">
    <dxf>
      <font>
        <sz val="11"/>
        <color theme="1"/>
        <name val="Calibri"/>
        <scheme val="none"/>
      </font>
    </dxf>
  </rfmt>
  <rfmt sheetId="1" sqref="AV574" start="0" length="0">
    <dxf>
      <font>
        <sz val="11"/>
        <color theme="1"/>
        <name val="Calibri"/>
        <scheme val="none"/>
      </font>
    </dxf>
  </rfmt>
  <rfmt sheetId="1" sqref="AW574" start="0" length="0">
    <dxf>
      <font>
        <sz val="11"/>
        <color theme="1"/>
        <name val="Calibri"/>
        <scheme val="none"/>
      </font>
    </dxf>
  </rfmt>
  <rfmt sheetId="1" sqref="AX574" start="0" length="0">
    <dxf>
      <font>
        <sz val="11"/>
        <color theme="1"/>
        <name val="Calibri"/>
        <scheme val="none"/>
      </font>
    </dxf>
  </rfmt>
  <rfmt sheetId="1" sqref="AY574" start="0" length="0">
    <dxf>
      <font>
        <sz val="11"/>
        <color theme="1"/>
        <name val="Calibri"/>
        <scheme val="none"/>
      </font>
    </dxf>
  </rfmt>
  <rfmt sheetId="1" sqref="A574:XFD574" start="0" length="0">
    <dxf>
      <font>
        <sz val="11"/>
        <color theme="1"/>
        <name val="Calibri"/>
        <scheme val="none"/>
      </font>
    </dxf>
  </rfmt>
  <rfmt sheetId="1" sqref="A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7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7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7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7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75" start="0" length="0">
    <dxf>
      <font>
        <sz val="11"/>
        <color theme="1"/>
        <name val="Calibri"/>
        <scheme val="none"/>
      </font>
    </dxf>
  </rfmt>
  <rfmt sheetId="1" sqref="AM575" start="0" length="0">
    <dxf>
      <font>
        <sz val="11"/>
        <color theme="1"/>
        <name val="Calibri"/>
        <scheme val="none"/>
      </font>
      <numFmt numFmtId="1" formatCode="0"/>
    </dxf>
  </rfmt>
  <rfmt sheetId="1" sqref="AN575" start="0" length="0">
    <dxf>
      <font>
        <sz val="11"/>
        <color theme="1"/>
        <name val="Calibri"/>
        <scheme val="none"/>
      </font>
      <numFmt numFmtId="1" formatCode="0"/>
    </dxf>
  </rfmt>
  <rfmt sheetId="1" sqref="AO575" start="0" length="0">
    <dxf>
      <font>
        <sz val="11"/>
        <color theme="1"/>
        <name val="Calibri"/>
        <scheme val="none"/>
      </font>
    </dxf>
  </rfmt>
  <rfmt sheetId="1" sqref="AP575" start="0" length="0">
    <dxf>
      <font>
        <sz val="11"/>
        <color theme="1"/>
        <name val="Calibri"/>
        <scheme val="none"/>
      </font>
    </dxf>
  </rfmt>
  <rfmt sheetId="1" sqref="AQ575" start="0" length="0">
    <dxf>
      <font>
        <sz val="11"/>
        <color theme="1"/>
        <name val="Calibri"/>
        <scheme val="none"/>
      </font>
      <numFmt numFmtId="164" formatCode="_-* #,##0_-;\-* #,##0_-;_-* &quot;-&quot;??_-;_-@_-"/>
    </dxf>
  </rfmt>
  <rfmt sheetId="1" sqref="AR575" start="0" length="0">
    <dxf>
      <font>
        <sz val="11"/>
        <color theme="1"/>
        <name val="Calibri"/>
        <scheme val="none"/>
      </font>
      <numFmt numFmtId="164" formatCode="_-* #,##0_-;\-* #,##0_-;_-* &quot;-&quot;??_-;_-@_-"/>
    </dxf>
  </rfmt>
  <rfmt sheetId="1" sqref="AS575" start="0" length="0">
    <dxf>
      <font>
        <sz val="11"/>
        <color theme="1"/>
        <name val="Calibri"/>
        <scheme val="none"/>
      </font>
      <numFmt numFmtId="164" formatCode="_-* #,##0_-;\-* #,##0_-;_-* &quot;-&quot;??_-;_-@_-"/>
    </dxf>
  </rfmt>
  <rfmt sheetId="1" sqref="AT575" start="0" length="0">
    <dxf>
      <font>
        <sz val="11"/>
        <color theme="1"/>
        <name val="Calibri"/>
        <scheme val="none"/>
      </font>
      <numFmt numFmtId="164" formatCode="_-* #,##0_-;\-* #,##0_-;_-* &quot;-&quot;??_-;_-@_-"/>
    </dxf>
  </rfmt>
  <rfmt sheetId="1" sqref="AU575" start="0" length="0">
    <dxf>
      <font>
        <sz val="11"/>
        <color theme="1"/>
        <name val="Calibri"/>
        <scheme val="none"/>
      </font>
    </dxf>
  </rfmt>
  <rfmt sheetId="1" sqref="AV575" start="0" length="0">
    <dxf>
      <font>
        <sz val="11"/>
        <color theme="1"/>
        <name val="Calibri"/>
        <scheme val="none"/>
      </font>
    </dxf>
  </rfmt>
  <rfmt sheetId="1" sqref="AW575" start="0" length="0">
    <dxf>
      <font>
        <sz val="11"/>
        <color theme="1"/>
        <name val="Calibri"/>
        <scheme val="none"/>
      </font>
    </dxf>
  </rfmt>
  <rfmt sheetId="1" sqref="AX575" start="0" length="0">
    <dxf>
      <font>
        <sz val="11"/>
        <color theme="1"/>
        <name val="Calibri"/>
        <scheme val="none"/>
      </font>
    </dxf>
  </rfmt>
  <rfmt sheetId="1" sqref="AY575" start="0" length="0">
    <dxf>
      <font>
        <sz val="11"/>
        <color theme="1"/>
        <name val="Calibri"/>
        <scheme val="none"/>
      </font>
    </dxf>
  </rfmt>
  <rfmt sheetId="1" sqref="A575:XFD575" start="0" length="0">
    <dxf>
      <font>
        <sz val="11"/>
        <color theme="1"/>
        <name val="Calibri"/>
        <scheme val="none"/>
      </font>
    </dxf>
  </rfmt>
  <rfmt sheetId="1" sqref="A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7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7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7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7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76" start="0" length="0">
    <dxf>
      <font>
        <sz val="11"/>
        <color theme="1"/>
        <name val="Calibri"/>
        <scheme val="none"/>
      </font>
    </dxf>
  </rfmt>
  <rfmt sheetId="1" sqref="AM576" start="0" length="0">
    <dxf>
      <font>
        <sz val="11"/>
        <color theme="1"/>
        <name val="Calibri"/>
        <scheme val="none"/>
      </font>
      <numFmt numFmtId="1" formatCode="0"/>
    </dxf>
  </rfmt>
  <rfmt sheetId="1" sqref="AN576" start="0" length="0">
    <dxf>
      <font>
        <sz val="11"/>
        <color theme="1"/>
        <name val="Calibri"/>
        <scheme val="none"/>
      </font>
      <numFmt numFmtId="1" formatCode="0"/>
    </dxf>
  </rfmt>
  <rfmt sheetId="1" sqref="AO576" start="0" length="0">
    <dxf>
      <font>
        <sz val="11"/>
        <color theme="1"/>
        <name val="Calibri"/>
        <scheme val="none"/>
      </font>
    </dxf>
  </rfmt>
  <rfmt sheetId="1" sqref="AP576" start="0" length="0">
    <dxf>
      <font>
        <sz val="11"/>
        <color theme="1"/>
        <name val="Calibri"/>
        <scheme val="none"/>
      </font>
    </dxf>
  </rfmt>
  <rfmt sheetId="1" sqref="AQ576" start="0" length="0">
    <dxf>
      <font>
        <sz val="11"/>
        <color theme="1"/>
        <name val="Calibri"/>
        <scheme val="none"/>
      </font>
      <numFmt numFmtId="164" formatCode="_-* #,##0_-;\-* #,##0_-;_-* &quot;-&quot;??_-;_-@_-"/>
    </dxf>
  </rfmt>
  <rfmt sheetId="1" sqref="AR576" start="0" length="0">
    <dxf>
      <font>
        <sz val="11"/>
        <color theme="1"/>
        <name val="Calibri"/>
        <scheme val="none"/>
      </font>
      <numFmt numFmtId="164" formatCode="_-* #,##0_-;\-* #,##0_-;_-* &quot;-&quot;??_-;_-@_-"/>
    </dxf>
  </rfmt>
  <rfmt sheetId="1" sqref="AS576" start="0" length="0">
    <dxf>
      <font>
        <sz val="11"/>
        <color theme="1"/>
        <name val="Calibri"/>
        <scheme val="none"/>
      </font>
      <numFmt numFmtId="164" formatCode="_-* #,##0_-;\-* #,##0_-;_-* &quot;-&quot;??_-;_-@_-"/>
    </dxf>
  </rfmt>
  <rfmt sheetId="1" sqref="AT576" start="0" length="0">
    <dxf>
      <font>
        <sz val="11"/>
        <color theme="1"/>
        <name val="Calibri"/>
        <scheme val="none"/>
      </font>
      <numFmt numFmtId="164" formatCode="_-* #,##0_-;\-* #,##0_-;_-* &quot;-&quot;??_-;_-@_-"/>
    </dxf>
  </rfmt>
  <rfmt sheetId="1" sqref="AU576" start="0" length="0">
    <dxf>
      <font>
        <sz val="11"/>
        <color theme="1"/>
        <name val="Calibri"/>
        <scheme val="none"/>
      </font>
    </dxf>
  </rfmt>
  <rfmt sheetId="1" sqref="AV576" start="0" length="0">
    <dxf>
      <font>
        <sz val="11"/>
        <color theme="1"/>
        <name val="Calibri"/>
        <scheme val="none"/>
      </font>
    </dxf>
  </rfmt>
  <rfmt sheetId="1" sqref="AW576" start="0" length="0">
    <dxf>
      <font>
        <sz val="11"/>
        <color theme="1"/>
        <name val="Calibri"/>
        <scheme val="none"/>
      </font>
    </dxf>
  </rfmt>
  <rfmt sheetId="1" sqref="AX576" start="0" length="0">
    <dxf>
      <font>
        <sz val="11"/>
        <color theme="1"/>
        <name val="Calibri"/>
        <scheme val="none"/>
      </font>
    </dxf>
  </rfmt>
  <rfmt sheetId="1" sqref="AY576" start="0" length="0">
    <dxf>
      <font>
        <sz val="11"/>
        <color theme="1"/>
        <name val="Calibri"/>
        <scheme val="none"/>
      </font>
    </dxf>
  </rfmt>
  <rfmt sheetId="1" sqref="A576:XFD576" start="0" length="0">
    <dxf>
      <font>
        <sz val="11"/>
        <color theme="1"/>
        <name val="Calibri"/>
        <scheme val="none"/>
      </font>
    </dxf>
  </rfmt>
  <rfmt sheetId="1" sqref="A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7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7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7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7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77" start="0" length="0">
    <dxf>
      <font>
        <sz val="11"/>
        <color theme="1"/>
        <name val="Calibri"/>
        <scheme val="none"/>
      </font>
    </dxf>
  </rfmt>
  <rfmt sheetId="1" sqref="AM577" start="0" length="0">
    <dxf>
      <font>
        <sz val="11"/>
        <color theme="1"/>
        <name val="Calibri"/>
        <scheme val="none"/>
      </font>
      <numFmt numFmtId="1" formatCode="0"/>
    </dxf>
  </rfmt>
  <rfmt sheetId="1" sqref="AN577" start="0" length="0">
    <dxf>
      <font>
        <sz val="11"/>
        <color theme="1"/>
        <name val="Calibri"/>
        <scheme val="none"/>
      </font>
      <numFmt numFmtId="1" formatCode="0"/>
    </dxf>
  </rfmt>
  <rfmt sheetId="1" sqref="AO577" start="0" length="0">
    <dxf>
      <font>
        <sz val="11"/>
        <color theme="1"/>
        <name val="Calibri"/>
        <scheme val="none"/>
      </font>
    </dxf>
  </rfmt>
  <rfmt sheetId="1" sqref="AP577" start="0" length="0">
    <dxf>
      <font>
        <sz val="11"/>
        <color theme="1"/>
        <name val="Calibri"/>
        <scheme val="none"/>
      </font>
    </dxf>
  </rfmt>
  <rfmt sheetId="1" sqref="AQ577" start="0" length="0">
    <dxf>
      <font>
        <sz val="11"/>
        <color theme="1"/>
        <name val="Calibri"/>
        <scheme val="none"/>
      </font>
      <numFmt numFmtId="164" formatCode="_-* #,##0_-;\-* #,##0_-;_-* &quot;-&quot;??_-;_-@_-"/>
    </dxf>
  </rfmt>
  <rfmt sheetId="1" sqref="AR577" start="0" length="0">
    <dxf>
      <font>
        <sz val="11"/>
        <color theme="1"/>
        <name val="Calibri"/>
        <scheme val="none"/>
      </font>
      <numFmt numFmtId="164" formatCode="_-* #,##0_-;\-* #,##0_-;_-* &quot;-&quot;??_-;_-@_-"/>
    </dxf>
  </rfmt>
  <rfmt sheetId="1" sqref="AS577" start="0" length="0">
    <dxf>
      <font>
        <sz val="11"/>
        <color theme="1"/>
        <name val="Calibri"/>
        <scheme val="none"/>
      </font>
      <numFmt numFmtId="164" formatCode="_-* #,##0_-;\-* #,##0_-;_-* &quot;-&quot;??_-;_-@_-"/>
    </dxf>
  </rfmt>
  <rfmt sheetId="1" sqref="AT577" start="0" length="0">
    <dxf>
      <font>
        <sz val="11"/>
        <color theme="1"/>
        <name val="Calibri"/>
        <scheme val="none"/>
      </font>
      <numFmt numFmtId="164" formatCode="_-* #,##0_-;\-* #,##0_-;_-* &quot;-&quot;??_-;_-@_-"/>
    </dxf>
  </rfmt>
  <rfmt sheetId="1" sqref="AU577" start="0" length="0">
    <dxf>
      <font>
        <sz val="11"/>
        <color theme="1"/>
        <name val="Calibri"/>
        <scheme val="none"/>
      </font>
    </dxf>
  </rfmt>
  <rfmt sheetId="1" sqref="AV577" start="0" length="0">
    <dxf>
      <font>
        <sz val="11"/>
        <color theme="1"/>
        <name val="Calibri"/>
        <scheme val="none"/>
      </font>
    </dxf>
  </rfmt>
  <rfmt sheetId="1" sqref="AW577" start="0" length="0">
    <dxf>
      <font>
        <sz val="11"/>
        <color theme="1"/>
        <name val="Calibri"/>
        <scheme val="none"/>
      </font>
    </dxf>
  </rfmt>
  <rfmt sheetId="1" sqref="AX577" start="0" length="0">
    <dxf>
      <font>
        <sz val="11"/>
        <color theme="1"/>
        <name val="Calibri"/>
        <scheme val="none"/>
      </font>
    </dxf>
  </rfmt>
  <rfmt sheetId="1" sqref="AY577" start="0" length="0">
    <dxf>
      <font>
        <sz val="11"/>
        <color theme="1"/>
        <name val="Calibri"/>
        <scheme val="none"/>
      </font>
    </dxf>
  </rfmt>
  <rfmt sheetId="1" sqref="A577:XFD577" start="0" length="0">
    <dxf>
      <font>
        <sz val="11"/>
        <color theme="1"/>
        <name val="Calibri"/>
        <scheme val="none"/>
      </font>
    </dxf>
  </rfmt>
  <rfmt sheetId="1" sqref="A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7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7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7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7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78" start="0" length="0">
    <dxf>
      <font>
        <sz val="11"/>
        <color theme="1"/>
        <name val="Calibri"/>
        <scheme val="none"/>
      </font>
    </dxf>
  </rfmt>
  <rfmt sheetId="1" sqref="AM578" start="0" length="0">
    <dxf>
      <font>
        <sz val="11"/>
        <color theme="1"/>
        <name val="Calibri"/>
        <scheme val="none"/>
      </font>
      <numFmt numFmtId="1" formatCode="0"/>
    </dxf>
  </rfmt>
  <rfmt sheetId="1" sqref="AN578" start="0" length="0">
    <dxf>
      <font>
        <sz val="11"/>
        <color theme="1"/>
        <name val="Calibri"/>
        <scheme val="none"/>
      </font>
      <numFmt numFmtId="1" formatCode="0"/>
    </dxf>
  </rfmt>
  <rfmt sheetId="1" sqref="AO578" start="0" length="0">
    <dxf>
      <font>
        <sz val="11"/>
        <color theme="1"/>
        <name val="Calibri"/>
        <scheme val="none"/>
      </font>
    </dxf>
  </rfmt>
  <rfmt sheetId="1" sqref="AP578" start="0" length="0">
    <dxf>
      <font>
        <sz val="11"/>
        <color theme="1"/>
        <name val="Calibri"/>
        <scheme val="none"/>
      </font>
    </dxf>
  </rfmt>
  <rfmt sheetId="1" sqref="AQ578" start="0" length="0">
    <dxf>
      <font>
        <sz val="11"/>
        <color theme="1"/>
        <name val="Calibri"/>
        <scheme val="none"/>
      </font>
      <numFmt numFmtId="164" formatCode="_-* #,##0_-;\-* #,##0_-;_-* &quot;-&quot;??_-;_-@_-"/>
    </dxf>
  </rfmt>
  <rfmt sheetId="1" sqref="AR578" start="0" length="0">
    <dxf>
      <font>
        <sz val="11"/>
        <color theme="1"/>
        <name val="Calibri"/>
        <scheme val="none"/>
      </font>
      <numFmt numFmtId="164" formatCode="_-* #,##0_-;\-* #,##0_-;_-* &quot;-&quot;??_-;_-@_-"/>
    </dxf>
  </rfmt>
  <rfmt sheetId="1" sqref="AS578" start="0" length="0">
    <dxf>
      <font>
        <sz val="11"/>
        <color theme="1"/>
        <name val="Calibri"/>
        <scheme val="none"/>
      </font>
      <numFmt numFmtId="164" formatCode="_-* #,##0_-;\-* #,##0_-;_-* &quot;-&quot;??_-;_-@_-"/>
    </dxf>
  </rfmt>
  <rfmt sheetId="1" sqref="AT578" start="0" length="0">
    <dxf>
      <font>
        <sz val="11"/>
        <color theme="1"/>
        <name val="Calibri"/>
        <scheme val="none"/>
      </font>
      <numFmt numFmtId="164" formatCode="_-* #,##0_-;\-* #,##0_-;_-* &quot;-&quot;??_-;_-@_-"/>
    </dxf>
  </rfmt>
  <rfmt sheetId="1" sqref="AU578" start="0" length="0">
    <dxf>
      <font>
        <sz val="11"/>
        <color theme="1"/>
        <name val="Calibri"/>
        <scheme val="none"/>
      </font>
    </dxf>
  </rfmt>
  <rfmt sheetId="1" sqref="AV578" start="0" length="0">
    <dxf>
      <font>
        <sz val="11"/>
        <color theme="1"/>
        <name val="Calibri"/>
        <scheme val="none"/>
      </font>
    </dxf>
  </rfmt>
  <rfmt sheetId="1" sqref="AW578" start="0" length="0">
    <dxf>
      <font>
        <sz val="11"/>
        <color theme="1"/>
        <name val="Calibri"/>
        <scheme val="none"/>
      </font>
    </dxf>
  </rfmt>
  <rfmt sheetId="1" sqref="AX578" start="0" length="0">
    <dxf>
      <font>
        <sz val="11"/>
        <color theme="1"/>
        <name val="Calibri"/>
        <scheme val="none"/>
      </font>
    </dxf>
  </rfmt>
  <rfmt sheetId="1" sqref="AY578" start="0" length="0">
    <dxf>
      <font>
        <sz val="11"/>
        <color theme="1"/>
        <name val="Calibri"/>
        <scheme val="none"/>
      </font>
    </dxf>
  </rfmt>
  <rfmt sheetId="1" sqref="A578:XFD578" start="0" length="0">
    <dxf>
      <font>
        <sz val="11"/>
        <color theme="1"/>
        <name val="Calibri"/>
        <scheme val="none"/>
      </font>
    </dxf>
  </rfmt>
  <rfmt sheetId="1" sqref="A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7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7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7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7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79" start="0" length="0">
    <dxf>
      <font>
        <sz val="11"/>
        <color theme="1"/>
        <name val="Calibri"/>
        <scheme val="none"/>
      </font>
    </dxf>
  </rfmt>
  <rfmt sheetId="1" sqref="AM579" start="0" length="0">
    <dxf>
      <font>
        <sz val="11"/>
        <color theme="1"/>
        <name val="Calibri"/>
        <scheme val="none"/>
      </font>
      <numFmt numFmtId="1" formatCode="0"/>
    </dxf>
  </rfmt>
  <rfmt sheetId="1" sqref="AN579" start="0" length="0">
    <dxf>
      <font>
        <sz val="11"/>
        <color theme="1"/>
        <name val="Calibri"/>
        <scheme val="none"/>
      </font>
      <numFmt numFmtId="1" formatCode="0"/>
    </dxf>
  </rfmt>
  <rfmt sheetId="1" sqref="AO579" start="0" length="0">
    <dxf>
      <font>
        <sz val="11"/>
        <color theme="1"/>
        <name val="Calibri"/>
        <scheme val="none"/>
      </font>
    </dxf>
  </rfmt>
  <rfmt sheetId="1" sqref="AP579" start="0" length="0">
    <dxf>
      <font>
        <sz val="11"/>
        <color theme="1"/>
        <name val="Calibri"/>
        <scheme val="none"/>
      </font>
    </dxf>
  </rfmt>
  <rfmt sheetId="1" sqref="AQ579" start="0" length="0">
    <dxf>
      <font>
        <sz val="11"/>
        <color theme="1"/>
        <name val="Calibri"/>
        <scheme val="none"/>
      </font>
      <numFmt numFmtId="164" formatCode="_-* #,##0_-;\-* #,##0_-;_-* &quot;-&quot;??_-;_-@_-"/>
    </dxf>
  </rfmt>
  <rfmt sheetId="1" sqref="AR579" start="0" length="0">
    <dxf>
      <font>
        <sz val="11"/>
        <color theme="1"/>
        <name val="Calibri"/>
        <scheme val="none"/>
      </font>
      <numFmt numFmtId="164" formatCode="_-* #,##0_-;\-* #,##0_-;_-* &quot;-&quot;??_-;_-@_-"/>
    </dxf>
  </rfmt>
  <rfmt sheetId="1" sqref="AS579" start="0" length="0">
    <dxf>
      <font>
        <sz val="11"/>
        <color theme="1"/>
        <name val="Calibri"/>
        <scheme val="none"/>
      </font>
      <numFmt numFmtId="164" formatCode="_-* #,##0_-;\-* #,##0_-;_-* &quot;-&quot;??_-;_-@_-"/>
    </dxf>
  </rfmt>
  <rfmt sheetId="1" sqref="AT579" start="0" length="0">
    <dxf>
      <font>
        <sz val="11"/>
        <color theme="1"/>
        <name val="Calibri"/>
        <scheme val="none"/>
      </font>
      <numFmt numFmtId="164" formatCode="_-* #,##0_-;\-* #,##0_-;_-* &quot;-&quot;??_-;_-@_-"/>
    </dxf>
  </rfmt>
  <rfmt sheetId="1" sqref="AU579" start="0" length="0">
    <dxf>
      <font>
        <sz val="11"/>
        <color theme="1"/>
        <name val="Calibri"/>
        <scheme val="none"/>
      </font>
    </dxf>
  </rfmt>
  <rfmt sheetId="1" sqref="AV579" start="0" length="0">
    <dxf>
      <font>
        <sz val="11"/>
        <color theme="1"/>
        <name val="Calibri"/>
        <scheme val="none"/>
      </font>
    </dxf>
  </rfmt>
  <rfmt sheetId="1" sqref="AW579" start="0" length="0">
    <dxf>
      <font>
        <sz val="11"/>
        <color theme="1"/>
        <name val="Calibri"/>
        <scheme val="none"/>
      </font>
    </dxf>
  </rfmt>
  <rfmt sheetId="1" sqref="AX579" start="0" length="0">
    <dxf>
      <font>
        <sz val="11"/>
        <color theme="1"/>
        <name val="Calibri"/>
        <scheme val="none"/>
      </font>
    </dxf>
  </rfmt>
  <rfmt sheetId="1" sqref="AY579" start="0" length="0">
    <dxf>
      <font>
        <sz val="11"/>
        <color theme="1"/>
        <name val="Calibri"/>
        <scheme val="none"/>
      </font>
    </dxf>
  </rfmt>
  <rfmt sheetId="1" sqref="A579:XFD579" start="0" length="0">
    <dxf>
      <font>
        <sz val="11"/>
        <color theme="1"/>
        <name val="Calibri"/>
        <scheme val="none"/>
      </font>
    </dxf>
  </rfmt>
  <rfmt sheetId="1" sqref="A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8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8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8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8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80" start="0" length="0">
    <dxf>
      <font>
        <sz val="11"/>
        <color theme="1"/>
        <name val="Calibri"/>
        <scheme val="none"/>
      </font>
    </dxf>
  </rfmt>
  <rfmt sheetId="1" sqref="AM580" start="0" length="0">
    <dxf>
      <font>
        <sz val="11"/>
        <color theme="1"/>
        <name val="Calibri"/>
        <scheme val="none"/>
      </font>
      <numFmt numFmtId="1" formatCode="0"/>
    </dxf>
  </rfmt>
  <rfmt sheetId="1" sqref="AN580" start="0" length="0">
    <dxf>
      <font>
        <sz val="11"/>
        <color theme="1"/>
        <name val="Calibri"/>
        <scheme val="none"/>
      </font>
      <numFmt numFmtId="1" formatCode="0"/>
    </dxf>
  </rfmt>
  <rfmt sheetId="1" sqref="AO580" start="0" length="0">
    <dxf>
      <font>
        <sz val="11"/>
        <color theme="1"/>
        <name val="Calibri"/>
        <scheme val="none"/>
      </font>
    </dxf>
  </rfmt>
  <rfmt sheetId="1" sqref="AP580" start="0" length="0">
    <dxf>
      <font>
        <sz val="11"/>
        <color theme="1"/>
        <name val="Calibri"/>
        <scheme val="none"/>
      </font>
    </dxf>
  </rfmt>
  <rfmt sheetId="1" sqref="AQ580" start="0" length="0">
    <dxf>
      <font>
        <sz val="11"/>
        <color theme="1"/>
        <name val="Calibri"/>
        <scheme val="none"/>
      </font>
      <numFmt numFmtId="164" formatCode="_-* #,##0_-;\-* #,##0_-;_-* &quot;-&quot;??_-;_-@_-"/>
    </dxf>
  </rfmt>
  <rfmt sheetId="1" sqref="AR580" start="0" length="0">
    <dxf>
      <font>
        <sz val="11"/>
        <color theme="1"/>
        <name val="Calibri"/>
        <scheme val="none"/>
      </font>
      <numFmt numFmtId="164" formatCode="_-* #,##0_-;\-* #,##0_-;_-* &quot;-&quot;??_-;_-@_-"/>
    </dxf>
  </rfmt>
  <rfmt sheetId="1" sqref="AS580" start="0" length="0">
    <dxf>
      <font>
        <sz val="11"/>
        <color theme="1"/>
        <name val="Calibri"/>
        <scheme val="none"/>
      </font>
      <numFmt numFmtId="164" formatCode="_-* #,##0_-;\-* #,##0_-;_-* &quot;-&quot;??_-;_-@_-"/>
    </dxf>
  </rfmt>
  <rfmt sheetId="1" sqref="AT580" start="0" length="0">
    <dxf>
      <font>
        <sz val="11"/>
        <color theme="1"/>
        <name val="Calibri"/>
        <scheme val="none"/>
      </font>
      <numFmt numFmtId="164" formatCode="_-* #,##0_-;\-* #,##0_-;_-* &quot;-&quot;??_-;_-@_-"/>
    </dxf>
  </rfmt>
  <rfmt sheetId="1" sqref="AU580" start="0" length="0">
    <dxf>
      <font>
        <sz val="11"/>
        <color theme="1"/>
        <name val="Calibri"/>
        <scheme val="none"/>
      </font>
    </dxf>
  </rfmt>
  <rfmt sheetId="1" sqref="AV580" start="0" length="0">
    <dxf>
      <font>
        <sz val="11"/>
        <color theme="1"/>
        <name val="Calibri"/>
        <scheme val="none"/>
      </font>
    </dxf>
  </rfmt>
  <rfmt sheetId="1" sqref="AW580" start="0" length="0">
    <dxf>
      <font>
        <sz val="11"/>
        <color theme="1"/>
        <name val="Calibri"/>
        <scheme val="none"/>
      </font>
    </dxf>
  </rfmt>
  <rfmt sheetId="1" sqref="AX580" start="0" length="0">
    <dxf>
      <font>
        <sz val="11"/>
        <color theme="1"/>
        <name val="Calibri"/>
        <scheme val="none"/>
      </font>
    </dxf>
  </rfmt>
  <rfmt sheetId="1" sqref="AY580" start="0" length="0">
    <dxf>
      <font>
        <sz val="11"/>
        <color theme="1"/>
        <name val="Calibri"/>
        <scheme val="none"/>
      </font>
    </dxf>
  </rfmt>
  <rfmt sheetId="1" sqref="A580:XFD580" start="0" length="0">
    <dxf>
      <font>
        <sz val="11"/>
        <color theme="1"/>
        <name val="Calibri"/>
        <scheme val="none"/>
      </font>
    </dxf>
  </rfmt>
  <rfmt sheetId="1" sqref="A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8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8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8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8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81" start="0" length="0">
    <dxf>
      <font>
        <sz val="11"/>
        <color theme="1"/>
        <name val="Calibri"/>
        <scheme val="none"/>
      </font>
    </dxf>
  </rfmt>
  <rfmt sheetId="1" sqref="AM581" start="0" length="0">
    <dxf>
      <font>
        <sz val="11"/>
        <color theme="1"/>
        <name val="Calibri"/>
        <scheme val="none"/>
      </font>
      <numFmt numFmtId="1" formatCode="0"/>
    </dxf>
  </rfmt>
  <rfmt sheetId="1" sqref="AN581" start="0" length="0">
    <dxf>
      <font>
        <sz val="11"/>
        <color theme="1"/>
        <name val="Calibri"/>
        <scheme val="none"/>
      </font>
      <numFmt numFmtId="1" formatCode="0"/>
    </dxf>
  </rfmt>
  <rfmt sheetId="1" sqref="AO581" start="0" length="0">
    <dxf>
      <font>
        <sz val="11"/>
        <color theme="1"/>
        <name val="Calibri"/>
        <scheme val="none"/>
      </font>
    </dxf>
  </rfmt>
  <rfmt sheetId="1" sqref="AP581" start="0" length="0">
    <dxf>
      <font>
        <sz val="11"/>
        <color theme="1"/>
        <name val="Calibri"/>
        <scheme val="none"/>
      </font>
    </dxf>
  </rfmt>
  <rfmt sheetId="1" sqref="AQ581" start="0" length="0">
    <dxf>
      <font>
        <sz val="11"/>
        <color theme="1"/>
        <name val="Calibri"/>
        <scheme val="none"/>
      </font>
      <numFmt numFmtId="164" formatCode="_-* #,##0_-;\-* #,##0_-;_-* &quot;-&quot;??_-;_-@_-"/>
    </dxf>
  </rfmt>
  <rfmt sheetId="1" sqref="AR581" start="0" length="0">
    <dxf>
      <font>
        <sz val="11"/>
        <color theme="1"/>
        <name val="Calibri"/>
        <scheme val="none"/>
      </font>
      <numFmt numFmtId="164" formatCode="_-* #,##0_-;\-* #,##0_-;_-* &quot;-&quot;??_-;_-@_-"/>
    </dxf>
  </rfmt>
  <rfmt sheetId="1" sqref="AS581" start="0" length="0">
    <dxf>
      <font>
        <sz val="11"/>
        <color theme="1"/>
        <name val="Calibri"/>
        <scheme val="none"/>
      </font>
      <numFmt numFmtId="164" formatCode="_-* #,##0_-;\-* #,##0_-;_-* &quot;-&quot;??_-;_-@_-"/>
    </dxf>
  </rfmt>
  <rfmt sheetId="1" sqref="AT581" start="0" length="0">
    <dxf>
      <font>
        <sz val="11"/>
        <color theme="1"/>
        <name val="Calibri"/>
        <scheme val="none"/>
      </font>
      <numFmt numFmtId="164" formatCode="_-* #,##0_-;\-* #,##0_-;_-* &quot;-&quot;??_-;_-@_-"/>
    </dxf>
  </rfmt>
  <rfmt sheetId="1" sqref="AU581" start="0" length="0">
    <dxf>
      <font>
        <sz val="11"/>
        <color theme="1"/>
        <name val="Calibri"/>
        <scheme val="none"/>
      </font>
    </dxf>
  </rfmt>
  <rfmt sheetId="1" sqref="AV581" start="0" length="0">
    <dxf>
      <font>
        <sz val="11"/>
        <color theme="1"/>
        <name val="Calibri"/>
        <scheme val="none"/>
      </font>
    </dxf>
  </rfmt>
  <rfmt sheetId="1" sqref="AW581" start="0" length="0">
    <dxf>
      <font>
        <sz val="11"/>
        <color theme="1"/>
        <name val="Calibri"/>
        <scheme val="none"/>
      </font>
    </dxf>
  </rfmt>
  <rfmt sheetId="1" sqref="AX581" start="0" length="0">
    <dxf>
      <font>
        <sz val="11"/>
        <color theme="1"/>
        <name val="Calibri"/>
        <scheme val="none"/>
      </font>
    </dxf>
  </rfmt>
  <rfmt sheetId="1" sqref="AY581" start="0" length="0">
    <dxf>
      <font>
        <sz val="11"/>
        <color theme="1"/>
        <name val="Calibri"/>
        <scheme val="none"/>
      </font>
    </dxf>
  </rfmt>
  <rfmt sheetId="1" sqref="A581:XFD581" start="0" length="0">
    <dxf>
      <font>
        <sz val="11"/>
        <color theme="1"/>
        <name val="Calibri"/>
        <scheme val="none"/>
      </font>
    </dxf>
  </rfmt>
  <rfmt sheetId="1" sqref="A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8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8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8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8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82" start="0" length="0">
    <dxf>
      <font>
        <sz val="11"/>
        <color theme="1"/>
        <name val="Calibri"/>
        <scheme val="none"/>
      </font>
    </dxf>
  </rfmt>
  <rfmt sheetId="1" sqref="AM582" start="0" length="0">
    <dxf>
      <font>
        <sz val="11"/>
        <color theme="1"/>
        <name val="Calibri"/>
        <scheme val="none"/>
      </font>
      <numFmt numFmtId="1" formatCode="0"/>
    </dxf>
  </rfmt>
  <rfmt sheetId="1" sqref="AN582" start="0" length="0">
    <dxf>
      <font>
        <sz val="11"/>
        <color theme="1"/>
        <name val="Calibri"/>
        <scheme val="none"/>
      </font>
      <numFmt numFmtId="1" formatCode="0"/>
    </dxf>
  </rfmt>
  <rfmt sheetId="1" sqref="AO582" start="0" length="0">
    <dxf>
      <font>
        <sz val="11"/>
        <color theme="1"/>
        <name val="Calibri"/>
        <scheme val="none"/>
      </font>
    </dxf>
  </rfmt>
  <rfmt sheetId="1" sqref="AP582" start="0" length="0">
    <dxf>
      <font>
        <sz val="11"/>
        <color theme="1"/>
        <name val="Calibri"/>
        <scheme val="none"/>
      </font>
    </dxf>
  </rfmt>
  <rfmt sheetId="1" sqref="AQ582" start="0" length="0">
    <dxf>
      <font>
        <sz val="11"/>
        <color theme="1"/>
        <name val="Calibri"/>
        <scheme val="none"/>
      </font>
      <numFmt numFmtId="164" formatCode="_-* #,##0_-;\-* #,##0_-;_-* &quot;-&quot;??_-;_-@_-"/>
    </dxf>
  </rfmt>
  <rfmt sheetId="1" sqref="AR582" start="0" length="0">
    <dxf>
      <font>
        <sz val="11"/>
        <color theme="1"/>
        <name val="Calibri"/>
        <scheme val="none"/>
      </font>
      <numFmt numFmtId="164" formatCode="_-* #,##0_-;\-* #,##0_-;_-* &quot;-&quot;??_-;_-@_-"/>
    </dxf>
  </rfmt>
  <rfmt sheetId="1" sqref="AS582" start="0" length="0">
    <dxf>
      <font>
        <sz val="11"/>
        <color theme="1"/>
        <name val="Calibri"/>
        <scheme val="none"/>
      </font>
      <numFmt numFmtId="164" formatCode="_-* #,##0_-;\-* #,##0_-;_-* &quot;-&quot;??_-;_-@_-"/>
    </dxf>
  </rfmt>
  <rfmt sheetId="1" sqref="AT582" start="0" length="0">
    <dxf>
      <font>
        <sz val="11"/>
        <color theme="1"/>
        <name val="Calibri"/>
        <scheme val="none"/>
      </font>
      <numFmt numFmtId="164" formatCode="_-* #,##0_-;\-* #,##0_-;_-* &quot;-&quot;??_-;_-@_-"/>
    </dxf>
  </rfmt>
  <rfmt sheetId="1" sqref="AU582" start="0" length="0">
    <dxf>
      <font>
        <sz val="11"/>
        <color theme="1"/>
        <name val="Calibri"/>
        <scheme val="none"/>
      </font>
    </dxf>
  </rfmt>
  <rfmt sheetId="1" sqref="AV582" start="0" length="0">
    <dxf>
      <font>
        <sz val="11"/>
        <color theme="1"/>
        <name val="Calibri"/>
        <scheme val="none"/>
      </font>
    </dxf>
  </rfmt>
  <rfmt sheetId="1" sqref="AW582" start="0" length="0">
    <dxf>
      <font>
        <sz val="11"/>
        <color theme="1"/>
        <name val="Calibri"/>
        <scheme val="none"/>
      </font>
    </dxf>
  </rfmt>
  <rfmt sheetId="1" sqref="AX582" start="0" length="0">
    <dxf>
      <font>
        <sz val="11"/>
        <color theme="1"/>
        <name val="Calibri"/>
        <scheme val="none"/>
      </font>
    </dxf>
  </rfmt>
  <rfmt sheetId="1" sqref="AY582" start="0" length="0">
    <dxf>
      <font>
        <sz val="11"/>
        <color theme="1"/>
        <name val="Calibri"/>
        <scheme val="none"/>
      </font>
    </dxf>
  </rfmt>
  <rfmt sheetId="1" sqref="A582:XFD582" start="0" length="0">
    <dxf>
      <font>
        <sz val="11"/>
        <color theme="1"/>
        <name val="Calibri"/>
        <scheme val="none"/>
      </font>
    </dxf>
  </rfmt>
  <rfmt sheetId="1" sqref="A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8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8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8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8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83" start="0" length="0">
    <dxf>
      <font>
        <sz val="11"/>
        <color theme="1"/>
        <name val="Calibri"/>
        <scheme val="none"/>
      </font>
    </dxf>
  </rfmt>
  <rfmt sheetId="1" sqref="AM583" start="0" length="0">
    <dxf>
      <font>
        <sz val="11"/>
        <color theme="1"/>
        <name val="Calibri"/>
        <scheme val="none"/>
      </font>
      <numFmt numFmtId="1" formatCode="0"/>
    </dxf>
  </rfmt>
  <rfmt sheetId="1" sqref="AN583" start="0" length="0">
    <dxf>
      <font>
        <sz val="11"/>
        <color theme="1"/>
        <name val="Calibri"/>
        <scheme val="none"/>
      </font>
      <numFmt numFmtId="1" formatCode="0"/>
    </dxf>
  </rfmt>
  <rfmt sheetId="1" sqref="AO583" start="0" length="0">
    <dxf>
      <font>
        <sz val="11"/>
        <color theme="1"/>
        <name val="Calibri"/>
        <scheme val="none"/>
      </font>
    </dxf>
  </rfmt>
  <rfmt sheetId="1" sqref="AP583" start="0" length="0">
    <dxf>
      <font>
        <sz val="11"/>
        <color theme="1"/>
        <name val="Calibri"/>
        <scheme val="none"/>
      </font>
    </dxf>
  </rfmt>
  <rfmt sheetId="1" sqref="AQ583" start="0" length="0">
    <dxf>
      <font>
        <sz val="11"/>
        <color theme="1"/>
        <name val="Calibri"/>
        <scheme val="none"/>
      </font>
      <numFmt numFmtId="164" formatCode="_-* #,##0_-;\-* #,##0_-;_-* &quot;-&quot;??_-;_-@_-"/>
    </dxf>
  </rfmt>
  <rfmt sheetId="1" sqref="AR583" start="0" length="0">
    <dxf>
      <font>
        <sz val="11"/>
        <color theme="1"/>
        <name val="Calibri"/>
        <scheme val="none"/>
      </font>
      <numFmt numFmtId="164" formatCode="_-* #,##0_-;\-* #,##0_-;_-* &quot;-&quot;??_-;_-@_-"/>
    </dxf>
  </rfmt>
  <rfmt sheetId="1" sqref="AS583" start="0" length="0">
    <dxf>
      <font>
        <sz val="11"/>
        <color theme="1"/>
        <name val="Calibri"/>
        <scheme val="none"/>
      </font>
      <numFmt numFmtId="164" formatCode="_-* #,##0_-;\-* #,##0_-;_-* &quot;-&quot;??_-;_-@_-"/>
    </dxf>
  </rfmt>
  <rfmt sheetId="1" sqref="AT583" start="0" length="0">
    <dxf>
      <font>
        <sz val="11"/>
        <color theme="1"/>
        <name val="Calibri"/>
        <scheme val="none"/>
      </font>
      <numFmt numFmtId="164" formatCode="_-* #,##0_-;\-* #,##0_-;_-* &quot;-&quot;??_-;_-@_-"/>
    </dxf>
  </rfmt>
  <rfmt sheetId="1" sqref="AU583" start="0" length="0">
    <dxf>
      <font>
        <sz val="11"/>
        <color theme="1"/>
        <name val="Calibri"/>
        <scheme val="none"/>
      </font>
    </dxf>
  </rfmt>
  <rfmt sheetId="1" sqref="AV583" start="0" length="0">
    <dxf>
      <font>
        <sz val="11"/>
        <color theme="1"/>
        <name val="Calibri"/>
        <scheme val="none"/>
      </font>
    </dxf>
  </rfmt>
  <rfmt sheetId="1" sqref="AW583" start="0" length="0">
    <dxf>
      <font>
        <sz val="11"/>
        <color theme="1"/>
        <name val="Calibri"/>
        <scheme val="none"/>
      </font>
    </dxf>
  </rfmt>
  <rfmt sheetId="1" sqref="AX583" start="0" length="0">
    <dxf>
      <font>
        <sz val="11"/>
        <color theme="1"/>
        <name val="Calibri"/>
        <scheme val="none"/>
      </font>
    </dxf>
  </rfmt>
  <rfmt sheetId="1" sqref="AY583" start="0" length="0">
    <dxf>
      <font>
        <sz val="11"/>
        <color theme="1"/>
        <name val="Calibri"/>
        <scheme val="none"/>
      </font>
    </dxf>
  </rfmt>
  <rfmt sheetId="1" sqref="A583:XFD583" start="0" length="0">
    <dxf>
      <font>
        <sz val="11"/>
        <color theme="1"/>
        <name val="Calibri"/>
        <scheme val="none"/>
      </font>
    </dxf>
  </rfmt>
  <rfmt sheetId="1" sqref="A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8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8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8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8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84" start="0" length="0">
    <dxf>
      <font>
        <sz val="11"/>
        <color theme="1"/>
        <name val="Calibri"/>
        <scheme val="none"/>
      </font>
    </dxf>
  </rfmt>
  <rfmt sheetId="1" sqref="AM584" start="0" length="0">
    <dxf>
      <font>
        <sz val="11"/>
        <color theme="1"/>
        <name val="Calibri"/>
        <scheme val="none"/>
      </font>
      <numFmt numFmtId="1" formatCode="0"/>
    </dxf>
  </rfmt>
  <rfmt sheetId="1" sqref="AN584" start="0" length="0">
    <dxf>
      <font>
        <sz val="11"/>
        <color theme="1"/>
        <name val="Calibri"/>
        <scheme val="none"/>
      </font>
      <numFmt numFmtId="1" formatCode="0"/>
    </dxf>
  </rfmt>
  <rfmt sheetId="1" sqref="AO584" start="0" length="0">
    <dxf>
      <font>
        <sz val="11"/>
        <color theme="1"/>
        <name val="Calibri"/>
        <scheme val="none"/>
      </font>
    </dxf>
  </rfmt>
  <rfmt sheetId="1" sqref="AP584" start="0" length="0">
    <dxf>
      <font>
        <sz val="11"/>
        <color theme="1"/>
        <name val="Calibri"/>
        <scheme val="none"/>
      </font>
    </dxf>
  </rfmt>
  <rfmt sheetId="1" sqref="AQ584" start="0" length="0">
    <dxf>
      <font>
        <sz val="11"/>
        <color theme="1"/>
        <name val="Calibri"/>
        <scheme val="none"/>
      </font>
      <numFmt numFmtId="164" formatCode="_-* #,##0_-;\-* #,##0_-;_-* &quot;-&quot;??_-;_-@_-"/>
    </dxf>
  </rfmt>
  <rfmt sheetId="1" sqref="AR584" start="0" length="0">
    <dxf>
      <font>
        <sz val="11"/>
        <color theme="1"/>
        <name val="Calibri"/>
        <scheme val="none"/>
      </font>
      <numFmt numFmtId="164" formatCode="_-* #,##0_-;\-* #,##0_-;_-* &quot;-&quot;??_-;_-@_-"/>
    </dxf>
  </rfmt>
  <rfmt sheetId="1" sqref="AS584" start="0" length="0">
    <dxf>
      <font>
        <sz val="11"/>
        <color theme="1"/>
        <name val="Calibri"/>
        <scheme val="none"/>
      </font>
      <numFmt numFmtId="164" formatCode="_-* #,##0_-;\-* #,##0_-;_-* &quot;-&quot;??_-;_-@_-"/>
    </dxf>
  </rfmt>
  <rfmt sheetId="1" sqref="AT584" start="0" length="0">
    <dxf>
      <font>
        <sz val="11"/>
        <color theme="1"/>
        <name val="Calibri"/>
        <scheme val="none"/>
      </font>
      <numFmt numFmtId="164" formatCode="_-* #,##0_-;\-* #,##0_-;_-* &quot;-&quot;??_-;_-@_-"/>
    </dxf>
  </rfmt>
  <rfmt sheetId="1" sqref="AU584" start="0" length="0">
    <dxf>
      <font>
        <sz val="11"/>
        <color theme="1"/>
        <name val="Calibri"/>
        <scheme val="none"/>
      </font>
    </dxf>
  </rfmt>
  <rfmt sheetId="1" sqref="AV584" start="0" length="0">
    <dxf>
      <font>
        <sz val="11"/>
        <color theme="1"/>
        <name val="Calibri"/>
        <scheme val="none"/>
      </font>
    </dxf>
  </rfmt>
  <rfmt sheetId="1" sqref="AW584" start="0" length="0">
    <dxf>
      <font>
        <sz val="11"/>
        <color theme="1"/>
        <name val="Calibri"/>
        <scheme val="none"/>
      </font>
    </dxf>
  </rfmt>
  <rfmt sheetId="1" sqref="AX584" start="0" length="0">
    <dxf>
      <font>
        <sz val="11"/>
        <color theme="1"/>
        <name val="Calibri"/>
        <scheme val="none"/>
      </font>
    </dxf>
  </rfmt>
  <rfmt sheetId="1" sqref="AY584" start="0" length="0">
    <dxf>
      <font>
        <sz val="11"/>
        <color theme="1"/>
        <name val="Calibri"/>
        <scheme val="none"/>
      </font>
    </dxf>
  </rfmt>
  <rfmt sheetId="1" sqref="A584:XFD584" start="0" length="0">
    <dxf>
      <font>
        <sz val="11"/>
        <color theme="1"/>
        <name val="Calibri"/>
        <scheme val="none"/>
      </font>
    </dxf>
  </rfmt>
  <rfmt sheetId="1" sqref="A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8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8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8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8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85" start="0" length="0">
    <dxf>
      <font>
        <sz val="11"/>
        <color theme="1"/>
        <name val="Calibri"/>
        <scheme val="none"/>
      </font>
    </dxf>
  </rfmt>
  <rfmt sheetId="1" sqref="AM585" start="0" length="0">
    <dxf>
      <font>
        <sz val="11"/>
        <color theme="1"/>
        <name val="Calibri"/>
        <scheme val="none"/>
      </font>
      <numFmt numFmtId="1" formatCode="0"/>
    </dxf>
  </rfmt>
  <rfmt sheetId="1" sqref="AN585" start="0" length="0">
    <dxf>
      <font>
        <sz val="11"/>
        <color theme="1"/>
        <name val="Calibri"/>
        <scheme val="none"/>
      </font>
      <numFmt numFmtId="1" formatCode="0"/>
    </dxf>
  </rfmt>
  <rfmt sheetId="1" sqref="AO585" start="0" length="0">
    <dxf>
      <font>
        <sz val="11"/>
        <color theme="1"/>
        <name val="Calibri"/>
        <scheme val="none"/>
      </font>
    </dxf>
  </rfmt>
  <rfmt sheetId="1" sqref="AP585" start="0" length="0">
    <dxf>
      <font>
        <sz val="11"/>
        <color theme="1"/>
        <name val="Calibri"/>
        <scheme val="none"/>
      </font>
    </dxf>
  </rfmt>
  <rfmt sheetId="1" sqref="AQ585" start="0" length="0">
    <dxf>
      <font>
        <sz val="11"/>
        <color theme="1"/>
        <name val="Calibri"/>
        <scheme val="none"/>
      </font>
      <numFmt numFmtId="164" formatCode="_-* #,##0_-;\-* #,##0_-;_-* &quot;-&quot;??_-;_-@_-"/>
    </dxf>
  </rfmt>
  <rfmt sheetId="1" sqref="AR585" start="0" length="0">
    <dxf>
      <font>
        <sz val="11"/>
        <color theme="1"/>
        <name val="Calibri"/>
        <scheme val="none"/>
      </font>
      <numFmt numFmtId="164" formatCode="_-* #,##0_-;\-* #,##0_-;_-* &quot;-&quot;??_-;_-@_-"/>
    </dxf>
  </rfmt>
  <rfmt sheetId="1" sqref="AS585" start="0" length="0">
    <dxf>
      <font>
        <sz val="11"/>
        <color theme="1"/>
        <name val="Calibri"/>
        <scheme val="none"/>
      </font>
      <numFmt numFmtId="164" formatCode="_-* #,##0_-;\-* #,##0_-;_-* &quot;-&quot;??_-;_-@_-"/>
    </dxf>
  </rfmt>
  <rfmt sheetId="1" sqref="AT585" start="0" length="0">
    <dxf>
      <font>
        <sz val="11"/>
        <color theme="1"/>
        <name val="Calibri"/>
        <scheme val="none"/>
      </font>
      <numFmt numFmtId="164" formatCode="_-* #,##0_-;\-* #,##0_-;_-* &quot;-&quot;??_-;_-@_-"/>
    </dxf>
  </rfmt>
  <rfmt sheetId="1" sqref="AU585" start="0" length="0">
    <dxf>
      <font>
        <sz val="11"/>
        <color theme="1"/>
        <name val="Calibri"/>
        <scheme val="none"/>
      </font>
    </dxf>
  </rfmt>
  <rfmt sheetId="1" sqref="AV585" start="0" length="0">
    <dxf>
      <font>
        <sz val="11"/>
        <color theme="1"/>
        <name val="Calibri"/>
        <scheme val="none"/>
      </font>
    </dxf>
  </rfmt>
  <rfmt sheetId="1" sqref="AW585" start="0" length="0">
    <dxf>
      <font>
        <sz val="11"/>
        <color theme="1"/>
        <name val="Calibri"/>
        <scheme val="none"/>
      </font>
    </dxf>
  </rfmt>
  <rfmt sheetId="1" sqref="AX585" start="0" length="0">
    <dxf>
      <font>
        <sz val="11"/>
        <color theme="1"/>
        <name val="Calibri"/>
        <scheme val="none"/>
      </font>
    </dxf>
  </rfmt>
  <rfmt sheetId="1" sqref="AY585" start="0" length="0">
    <dxf>
      <font>
        <sz val="11"/>
        <color theme="1"/>
        <name val="Calibri"/>
        <scheme val="none"/>
      </font>
    </dxf>
  </rfmt>
  <rfmt sheetId="1" sqref="A585:XFD585" start="0" length="0">
    <dxf>
      <font>
        <sz val="11"/>
        <color theme="1"/>
        <name val="Calibri"/>
        <scheme val="none"/>
      </font>
    </dxf>
  </rfmt>
  <rfmt sheetId="1" sqref="A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8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8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8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8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86" start="0" length="0">
    <dxf>
      <font>
        <sz val="11"/>
        <color theme="1"/>
        <name val="Calibri"/>
        <scheme val="none"/>
      </font>
    </dxf>
  </rfmt>
  <rfmt sheetId="1" sqref="AM586" start="0" length="0">
    <dxf>
      <font>
        <sz val="11"/>
        <color theme="1"/>
        <name val="Calibri"/>
        <scheme val="none"/>
      </font>
      <numFmt numFmtId="1" formatCode="0"/>
    </dxf>
  </rfmt>
  <rfmt sheetId="1" sqref="AN586" start="0" length="0">
    <dxf>
      <font>
        <sz val="11"/>
        <color theme="1"/>
        <name val="Calibri"/>
        <scheme val="none"/>
      </font>
      <numFmt numFmtId="1" formatCode="0"/>
    </dxf>
  </rfmt>
  <rfmt sheetId="1" sqref="AO586" start="0" length="0">
    <dxf>
      <font>
        <sz val="11"/>
        <color theme="1"/>
        <name val="Calibri"/>
        <scheme val="none"/>
      </font>
    </dxf>
  </rfmt>
  <rfmt sheetId="1" sqref="AP586" start="0" length="0">
    <dxf>
      <font>
        <sz val="11"/>
        <color theme="1"/>
        <name val="Calibri"/>
        <scheme val="none"/>
      </font>
    </dxf>
  </rfmt>
  <rfmt sheetId="1" sqref="AQ586" start="0" length="0">
    <dxf>
      <font>
        <sz val="11"/>
        <color theme="1"/>
        <name val="Calibri"/>
        <scheme val="none"/>
      </font>
      <numFmt numFmtId="164" formatCode="_-* #,##0_-;\-* #,##0_-;_-* &quot;-&quot;??_-;_-@_-"/>
    </dxf>
  </rfmt>
  <rfmt sheetId="1" sqref="AR586" start="0" length="0">
    <dxf>
      <font>
        <sz val="11"/>
        <color theme="1"/>
        <name val="Calibri"/>
        <scheme val="none"/>
      </font>
      <numFmt numFmtId="164" formatCode="_-* #,##0_-;\-* #,##0_-;_-* &quot;-&quot;??_-;_-@_-"/>
    </dxf>
  </rfmt>
  <rfmt sheetId="1" sqref="AS586" start="0" length="0">
    <dxf>
      <font>
        <sz val="11"/>
        <color theme="1"/>
        <name val="Calibri"/>
        <scheme val="none"/>
      </font>
      <numFmt numFmtId="164" formatCode="_-* #,##0_-;\-* #,##0_-;_-* &quot;-&quot;??_-;_-@_-"/>
    </dxf>
  </rfmt>
  <rfmt sheetId="1" sqref="AT586" start="0" length="0">
    <dxf>
      <font>
        <sz val="11"/>
        <color theme="1"/>
        <name val="Calibri"/>
        <scheme val="none"/>
      </font>
      <numFmt numFmtId="164" formatCode="_-* #,##0_-;\-* #,##0_-;_-* &quot;-&quot;??_-;_-@_-"/>
    </dxf>
  </rfmt>
  <rfmt sheetId="1" sqref="AU586" start="0" length="0">
    <dxf>
      <font>
        <sz val="11"/>
        <color theme="1"/>
        <name val="Calibri"/>
        <scheme val="none"/>
      </font>
    </dxf>
  </rfmt>
  <rfmt sheetId="1" sqref="AV586" start="0" length="0">
    <dxf>
      <font>
        <sz val="11"/>
        <color theme="1"/>
        <name val="Calibri"/>
        <scheme val="none"/>
      </font>
    </dxf>
  </rfmt>
  <rfmt sheetId="1" sqref="AW586" start="0" length="0">
    <dxf>
      <font>
        <sz val="11"/>
        <color theme="1"/>
        <name val="Calibri"/>
        <scheme val="none"/>
      </font>
    </dxf>
  </rfmt>
  <rfmt sheetId="1" sqref="AX586" start="0" length="0">
    <dxf>
      <font>
        <sz val="11"/>
        <color theme="1"/>
        <name val="Calibri"/>
        <scheme val="none"/>
      </font>
    </dxf>
  </rfmt>
  <rfmt sheetId="1" sqref="AY586" start="0" length="0">
    <dxf>
      <font>
        <sz val="11"/>
        <color theme="1"/>
        <name val="Calibri"/>
        <scheme val="none"/>
      </font>
    </dxf>
  </rfmt>
  <rfmt sheetId="1" sqref="A586:XFD586" start="0" length="0">
    <dxf>
      <font>
        <sz val="11"/>
        <color theme="1"/>
        <name val="Calibri"/>
        <scheme val="none"/>
      </font>
    </dxf>
  </rfmt>
  <rfmt sheetId="1" sqref="A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8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8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8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8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87" start="0" length="0">
    <dxf>
      <font>
        <sz val="11"/>
        <color theme="1"/>
        <name val="Calibri"/>
        <scheme val="none"/>
      </font>
    </dxf>
  </rfmt>
  <rfmt sheetId="1" sqref="AM587" start="0" length="0">
    <dxf>
      <font>
        <sz val="11"/>
        <color theme="1"/>
        <name val="Calibri"/>
        <scheme val="none"/>
      </font>
      <numFmt numFmtId="1" formatCode="0"/>
    </dxf>
  </rfmt>
  <rfmt sheetId="1" sqref="AN587" start="0" length="0">
    <dxf>
      <font>
        <sz val="11"/>
        <color theme="1"/>
        <name val="Calibri"/>
        <scheme val="none"/>
      </font>
      <numFmt numFmtId="1" formatCode="0"/>
    </dxf>
  </rfmt>
  <rfmt sheetId="1" sqref="AO587" start="0" length="0">
    <dxf>
      <font>
        <sz val="11"/>
        <color theme="1"/>
        <name val="Calibri"/>
        <scheme val="none"/>
      </font>
    </dxf>
  </rfmt>
  <rfmt sheetId="1" sqref="AP587" start="0" length="0">
    <dxf>
      <font>
        <sz val="11"/>
        <color theme="1"/>
        <name val="Calibri"/>
        <scheme val="none"/>
      </font>
    </dxf>
  </rfmt>
  <rfmt sheetId="1" sqref="AQ587" start="0" length="0">
    <dxf>
      <font>
        <sz val="11"/>
        <color theme="1"/>
        <name val="Calibri"/>
        <scheme val="none"/>
      </font>
      <numFmt numFmtId="164" formatCode="_-* #,##0_-;\-* #,##0_-;_-* &quot;-&quot;??_-;_-@_-"/>
    </dxf>
  </rfmt>
  <rfmt sheetId="1" sqref="AR587" start="0" length="0">
    <dxf>
      <font>
        <sz val="11"/>
        <color theme="1"/>
        <name val="Calibri"/>
        <scheme val="none"/>
      </font>
      <numFmt numFmtId="164" formatCode="_-* #,##0_-;\-* #,##0_-;_-* &quot;-&quot;??_-;_-@_-"/>
    </dxf>
  </rfmt>
  <rfmt sheetId="1" sqref="AS587" start="0" length="0">
    <dxf>
      <font>
        <sz val="11"/>
        <color theme="1"/>
        <name val="Calibri"/>
        <scheme val="none"/>
      </font>
      <numFmt numFmtId="164" formatCode="_-* #,##0_-;\-* #,##0_-;_-* &quot;-&quot;??_-;_-@_-"/>
    </dxf>
  </rfmt>
  <rfmt sheetId="1" sqref="AT587" start="0" length="0">
    <dxf>
      <font>
        <sz val="11"/>
        <color theme="1"/>
        <name val="Calibri"/>
        <scheme val="none"/>
      </font>
      <numFmt numFmtId="164" formatCode="_-* #,##0_-;\-* #,##0_-;_-* &quot;-&quot;??_-;_-@_-"/>
    </dxf>
  </rfmt>
  <rfmt sheetId="1" sqref="AU587" start="0" length="0">
    <dxf>
      <font>
        <sz val="11"/>
        <color theme="1"/>
        <name val="Calibri"/>
        <scheme val="none"/>
      </font>
    </dxf>
  </rfmt>
  <rfmt sheetId="1" sqref="AV587" start="0" length="0">
    <dxf>
      <font>
        <sz val="11"/>
        <color theme="1"/>
        <name val="Calibri"/>
        <scheme val="none"/>
      </font>
    </dxf>
  </rfmt>
  <rfmt sheetId="1" sqref="AW587" start="0" length="0">
    <dxf>
      <font>
        <sz val="11"/>
        <color theme="1"/>
        <name val="Calibri"/>
        <scheme val="none"/>
      </font>
    </dxf>
  </rfmt>
  <rfmt sheetId="1" sqref="AX587" start="0" length="0">
    <dxf>
      <font>
        <sz val="11"/>
        <color theme="1"/>
        <name val="Calibri"/>
        <scheme val="none"/>
      </font>
    </dxf>
  </rfmt>
  <rfmt sheetId="1" sqref="AY587" start="0" length="0">
    <dxf>
      <font>
        <sz val="11"/>
        <color theme="1"/>
        <name val="Calibri"/>
        <scheme val="none"/>
      </font>
    </dxf>
  </rfmt>
  <rfmt sheetId="1" sqref="A587:XFD587" start="0" length="0">
    <dxf>
      <font>
        <sz val="11"/>
        <color theme="1"/>
        <name val="Calibri"/>
        <scheme val="none"/>
      </font>
    </dxf>
  </rfmt>
  <rfmt sheetId="1" sqref="A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8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8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8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8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88" start="0" length="0">
    <dxf>
      <font>
        <sz val="11"/>
        <color theme="1"/>
        <name val="Calibri"/>
        <scheme val="none"/>
      </font>
    </dxf>
  </rfmt>
  <rfmt sheetId="1" sqref="AM588" start="0" length="0">
    <dxf>
      <font>
        <sz val="11"/>
        <color theme="1"/>
        <name val="Calibri"/>
        <scheme val="none"/>
      </font>
      <numFmt numFmtId="1" formatCode="0"/>
    </dxf>
  </rfmt>
  <rfmt sheetId="1" sqref="AN588" start="0" length="0">
    <dxf>
      <font>
        <sz val="11"/>
        <color theme="1"/>
        <name val="Calibri"/>
        <scheme val="none"/>
      </font>
      <numFmt numFmtId="1" formatCode="0"/>
    </dxf>
  </rfmt>
  <rfmt sheetId="1" sqref="AO588" start="0" length="0">
    <dxf>
      <font>
        <sz val="11"/>
        <color theme="1"/>
        <name val="Calibri"/>
        <scheme val="none"/>
      </font>
    </dxf>
  </rfmt>
  <rfmt sheetId="1" sqref="AP588" start="0" length="0">
    <dxf>
      <font>
        <sz val="11"/>
        <color theme="1"/>
        <name val="Calibri"/>
        <scheme val="none"/>
      </font>
    </dxf>
  </rfmt>
  <rfmt sheetId="1" sqref="AQ588" start="0" length="0">
    <dxf>
      <font>
        <sz val="11"/>
        <color theme="1"/>
        <name val="Calibri"/>
        <scheme val="none"/>
      </font>
      <numFmt numFmtId="164" formatCode="_-* #,##0_-;\-* #,##0_-;_-* &quot;-&quot;??_-;_-@_-"/>
    </dxf>
  </rfmt>
  <rfmt sheetId="1" sqref="AR588" start="0" length="0">
    <dxf>
      <font>
        <sz val="11"/>
        <color theme="1"/>
        <name val="Calibri"/>
        <scheme val="none"/>
      </font>
      <numFmt numFmtId="164" formatCode="_-* #,##0_-;\-* #,##0_-;_-* &quot;-&quot;??_-;_-@_-"/>
    </dxf>
  </rfmt>
  <rfmt sheetId="1" sqref="AS588" start="0" length="0">
    <dxf>
      <font>
        <sz val="11"/>
        <color theme="1"/>
        <name val="Calibri"/>
        <scheme val="none"/>
      </font>
      <numFmt numFmtId="164" formatCode="_-* #,##0_-;\-* #,##0_-;_-* &quot;-&quot;??_-;_-@_-"/>
    </dxf>
  </rfmt>
  <rfmt sheetId="1" sqref="AT588" start="0" length="0">
    <dxf>
      <font>
        <sz val="11"/>
        <color theme="1"/>
        <name val="Calibri"/>
        <scheme val="none"/>
      </font>
      <numFmt numFmtId="164" formatCode="_-* #,##0_-;\-* #,##0_-;_-* &quot;-&quot;??_-;_-@_-"/>
    </dxf>
  </rfmt>
  <rfmt sheetId="1" sqref="AU588" start="0" length="0">
    <dxf>
      <font>
        <sz val="11"/>
        <color theme="1"/>
        <name val="Calibri"/>
        <scheme val="none"/>
      </font>
    </dxf>
  </rfmt>
  <rfmt sheetId="1" sqref="AV588" start="0" length="0">
    <dxf>
      <font>
        <sz val="11"/>
        <color theme="1"/>
        <name val="Calibri"/>
        <scheme val="none"/>
      </font>
    </dxf>
  </rfmt>
  <rfmt sheetId="1" sqref="AW588" start="0" length="0">
    <dxf>
      <font>
        <sz val="11"/>
        <color theme="1"/>
        <name val="Calibri"/>
        <scheme val="none"/>
      </font>
    </dxf>
  </rfmt>
  <rfmt sheetId="1" sqref="AX588" start="0" length="0">
    <dxf>
      <font>
        <sz val="11"/>
        <color theme="1"/>
        <name val="Calibri"/>
        <scheme val="none"/>
      </font>
    </dxf>
  </rfmt>
  <rfmt sheetId="1" sqref="AY588" start="0" length="0">
    <dxf>
      <font>
        <sz val="11"/>
        <color theme="1"/>
        <name val="Calibri"/>
        <scheme val="none"/>
      </font>
    </dxf>
  </rfmt>
  <rfmt sheetId="1" sqref="A588:XFD588" start="0" length="0">
    <dxf>
      <font>
        <sz val="11"/>
        <color theme="1"/>
        <name val="Calibri"/>
        <scheme val="none"/>
      </font>
    </dxf>
  </rfmt>
  <rfmt sheetId="1" sqref="A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8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8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8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8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89" start="0" length="0">
    <dxf>
      <font>
        <sz val="11"/>
        <color theme="1"/>
        <name val="Calibri"/>
        <scheme val="none"/>
      </font>
    </dxf>
  </rfmt>
  <rfmt sheetId="1" sqref="AM589" start="0" length="0">
    <dxf>
      <font>
        <sz val="11"/>
        <color theme="1"/>
        <name val="Calibri"/>
        <scheme val="none"/>
      </font>
      <numFmt numFmtId="1" formatCode="0"/>
    </dxf>
  </rfmt>
  <rfmt sheetId="1" sqref="AN589" start="0" length="0">
    <dxf>
      <font>
        <sz val="11"/>
        <color theme="1"/>
        <name val="Calibri"/>
        <scheme val="none"/>
      </font>
      <numFmt numFmtId="1" formatCode="0"/>
    </dxf>
  </rfmt>
  <rfmt sheetId="1" sqref="AO589" start="0" length="0">
    <dxf>
      <font>
        <sz val="11"/>
        <color theme="1"/>
        <name val="Calibri"/>
        <scheme val="none"/>
      </font>
    </dxf>
  </rfmt>
  <rfmt sheetId="1" sqref="AP589" start="0" length="0">
    <dxf>
      <font>
        <sz val="11"/>
        <color theme="1"/>
        <name val="Calibri"/>
        <scheme val="none"/>
      </font>
    </dxf>
  </rfmt>
  <rfmt sheetId="1" sqref="AQ589" start="0" length="0">
    <dxf>
      <font>
        <sz val="11"/>
        <color theme="1"/>
        <name val="Calibri"/>
        <scheme val="none"/>
      </font>
      <numFmt numFmtId="164" formatCode="_-* #,##0_-;\-* #,##0_-;_-* &quot;-&quot;??_-;_-@_-"/>
    </dxf>
  </rfmt>
  <rfmt sheetId="1" sqref="AR589" start="0" length="0">
    <dxf>
      <font>
        <sz val="11"/>
        <color theme="1"/>
        <name val="Calibri"/>
        <scheme val="none"/>
      </font>
      <numFmt numFmtId="164" formatCode="_-* #,##0_-;\-* #,##0_-;_-* &quot;-&quot;??_-;_-@_-"/>
    </dxf>
  </rfmt>
  <rfmt sheetId="1" sqref="AS589" start="0" length="0">
    <dxf>
      <font>
        <sz val="11"/>
        <color theme="1"/>
        <name val="Calibri"/>
        <scheme val="none"/>
      </font>
      <numFmt numFmtId="164" formatCode="_-* #,##0_-;\-* #,##0_-;_-* &quot;-&quot;??_-;_-@_-"/>
    </dxf>
  </rfmt>
  <rfmt sheetId="1" sqref="AT589" start="0" length="0">
    <dxf>
      <font>
        <sz val="11"/>
        <color theme="1"/>
        <name val="Calibri"/>
        <scheme val="none"/>
      </font>
      <numFmt numFmtId="164" formatCode="_-* #,##0_-;\-* #,##0_-;_-* &quot;-&quot;??_-;_-@_-"/>
    </dxf>
  </rfmt>
  <rfmt sheetId="1" sqref="AU589" start="0" length="0">
    <dxf>
      <font>
        <sz val="11"/>
        <color theme="1"/>
        <name val="Calibri"/>
        <scheme val="none"/>
      </font>
    </dxf>
  </rfmt>
  <rfmt sheetId="1" sqref="AV589" start="0" length="0">
    <dxf>
      <font>
        <sz val="11"/>
        <color theme="1"/>
        <name val="Calibri"/>
        <scheme val="none"/>
      </font>
    </dxf>
  </rfmt>
  <rfmt sheetId="1" sqref="AW589" start="0" length="0">
    <dxf>
      <font>
        <sz val="11"/>
        <color theme="1"/>
        <name val="Calibri"/>
        <scheme val="none"/>
      </font>
    </dxf>
  </rfmt>
  <rfmt sheetId="1" sqref="AX589" start="0" length="0">
    <dxf>
      <font>
        <sz val="11"/>
        <color theme="1"/>
        <name val="Calibri"/>
        <scheme val="none"/>
      </font>
    </dxf>
  </rfmt>
  <rfmt sheetId="1" sqref="AY589" start="0" length="0">
    <dxf>
      <font>
        <sz val="11"/>
        <color theme="1"/>
        <name val="Calibri"/>
        <scheme val="none"/>
      </font>
    </dxf>
  </rfmt>
  <rfmt sheetId="1" sqref="A589:XFD589" start="0" length="0">
    <dxf>
      <font>
        <sz val="11"/>
        <color theme="1"/>
        <name val="Calibri"/>
        <scheme val="none"/>
      </font>
    </dxf>
  </rfmt>
  <rfmt sheetId="1" sqref="A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9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9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9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9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90" start="0" length="0">
    <dxf>
      <font>
        <sz val="11"/>
        <color theme="1"/>
        <name val="Calibri"/>
        <scheme val="none"/>
      </font>
    </dxf>
  </rfmt>
  <rfmt sheetId="1" sqref="AM590" start="0" length="0">
    <dxf>
      <font>
        <sz val="11"/>
        <color theme="1"/>
        <name val="Calibri"/>
        <scheme val="none"/>
      </font>
      <numFmt numFmtId="1" formatCode="0"/>
    </dxf>
  </rfmt>
  <rfmt sheetId="1" sqref="AN590" start="0" length="0">
    <dxf>
      <font>
        <sz val="11"/>
        <color theme="1"/>
        <name val="Calibri"/>
        <scheme val="none"/>
      </font>
      <numFmt numFmtId="1" formatCode="0"/>
    </dxf>
  </rfmt>
  <rfmt sheetId="1" sqref="AO590" start="0" length="0">
    <dxf>
      <font>
        <sz val="11"/>
        <color theme="1"/>
        <name val="Calibri"/>
        <scheme val="none"/>
      </font>
    </dxf>
  </rfmt>
  <rfmt sheetId="1" sqref="AP590" start="0" length="0">
    <dxf>
      <font>
        <sz val="11"/>
        <color theme="1"/>
        <name val="Calibri"/>
        <scheme val="none"/>
      </font>
    </dxf>
  </rfmt>
  <rfmt sheetId="1" sqref="AQ590" start="0" length="0">
    <dxf>
      <font>
        <sz val="11"/>
        <color theme="1"/>
        <name val="Calibri"/>
        <scheme val="none"/>
      </font>
      <numFmt numFmtId="164" formatCode="_-* #,##0_-;\-* #,##0_-;_-* &quot;-&quot;??_-;_-@_-"/>
    </dxf>
  </rfmt>
  <rfmt sheetId="1" sqref="AR590" start="0" length="0">
    <dxf>
      <font>
        <sz val="11"/>
        <color theme="1"/>
        <name val="Calibri"/>
        <scheme val="none"/>
      </font>
      <numFmt numFmtId="164" formatCode="_-* #,##0_-;\-* #,##0_-;_-* &quot;-&quot;??_-;_-@_-"/>
    </dxf>
  </rfmt>
  <rfmt sheetId="1" sqref="AS590" start="0" length="0">
    <dxf>
      <font>
        <sz val="11"/>
        <color theme="1"/>
        <name val="Calibri"/>
        <scheme val="none"/>
      </font>
      <numFmt numFmtId="164" formatCode="_-* #,##0_-;\-* #,##0_-;_-* &quot;-&quot;??_-;_-@_-"/>
    </dxf>
  </rfmt>
  <rfmt sheetId="1" sqref="AT590" start="0" length="0">
    <dxf>
      <font>
        <sz val="11"/>
        <color theme="1"/>
        <name val="Calibri"/>
        <scheme val="none"/>
      </font>
      <numFmt numFmtId="164" formatCode="_-* #,##0_-;\-* #,##0_-;_-* &quot;-&quot;??_-;_-@_-"/>
    </dxf>
  </rfmt>
  <rfmt sheetId="1" sqref="AU590" start="0" length="0">
    <dxf>
      <font>
        <sz val="11"/>
        <color theme="1"/>
        <name val="Calibri"/>
        <scheme val="none"/>
      </font>
    </dxf>
  </rfmt>
  <rfmt sheetId="1" sqref="AV590" start="0" length="0">
    <dxf>
      <font>
        <sz val="11"/>
        <color theme="1"/>
        <name val="Calibri"/>
        <scheme val="none"/>
      </font>
    </dxf>
  </rfmt>
  <rfmt sheetId="1" sqref="AW590" start="0" length="0">
    <dxf>
      <font>
        <sz val="11"/>
        <color theme="1"/>
        <name val="Calibri"/>
        <scheme val="none"/>
      </font>
    </dxf>
  </rfmt>
  <rfmt sheetId="1" sqref="AX590" start="0" length="0">
    <dxf>
      <font>
        <sz val="11"/>
        <color theme="1"/>
        <name val="Calibri"/>
        <scheme val="none"/>
      </font>
    </dxf>
  </rfmt>
  <rfmt sheetId="1" sqref="AY590" start="0" length="0">
    <dxf>
      <font>
        <sz val="11"/>
        <color theme="1"/>
        <name val="Calibri"/>
        <scheme val="none"/>
      </font>
    </dxf>
  </rfmt>
  <rfmt sheetId="1" sqref="A590:XFD590" start="0" length="0">
    <dxf>
      <font>
        <sz val="11"/>
        <color theme="1"/>
        <name val="Calibri"/>
        <scheme val="none"/>
      </font>
    </dxf>
  </rfmt>
  <rfmt sheetId="1" sqref="A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9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9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9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9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91" start="0" length="0">
    <dxf>
      <font>
        <sz val="11"/>
        <color theme="1"/>
        <name val="Calibri"/>
        <scheme val="none"/>
      </font>
    </dxf>
  </rfmt>
  <rfmt sheetId="1" sqref="AM591" start="0" length="0">
    <dxf>
      <font>
        <sz val="11"/>
        <color theme="1"/>
        <name val="Calibri"/>
        <scheme val="none"/>
      </font>
      <numFmt numFmtId="1" formatCode="0"/>
    </dxf>
  </rfmt>
  <rfmt sheetId="1" sqref="AN591" start="0" length="0">
    <dxf>
      <font>
        <sz val="11"/>
        <color theme="1"/>
        <name val="Calibri"/>
        <scheme val="none"/>
      </font>
      <numFmt numFmtId="1" formatCode="0"/>
    </dxf>
  </rfmt>
  <rfmt sheetId="1" sqref="AO591" start="0" length="0">
    <dxf>
      <font>
        <sz val="11"/>
        <color theme="1"/>
        <name val="Calibri"/>
        <scheme val="none"/>
      </font>
    </dxf>
  </rfmt>
  <rfmt sheetId="1" sqref="AP591" start="0" length="0">
    <dxf>
      <font>
        <sz val="11"/>
        <color theme="1"/>
        <name val="Calibri"/>
        <scheme val="none"/>
      </font>
    </dxf>
  </rfmt>
  <rfmt sheetId="1" sqref="AQ591" start="0" length="0">
    <dxf>
      <font>
        <sz val="11"/>
        <color theme="1"/>
        <name val="Calibri"/>
        <scheme val="none"/>
      </font>
      <numFmt numFmtId="164" formatCode="_-* #,##0_-;\-* #,##0_-;_-* &quot;-&quot;??_-;_-@_-"/>
    </dxf>
  </rfmt>
  <rfmt sheetId="1" sqref="AR591" start="0" length="0">
    <dxf>
      <font>
        <sz val="11"/>
        <color theme="1"/>
        <name val="Calibri"/>
        <scheme val="none"/>
      </font>
      <numFmt numFmtId="164" formatCode="_-* #,##0_-;\-* #,##0_-;_-* &quot;-&quot;??_-;_-@_-"/>
    </dxf>
  </rfmt>
  <rfmt sheetId="1" sqref="AS591" start="0" length="0">
    <dxf>
      <font>
        <sz val="11"/>
        <color theme="1"/>
        <name val="Calibri"/>
        <scheme val="none"/>
      </font>
      <numFmt numFmtId="164" formatCode="_-* #,##0_-;\-* #,##0_-;_-* &quot;-&quot;??_-;_-@_-"/>
    </dxf>
  </rfmt>
  <rfmt sheetId="1" sqref="AT591" start="0" length="0">
    <dxf>
      <font>
        <sz val="11"/>
        <color theme="1"/>
        <name val="Calibri"/>
        <scheme val="none"/>
      </font>
      <numFmt numFmtId="164" formatCode="_-* #,##0_-;\-* #,##0_-;_-* &quot;-&quot;??_-;_-@_-"/>
    </dxf>
  </rfmt>
  <rfmt sheetId="1" sqref="AU591" start="0" length="0">
    <dxf>
      <font>
        <sz val="11"/>
        <color theme="1"/>
        <name val="Calibri"/>
        <scheme val="none"/>
      </font>
    </dxf>
  </rfmt>
  <rfmt sheetId="1" sqref="AV591" start="0" length="0">
    <dxf>
      <font>
        <sz val="11"/>
        <color theme="1"/>
        <name val="Calibri"/>
        <scheme val="none"/>
      </font>
    </dxf>
  </rfmt>
  <rfmt sheetId="1" sqref="AW591" start="0" length="0">
    <dxf>
      <font>
        <sz val="11"/>
        <color theme="1"/>
        <name val="Calibri"/>
        <scheme val="none"/>
      </font>
    </dxf>
  </rfmt>
  <rfmt sheetId="1" sqref="AX591" start="0" length="0">
    <dxf>
      <font>
        <sz val="11"/>
        <color theme="1"/>
        <name val="Calibri"/>
        <scheme val="none"/>
      </font>
    </dxf>
  </rfmt>
  <rfmt sheetId="1" sqref="AY591" start="0" length="0">
    <dxf>
      <font>
        <sz val="11"/>
        <color theme="1"/>
        <name val="Calibri"/>
        <scheme val="none"/>
      </font>
    </dxf>
  </rfmt>
  <rfmt sheetId="1" sqref="A591:XFD591" start="0" length="0">
    <dxf>
      <font>
        <sz val="11"/>
        <color theme="1"/>
        <name val="Calibri"/>
        <scheme val="none"/>
      </font>
    </dxf>
  </rfmt>
  <rfmt sheetId="1" sqref="A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9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9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9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9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92" start="0" length="0">
    <dxf>
      <font>
        <sz val="11"/>
        <color theme="1"/>
        <name val="Calibri"/>
        <scheme val="none"/>
      </font>
    </dxf>
  </rfmt>
  <rfmt sheetId="1" sqref="AM592" start="0" length="0">
    <dxf>
      <font>
        <sz val="11"/>
        <color theme="1"/>
        <name val="Calibri"/>
        <scheme val="none"/>
      </font>
      <numFmt numFmtId="1" formatCode="0"/>
    </dxf>
  </rfmt>
  <rfmt sheetId="1" sqref="AN592" start="0" length="0">
    <dxf>
      <font>
        <sz val="11"/>
        <color theme="1"/>
        <name val="Calibri"/>
        <scheme val="none"/>
      </font>
      <numFmt numFmtId="1" formatCode="0"/>
    </dxf>
  </rfmt>
  <rfmt sheetId="1" sqref="AO592" start="0" length="0">
    <dxf>
      <font>
        <sz val="11"/>
        <color theme="1"/>
        <name val="Calibri"/>
        <scheme val="none"/>
      </font>
    </dxf>
  </rfmt>
  <rfmt sheetId="1" sqref="AP592" start="0" length="0">
    <dxf>
      <font>
        <sz val="11"/>
        <color theme="1"/>
        <name val="Calibri"/>
        <scheme val="none"/>
      </font>
    </dxf>
  </rfmt>
  <rfmt sheetId="1" sqref="AQ592" start="0" length="0">
    <dxf>
      <font>
        <sz val="11"/>
        <color theme="1"/>
        <name val="Calibri"/>
        <scheme val="none"/>
      </font>
      <numFmt numFmtId="164" formatCode="_-* #,##0_-;\-* #,##0_-;_-* &quot;-&quot;??_-;_-@_-"/>
    </dxf>
  </rfmt>
  <rfmt sheetId="1" sqref="AR592" start="0" length="0">
    <dxf>
      <font>
        <sz val="11"/>
        <color theme="1"/>
        <name val="Calibri"/>
        <scheme val="none"/>
      </font>
      <numFmt numFmtId="164" formatCode="_-* #,##0_-;\-* #,##0_-;_-* &quot;-&quot;??_-;_-@_-"/>
    </dxf>
  </rfmt>
  <rfmt sheetId="1" sqref="AS592" start="0" length="0">
    <dxf>
      <font>
        <sz val="11"/>
        <color theme="1"/>
        <name val="Calibri"/>
        <scheme val="none"/>
      </font>
      <numFmt numFmtId="164" formatCode="_-* #,##0_-;\-* #,##0_-;_-* &quot;-&quot;??_-;_-@_-"/>
    </dxf>
  </rfmt>
  <rfmt sheetId="1" sqref="AT592" start="0" length="0">
    <dxf>
      <font>
        <sz val="11"/>
        <color theme="1"/>
        <name val="Calibri"/>
        <scheme val="none"/>
      </font>
      <numFmt numFmtId="164" formatCode="_-* #,##0_-;\-* #,##0_-;_-* &quot;-&quot;??_-;_-@_-"/>
    </dxf>
  </rfmt>
  <rfmt sheetId="1" sqref="AU592" start="0" length="0">
    <dxf>
      <font>
        <sz val="11"/>
        <color theme="1"/>
        <name val="Calibri"/>
        <scheme val="none"/>
      </font>
    </dxf>
  </rfmt>
  <rfmt sheetId="1" sqref="AV592" start="0" length="0">
    <dxf>
      <font>
        <sz val="11"/>
        <color theme="1"/>
        <name val="Calibri"/>
        <scheme val="none"/>
      </font>
    </dxf>
  </rfmt>
  <rfmt sheetId="1" sqref="AW592" start="0" length="0">
    <dxf>
      <font>
        <sz val="11"/>
        <color theme="1"/>
        <name val="Calibri"/>
        <scheme val="none"/>
      </font>
    </dxf>
  </rfmt>
  <rfmt sheetId="1" sqref="AX592" start="0" length="0">
    <dxf>
      <font>
        <sz val="11"/>
        <color theme="1"/>
        <name val="Calibri"/>
        <scheme val="none"/>
      </font>
    </dxf>
  </rfmt>
  <rfmt sheetId="1" sqref="AY592" start="0" length="0">
    <dxf>
      <font>
        <sz val="11"/>
        <color theme="1"/>
        <name val="Calibri"/>
        <scheme val="none"/>
      </font>
    </dxf>
  </rfmt>
  <rfmt sheetId="1" sqref="A592:XFD592" start="0" length="0">
    <dxf>
      <font>
        <sz val="11"/>
        <color theme="1"/>
        <name val="Calibri"/>
        <scheme val="none"/>
      </font>
    </dxf>
  </rfmt>
  <rfmt sheetId="1" sqref="A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9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9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9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9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93" start="0" length="0">
    <dxf>
      <font>
        <sz val="11"/>
        <color theme="1"/>
        <name val="Calibri"/>
        <scheme val="none"/>
      </font>
    </dxf>
  </rfmt>
  <rfmt sheetId="1" sqref="AM593" start="0" length="0">
    <dxf>
      <font>
        <sz val="11"/>
        <color theme="1"/>
        <name val="Calibri"/>
        <scheme val="none"/>
      </font>
      <numFmt numFmtId="1" formatCode="0"/>
    </dxf>
  </rfmt>
  <rfmt sheetId="1" sqref="AN593" start="0" length="0">
    <dxf>
      <font>
        <sz val="11"/>
        <color theme="1"/>
        <name val="Calibri"/>
        <scheme val="none"/>
      </font>
      <numFmt numFmtId="1" formatCode="0"/>
    </dxf>
  </rfmt>
  <rfmt sheetId="1" sqref="AO593" start="0" length="0">
    <dxf>
      <font>
        <sz val="11"/>
        <color theme="1"/>
        <name val="Calibri"/>
        <scheme val="none"/>
      </font>
    </dxf>
  </rfmt>
  <rfmt sheetId="1" sqref="AP593" start="0" length="0">
    <dxf>
      <font>
        <sz val="11"/>
        <color theme="1"/>
        <name val="Calibri"/>
        <scheme val="none"/>
      </font>
    </dxf>
  </rfmt>
  <rfmt sheetId="1" sqref="AQ593" start="0" length="0">
    <dxf>
      <font>
        <sz val="11"/>
        <color theme="1"/>
        <name val="Calibri"/>
        <scheme val="none"/>
      </font>
      <numFmt numFmtId="164" formatCode="_-* #,##0_-;\-* #,##0_-;_-* &quot;-&quot;??_-;_-@_-"/>
    </dxf>
  </rfmt>
  <rfmt sheetId="1" sqref="AR593" start="0" length="0">
    <dxf>
      <font>
        <sz val="11"/>
        <color theme="1"/>
        <name val="Calibri"/>
        <scheme val="none"/>
      </font>
      <numFmt numFmtId="164" formatCode="_-* #,##0_-;\-* #,##0_-;_-* &quot;-&quot;??_-;_-@_-"/>
    </dxf>
  </rfmt>
  <rfmt sheetId="1" sqref="AS593" start="0" length="0">
    <dxf>
      <font>
        <sz val="11"/>
        <color theme="1"/>
        <name val="Calibri"/>
        <scheme val="none"/>
      </font>
      <numFmt numFmtId="164" formatCode="_-* #,##0_-;\-* #,##0_-;_-* &quot;-&quot;??_-;_-@_-"/>
    </dxf>
  </rfmt>
  <rfmt sheetId="1" sqref="AT593" start="0" length="0">
    <dxf>
      <font>
        <sz val="11"/>
        <color theme="1"/>
        <name val="Calibri"/>
        <scheme val="none"/>
      </font>
      <numFmt numFmtId="164" formatCode="_-* #,##0_-;\-* #,##0_-;_-* &quot;-&quot;??_-;_-@_-"/>
    </dxf>
  </rfmt>
  <rfmt sheetId="1" sqref="AU593" start="0" length="0">
    <dxf>
      <font>
        <sz val="11"/>
        <color theme="1"/>
        <name val="Calibri"/>
        <scheme val="none"/>
      </font>
    </dxf>
  </rfmt>
  <rfmt sheetId="1" sqref="AV593" start="0" length="0">
    <dxf>
      <font>
        <sz val="11"/>
        <color theme="1"/>
        <name val="Calibri"/>
        <scheme val="none"/>
      </font>
    </dxf>
  </rfmt>
  <rfmt sheetId="1" sqref="AW593" start="0" length="0">
    <dxf>
      <font>
        <sz val="11"/>
        <color theme="1"/>
        <name val="Calibri"/>
        <scheme val="none"/>
      </font>
    </dxf>
  </rfmt>
  <rfmt sheetId="1" sqref="AX593" start="0" length="0">
    <dxf>
      <font>
        <sz val="11"/>
        <color theme="1"/>
        <name val="Calibri"/>
        <scheme val="none"/>
      </font>
    </dxf>
  </rfmt>
  <rfmt sheetId="1" sqref="AY593" start="0" length="0">
    <dxf>
      <font>
        <sz val="11"/>
        <color theme="1"/>
        <name val="Calibri"/>
        <scheme val="none"/>
      </font>
    </dxf>
  </rfmt>
  <rfmt sheetId="1" sqref="A593:XFD593" start="0" length="0">
    <dxf>
      <font>
        <sz val="11"/>
        <color theme="1"/>
        <name val="Calibri"/>
        <scheme val="none"/>
      </font>
    </dxf>
  </rfmt>
  <rfmt sheetId="1" sqref="A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9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9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9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9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94" start="0" length="0">
    <dxf>
      <font>
        <sz val="11"/>
        <color theme="1"/>
        <name val="Calibri"/>
        <scheme val="none"/>
      </font>
    </dxf>
  </rfmt>
  <rfmt sheetId="1" sqref="AM594" start="0" length="0">
    <dxf>
      <font>
        <sz val="11"/>
        <color theme="1"/>
        <name val="Calibri"/>
        <scheme val="none"/>
      </font>
      <numFmt numFmtId="1" formatCode="0"/>
    </dxf>
  </rfmt>
  <rfmt sheetId="1" sqref="AN594" start="0" length="0">
    <dxf>
      <font>
        <sz val="11"/>
        <color theme="1"/>
        <name val="Calibri"/>
        <scheme val="none"/>
      </font>
      <numFmt numFmtId="1" formatCode="0"/>
    </dxf>
  </rfmt>
  <rfmt sheetId="1" sqref="AO594" start="0" length="0">
    <dxf>
      <font>
        <sz val="11"/>
        <color theme="1"/>
        <name val="Calibri"/>
        <scheme val="none"/>
      </font>
    </dxf>
  </rfmt>
  <rfmt sheetId="1" sqref="AP594" start="0" length="0">
    <dxf>
      <font>
        <sz val="11"/>
        <color theme="1"/>
        <name val="Calibri"/>
        <scheme val="none"/>
      </font>
    </dxf>
  </rfmt>
  <rfmt sheetId="1" sqref="AQ594" start="0" length="0">
    <dxf>
      <font>
        <sz val="11"/>
        <color theme="1"/>
        <name val="Calibri"/>
        <scheme val="none"/>
      </font>
      <numFmt numFmtId="164" formatCode="_-* #,##0_-;\-* #,##0_-;_-* &quot;-&quot;??_-;_-@_-"/>
    </dxf>
  </rfmt>
  <rfmt sheetId="1" sqref="AR594" start="0" length="0">
    <dxf>
      <font>
        <sz val="11"/>
        <color theme="1"/>
        <name val="Calibri"/>
        <scheme val="none"/>
      </font>
      <numFmt numFmtId="164" formatCode="_-* #,##0_-;\-* #,##0_-;_-* &quot;-&quot;??_-;_-@_-"/>
    </dxf>
  </rfmt>
  <rfmt sheetId="1" sqref="AS594" start="0" length="0">
    <dxf>
      <font>
        <sz val="11"/>
        <color theme="1"/>
        <name val="Calibri"/>
        <scheme val="none"/>
      </font>
      <numFmt numFmtId="164" formatCode="_-* #,##0_-;\-* #,##0_-;_-* &quot;-&quot;??_-;_-@_-"/>
    </dxf>
  </rfmt>
  <rfmt sheetId="1" sqref="AT594" start="0" length="0">
    <dxf>
      <font>
        <sz val="11"/>
        <color theme="1"/>
        <name val="Calibri"/>
        <scheme val="none"/>
      </font>
      <numFmt numFmtId="164" formatCode="_-* #,##0_-;\-* #,##0_-;_-* &quot;-&quot;??_-;_-@_-"/>
    </dxf>
  </rfmt>
  <rfmt sheetId="1" sqref="AU594" start="0" length="0">
    <dxf>
      <font>
        <sz val="11"/>
        <color theme="1"/>
        <name val="Calibri"/>
        <scheme val="none"/>
      </font>
    </dxf>
  </rfmt>
  <rfmt sheetId="1" sqref="AV594" start="0" length="0">
    <dxf>
      <font>
        <sz val="11"/>
        <color theme="1"/>
        <name val="Calibri"/>
        <scheme val="none"/>
      </font>
    </dxf>
  </rfmt>
  <rfmt sheetId="1" sqref="AW594" start="0" length="0">
    <dxf>
      <font>
        <sz val="11"/>
        <color theme="1"/>
        <name val="Calibri"/>
        <scheme val="none"/>
      </font>
    </dxf>
  </rfmt>
  <rfmt sheetId="1" sqref="AX594" start="0" length="0">
    <dxf>
      <font>
        <sz val="11"/>
        <color theme="1"/>
        <name val="Calibri"/>
        <scheme val="none"/>
      </font>
    </dxf>
  </rfmt>
  <rfmt sheetId="1" sqref="AY594" start="0" length="0">
    <dxf>
      <font>
        <sz val="11"/>
        <color theme="1"/>
        <name val="Calibri"/>
        <scheme val="none"/>
      </font>
    </dxf>
  </rfmt>
  <rfmt sheetId="1" sqref="A594:XFD594" start="0" length="0">
    <dxf>
      <font>
        <sz val="11"/>
        <color theme="1"/>
        <name val="Calibri"/>
        <scheme val="none"/>
      </font>
    </dxf>
  </rfmt>
  <rfmt sheetId="1" sqref="A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9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9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9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9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95" start="0" length="0">
    <dxf>
      <font>
        <sz val="11"/>
        <color theme="1"/>
        <name val="Calibri"/>
        <scheme val="none"/>
      </font>
    </dxf>
  </rfmt>
  <rfmt sheetId="1" sqref="AM595" start="0" length="0">
    <dxf>
      <font>
        <sz val="11"/>
        <color theme="1"/>
        <name val="Calibri"/>
        <scheme val="none"/>
      </font>
      <numFmt numFmtId="1" formatCode="0"/>
    </dxf>
  </rfmt>
  <rfmt sheetId="1" sqref="AN595" start="0" length="0">
    <dxf>
      <font>
        <sz val="11"/>
        <color theme="1"/>
        <name val="Calibri"/>
        <scheme val="none"/>
      </font>
      <numFmt numFmtId="1" formatCode="0"/>
    </dxf>
  </rfmt>
  <rfmt sheetId="1" sqref="AO595" start="0" length="0">
    <dxf>
      <font>
        <sz val="11"/>
        <color theme="1"/>
        <name val="Calibri"/>
        <scheme val="none"/>
      </font>
    </dxf>
  </rfmt>
  <rfmt sheetId="1" sqref="AP595" start="0" length="0">
    <dxf>
      <font>
        <sz val="11"/>
        <color theme="1"/>
        <name val="Calibri"/>
        <scheme val="none"/>
      </font>
    </dxf>
  </rfmt>
  <rfmt sheetId="1" sqref="AQ595" start="0" length="0">
    <dxf>
      <font>
        <sz val="11"/>
        <color theme="1"/>
        <name val="Calibri"/>
        <scheme val="none"/>
      </font>
      <numFmt numFmtId="164" formatCode="_-* #,##0_-;\-* #,##0_-;_-* &quot;-&quot;??_-;_-@_-"/>
    </dxf>
  </rfmt>
  <rfmt sheetId="1" sqref="AR595" start="0" length="0">
    <dxf>
      <font>
        <sz val="11"/>
        <color theme="1"/>
        <name val="Calibri"/>
        <scheme val="none"/>
      </font>
      <numFmt numFmtId="164" formatCode="_-* #,##0_-;\-* #,##0_-;_-* &quot;-&quot;??_-;_-@_-"/>
    </dxf>
  </rfmt>
  <rfmt sheetId="1" sqref="AS595" start="0" length="0">
    <dxf>
      <font>
        <sz val="11"/>
        <color theme="1"/>
        <name val="Calibri"/>
        <scheme val="none"/>
      </font>
      <numFmt numFmtId="164" formatCode="_-* #,##0_-;\-* #,##0_-;_-* &quot;-&quot;??_-;_-@_-"/>
    </dxf>
  </rfmt>
  <rfmt sheetId="1" sqref="AT595" start="0" length="0">
    <dxf>
      <font>
        <sz val="11"/>
        <color theme="1"/>
        <name val="Calibri"/>
        <scheme val="none"/>
      </font>
      <numFmt numFmtId="164" formatCode="_-* #,##0_-;\-* #,##0_-;_-* &quot;-&quot;??_-;_-@_-"/>
    </dxf>
  </rfmt>
  <rfmt sheetId="1" sqref="AU595" start="0" length="0">
    <dxf>
      <font>
        <sz val="11"/>
        <color theme="1"/>
        <name val="Calibri"/>
        <scheme val="none"/>
      </font>
    </dxf>
  </rfmt>
  <rfmt sheetId="1" sqref="AV595" start="0" length="0">
    <dxf>
      <font>
        <sz val="11"/>
        <color theme="1"/>
        <name val="Calibri"/>
        <scheme val="none"/>
      </font>
    </dxf>
  </rfmt>
  <rfmt sheetId="1" sqref="AW595" start="0" length="0">
    <dxf>
      <font>
        <sz val="11"/>
        <color theme="1"/>
        <name val="Calibri"/>
        <scheme val="none"/>
      </font>
    </dxf>
  </rfmt>
  <rfmt sheetId="1" sqref="AX595" start="0" length="0">
    <dxf>
      <font>
        <sz val="11"/>
        <color theme="1"/>
        <name val="Calibri"/>
        <scheme val="none"/>
      </font>
    </dxf>
  </rfmt>
  <rfmt sheetId="1" sqref="AY595" start="0" length="0">
    <dxf>
      <font>
        <sz val="11"/>
        <color theme="1"/>
        <name val="Calibri"/>
        <scheme val="none"/>
      </font>
    </dxf>
  </rfmt>
  <rfmt sheetId="1" sqref="A595:XFD595" start="0" length="0">
    <dxf>
      <font>
        <sz val="11"/>
        <color theme="1"/>
        <name val="Calibri"/>
        <scheme val="none"/>
      </font>
    </dxf>
  </rfmt>
  <rfmt sheetId="1" sqref="A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9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9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9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9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96" start="0" length="0">
    <dxf>
      <font>
        <sz val="11"/>
        <color theme="1"/>
        <name val="Calibri"/>
        <scheme val="none"/>
      </font>
    </dxf>
  </rfmt>
  <rfmt sheetId="1" sqref="AM596" start="0" length="0">
    <dxf>
      <font>
        <sz val="11"/>
        <color theme="1"/>
        <name val="Calibri"/>
        <scheme val="none"/>
      </font>
      <numFmt numFmtId="1" formatCode="0"/>
    </dxf>
  </rfmt>
  <rfmt sheetId="1" sqref="AN596" start="0" length="0">
    <dxf>
      <font>
        <sz val="11"/>
        <color theme="1"/>
        <name val="Calibri"/>
        <scheme val="none"/>
      </font>
      <numFmt numFmtId="1" formatCode="0"/>
    </dxf>
  </rfmt>
  <rfmt sheetId="1" sqref="AO596" start="0" length="0">
    <dxf>
      <font>
        <sz val="11"/>
        <color theme="1"/>
        <name val="Calibri"/>
        <scheme val="none"/>
      </font>
    </dxf>
  </rfmt>
  <rfmt sheetId="1" sqref="AP596" start="0" length="0">
    <dxf>
      <font>
        <sz val="11"/>
        <color theme="1"/>
        <name val="Calibri"/>
        <scheme val="none"/>
      </font>
    </dxf>
  </rfmt>
  <rfmt sheetId="1" sqref="AQ596" start="0" length="0">
    <dxf>
      <font>
        <sz val="11"/>
        <color theme="1"/>
        <name val="Calibri"/>
        <scheme val="none"/>
      </font>
      <numFmt numFmtId="164" formatCode="_-* #,##0_-;\-* #,##0_-;_-* &quot;-&quot;??_-;_-@_-"/>
    </dxf>
  </rfmt>
  <rfmt sheetId="1" sqref="AR596" start="0" length="0">
    <dxf>
      <font>
        <sz val="11"/>
        <color theme="1"/>
        <name val="Calibri"/>
        <scheme val="none"/>
      </font>
      <numFmt numFmtId="164" formatCode="_-* #,##0_-;\-* #,##0_-;_-* &quot;-&quot;??_-;_-@_-"/>
    </dxf>
  </rfmt>
  <rfmt sheetId="1" sqref="AS596" start="0" length="0">
    <dxf>
      <font>
        <sz val="11"/>
        <color theme="1"/>
        <name val="Calibri"/>
        <scheme val="none"/>
      </font>
      <numFmt numFmtId="164" formatCode="_-* #,##0_-;\-* #,##0_-;_-* &quot;-&quot;??_-;_-@_-"/>
    </dxf>
  </rfmt>
  <rfmt sheetId="1" sqref="AT596" start="0" length="0">
    <dxf>
      <font>
        <sz val="11"/>
        <color theme="1"/>
        <name val="Calibri"/>
        <scheme val="none"/>
      </font>
      <numFmt numFmtId="164" formatCode="_-* #,##0_-;\-* #,##0_-;_-* &quot;-&quot;??_-;_-@_-"/>
    </dxf>
  </rfmt>
  <rfmt sheetId="1" sqref="AU596" start="0" length="0">
    <dxf>
      <font>
        <sz val="11"/>
        <color theme="1"/>
        <name val="Calibri"/>
        <scheme val="none"/>
      </font>
    </dxf>
  </rfmt>
  <rfmt sheetId="1" sqref="AV596" start="0" length="0">
    <dxf>
      <font>
        <sz val="11"/>
        <color theme="1"/>
        <name val="Calibri"/>
        <scheme val="none"/>
      </font>
    </dxf>
  </rfmt>
  <rfmt sheetId="1" sqref="AW596" start="0" length="0">
    <dxf>
      <font>
        <sz val="11"/>
        <color theme="1"/>
        <name val="Calibri"/>
        <scheme val="none"/>
      </font>
    </dxf>
  </rfmt>
  <rfmt sheetId="1" sqref="AX596" start="0" length="0">
    <dxf>
      <font>
        <sz val="11"/>
        <color theme="1"/>
        <name val="Calibri"/>
        <scheme val="none"/>
      </font>
    </dxf>
  </rfmt>
  <rfmt sheetId="1" sqref="AY596" start="0" length="0">
    <dxf>
      <font>
        <sz val="11"/>
        <color theme="1"/>
        <name val="Calibri"/>
        <scheme val="none"/>
      </font>
    </dxf>
  </rfmt>
  <rfmt sheetId="1" sqref="A596:XFD596" start="0" length="0">
    <dxf>
      <font>
        <sz val="11"/>
        <color theme="1"/>
        <name val="Calibri"/>
        <scheme val="none"/>
      </font>
    </dxf>
  </rfmt>
  <rfmt sheetId="1" sqref="A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9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9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9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9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97" start="0" length="0">
    <dxf>
      <font>
        <sz val="11"/>
        <color theme="1"/>
        <name val="Calibri"/>
        <scheme val="none"/>
      </font>
    </dxf>
  </rfmt>
  <rfmt sheetId="1" sqref="AM597" start="0" length="0">
    <dxf>
      <font>
        <sz val="11"/>
        <color theme="1"/>
        <name val="Calibri"/>
        <scheme val="none"/>
      </font>
      <numFmt numFmtId="1" formatCode="0"/>
    </dxf>
  </rfmt>
  <rfmt sheetId="1" sqref="AN597" start="0" length="0">
    <dxf>
      <font>
        <sz val="11"/>
        <color theme="1"/>
        <name val="Calibri"/>
        <scheme val="none"/>
      </font>
      <numFmt numFmtId="1" formatCode="0"/>
    </dxf>
  </rfmt>
  <rfmt sheetId="1" sqref="AO597" start="0" length="0">
    <dxf>
      <font>
        <sz val="11"/>
        <color theme="1"/>
        <name val="Calibri"/>
        <scheme val="none"/>
      </font>
    </dxf>
  </rfmt>
  <rfmt sheetId="1" sqref="AP597" start="0" length="0">
    <dxf>
      <font>
        <sz val="11"/>
        <color theme="1"/>
        <name val="Calibri"/>
        <scheme val="none"/>
      </font>
    </dxf>
  </rfmt>
  <rfmt sheetId="1" sqref="AQ597" start="0" length="0">
    <dxf>
      <font>
        <sz val="11"/>
        <color theme="1"/>
        <name val="Calibri"/>
        <scheme val="none"/>
      </font>
      <numFmt numFmtId="164" formatCode="_-* #,##0_-;\-* #,##0_-;_-* &quot;-&quot;??_-;_-@_-"/>
    </dxf>
  </rfmt>
  <rfmt sheetId="1" sqref="AR597" start="0" length="0">
    <dxf>
      <font>
        <sz val="11"/>
        <color theme="1"/>
        <name val="Calibri"/>
        <scheme val="none"/>
      </font>
      <numFmt numFmtId="164" formatCode="_-* #,##0_-;\-* #,##0_-;_-* &quot;-&quot;??_-;_-@_-"/>
    </dxf>
  </rfmt>
  <rfmt sheetId="1" sqref="AS597" start="0" length="0">
    <dxf>
      <font>
        <sz val="11"/>
        <color theme="1"/>
        <name val="Calibri"/>
        <scheme val="none"/>
      </font>
      <numFmt numFmtId="164" formatCode="_-* #,##0_-;\-* #,##0_-;_-* &quot;-&quot;??_-;_-@_-"/>
    </dxf>
  </rfmt>
  <rfmt sheetId="1" sqref="AT597" start="0" length="0">
    <dxf>
      <font>
        <sz val="11"/>
        <color theme="1"/>
        <name val="Calibri"/>
        <scheme val="none"/>
      </font>
      <numFmt numFmtId="164" formatCode="_-* #,##0_-;\-* #,##0_-;_-* &quot;-&quot;??_-;_-@_-"/>
    </dxf>
  </rfmt>
  <rfmt sheetId="1" sqref="AU597" start="0" length="0">
    <dxf>
      <font>
        <sz val="11"/>
        <color theme="1"/>
        <name val="Calibri"/>
        <scheme val="none"/>
      </font>
    </dxf>
  </rfmt>
  <rfmt sheetId="1" sqref="AV597" start="0" length="0">
    <dxf>
      <font>
        <sz val="11"/>
        <color theme="1"/>
        <name val="Calibri"/>
        <scheme val="none"/>
      </font>
    </dxf>
  </rfmt>
  <rfmt sheetId="1" sqref="AW597" start="0" length="0">
    <dxf>
      <font>
        <sz val="11"/>
        <color theme="1"/>
        <name val="Calibri"/>
        <scheme val="none"/>
      </font>
    </dxf>
  </rfmt>
  <rfmt sheetId="1" sqref="AX597" start="0" length="0">
    <dxf>
      <font>
        <sz val="11"/>
        <color theme="1"/>
        <name val="Calibri"/>
        <scheme val="none"/>
      </font>
    </dxf>
  </rfmt>
  <rfmt sheetId="1" sqref="AY597" start="0" length="0">
    <dxf>
      <font>
        <sz val="11"/>
        <color theme="1"/>
        <name val="Calibri"/>
        <scheme val="none"/>
      </font>
    </dxf>
  </rfmt>
  <rfmt sheetId="1" sqref="A597:XFD597" start="0" length="0">
    <dxf>
      <font>
        <sz val="11"/>
        <color theme="1"/>
        <name val="Calibri"/>
        <scheme val="none"/>
      </font>
    </dxf>
  </rfmt>
  <rfmt sheetId="1" sqref="A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9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9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9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9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98" start="0" length="0">
    <dxf>
      <font>
        <sz val="11"/>
        <color theme="1"/>
        <name val="Calibri"/>
        <scheme val="none"/>
      </font>
    </dxf>
  </rfmt>
  <rfmt sheetId="1" sqref="AM598" start="0" length="0">
    <dxf>
      <font>
        <sz val="11"/>
        <color theme="1"/>
        <name val="Calibri"/>
        <scheme val="none"/>
      </font>
      <numFmt numFmtId="1" formatCode="0"/>
    </dxf>
  </rfmt>
  <rfmt sheetId="1" sqref="AN598" start="0" length="0">
    <dxf>
      <font>
        <sz val="11"/>
        <color theme="1"/>
        <name val="Calibri"/>
        <scheme val="none"/>
      </font>
      <numFmt numFmtId="1" formatCode="0"/>
    </dxf>
  </rfmt>
  <rfmt sheetId="1" sqref="AO598" start="0" length="0">
    <dxf>
      <font>
        <sz val="11"/>
        <color theme="1"/>
        <name val="Calibri"/>
        <scheme val="none"/>
      </font>
    </dxf>
  </rfmt>
  <rfmt sheetId="1" sqref="AP598" start="0" length="0">
    <dxf>
      <font>
        <sz val="11"/>
        <color theme="1"/>
        <name val="Calibri"/>
        <scheme val="none"/>
      </font>
    </dxf>
  </rfmt>
  <rfmt sheetId="1" sqref="AQ598" start="0" length="0">
    <dxf>
      <font>
        <sz val="11"/>
        <color theme="1"/>
        <name val="Calibri"/>
        <scheme val="none"/>
      </font>
      <numFmt numFmtId="164" formatCode="_-* #,##0_-;\-* #,##0_-;_-* &quot;-&quot;??_-;_-@_-"/>
    </dxf>
  </rfmt>
  <rfmt sheetId="1" sqref="AR598" start="0" length="0">
    <dxf>
      <font>
        <sz val="11"/>
        <color theme="1"/>
        <name val="Calibri"/>
        <scheme val="none"/>
      </font>
      <numFmt numFmtId="164" formatCode="_-* #,##0_-;\-* #,##0_-;_-* &quot;-&quot;??_-;_-@_-"/>
    </dxf>
  </rfmt>
  <rfmt sheetId="1" sqref="AS598" start="0" length="0">
    <dxf>
      <font>
        <sz val="11"/>
        <color theme="1"/>
        <name val="Calibri"/>
        <scheme val="none"/>
      </font>
      <numFmt numFmtId="164" formatCode="_-* #,##0_-;\-* #,##0_-;_-* &quot;-&quot;??_-;_-@_-"/>
    </dxf>
  </rfmt>
  <rfmt sheetId="1" sqref="AT598" start="0" length="0">
    <dxf>
      <font>
        <sz val="11"/>
        <color theme="1"/>
        <name val="Calibri"/>
        <scheme val="none"/>
      </font>
      <numFmt numFmtId="164" formatCode="_-* #,##0_-;\-* #,##0_-;_-* &quot;-&quot;??_-;_-@_-"/>
    </dxf>
  </rfmt>
  <rfmt sheetId="1" sqref="AU598" start="0" length="0">
    <dxf>
      <font>
        <sz val="11"/>
        <color theme="1"/>
        <name val="Calibri"/>
        <scheme val="none"/>
      </font>
    </dxf>
  </rfmt>
  <rfmt sheetId="1" sqref="AV598" start="0" length="0">
    <dxf>
      <font>
        <sz val="11"/>
        <color theme="1"/>
        <name val="Calibri"/>
        <scheme val="none"/>
      </font>
    </dxf>
  </rfmt>
  <rfmt sheetId="1" sqref="AW598" start="0" length="0">
    <dxf>
      <font>
        <sz val="11"/>
        <color theme="1"/>
        <name val="Calibri"/>
        <scheme val="none"/>
      </font>
    </dxf>
  </rfmt>
  <rfmt sheetId="1" sqref="AX598" start="0" length="0">
    <dxf>
      <font>
        <sz val="11"/>
        <color theme="1"/>
        <name val="Calibri"/>
        <scheme val="none"/>
      </font>
    </dxf>
  </rfmt>
  <rfmt sheetId="1" sqref="AY598" start="0" length="0">
    <dxf>
      <font>
        <sz val="11"/>
        <color theme="1"/>
        <name val="Calibri"/>
        <scheme val="none"/>
      </font>
    </dxf>
  </rfmt>
  <rfmt sheetId="1" sqref="A598:XFD598" start="0" length="0">
    <dxf>
      <font>
        <sz val="11"/>
        <color theme="1"/>
        <name val="Calibri"/>
        <scheme val="none"/>
      </font>
    </dxf>
  </rfmt>
  <rfmt sheetId="1" sqref="A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5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5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5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5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5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5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59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5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59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5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59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59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599" start="0" length="0">
    <dxf>
      <font>
        <sz val="11"/>
        <color theme="1"/>
        <name val="Calibri"/>
        <scheme val="none"/>
      </font>
    </dxf>
  </rfmt>
  <rfmt sheetId="1" sqref="AM599" start="0" length="0">
    <dxf>
      <font>
        <sz val="11"/>
        <color theme="1"/>
        <name val="Calibri"/>
        <scheme val="none"/>
      </font>
      <numFmt numFmtId="1" formatCode="0"/>
    </dxf>
  </rfmt>
  <rfmt sheetId="1" sqref="AN599" start="0" length="0">
    <dxf>
      <font>
        <sz val="11"/>
        <color theme="1"/>
        <name val="Calibri"/>
        <scheme val="none"/>
      </font>
      <numFmt numFmtId="1" formatCode="0"/>
    </dxf>
  </rfmt>
  <rfmt sheetId="1" sqref="AO599" start="0" length="0">
    <dxf>
      <font>
        <sz val="11"/>
        <color theme="1"/>
        <name val="Calibri"/>
        <scheme val="none"/>
      </font>
    </dxf>
  </rfmt>
  <rfmt sheetId="1" sqref="AP599" start="0" length="0">
    <dxf>
      <font>
        <sz val="11"/>
        <color theme="1"/>
        <name val="Calibri"/>
        <scheme val="none"/>
      </font>
    </dxf>
  </rfmt>
  <rfmt sheetId="1" sqref="AQ599" start="0" length="0">
    <dxf>
      <font>
        <sz val="11"/>
        <color theme="1"/>
        <name val="Calibri"/>
        <scheme val="none"/>
      </font>
      <numFmt numFmtId="164" formatCode="_-* #,##0_-;\-* #,##0_-;_-* &quot;-&quot;??_-;_-@_-"/>
    </dxf>
  </rfmt>
  <rfmt sheetId="1" sqref="AR599" start="0" length="0">
    <dxf>
      <font>
        <sz val="11"/>
        <color theme="1"/>
        <name val="Calibri"/>
        <scheme val="none"/>
      </font>
      <numFmt numFmtId="164" formatCode="_-* #,##0_-;\-* #,##0_-;_-* &quot;-&quot;??_-;_-@_-"/>
    </dxf>
  </rfmt>
  <rfmt sheetId="1" sqref="AS599" start="0" length="0">
    <dxf>
      <font>
        <sz val="11"/>
        <color theme="1"/>
        <name val="Calibri"/>
        <scheme val="none"/>
      </font>
      <numFmt numFmtId="164" formatCode="_-* #,##0_-;\-* #,##0_-;_-* &quot;-&quot;??_-;_-@_-"/>
    </dxf>
  </rfmt>
  <rfmt sheetId="1" sqref="AT599" start="0" length="0">
    <dxf>
      <font>
        <sz val="11"/>
        <color theme="1"/>
        <name val="Calibri"/>
        <scheme val="none"/>
      </font>
      <numFmt numFmtId="164" formatCode="_-* #,##0_-;\-* #,##0_-;_-* &quot;-&quot;??_-;_-@_-"/>
    </dxf>
  </rfmt>
  <rfmt sheetId="1" sqref="AU599" start="0" length="0">
    <dxf>
      <font>
        <sz val="11"/>
        <color theme="1"/>
        <name val="Calibri"/>
        <scheme val="none"/>
      </font>
    </dxf>
  </rfmt>
  <rfmt sheetId="1" sqref="AV599" start="0" length="0">
    <dxf>
      <font>
        <sz val="11"/>
        <color theme="1"/>
        <name val="Calibri"/>
        <scheme val="none"/>
      </font>
    </dxf>
  </rfmt>
  <rfmt sheetId="1" sqref="AW599" start="0" length="0">
    <dxf>
      <font>
        <sz val="11"/>
        <color theme="1"/>
        <name val="Calibri"/>
        <scheme val="none"/>
      </font>
    </dxf>
  </rfmt>
  <rfmt sheetId="1" sqref="AX599" start="0" length="0">
    <dxf>
      <font>
        <sz val="11"/>
        <color theme="1"/>
        <name val="Calibri"/>
        <scheme val="none"/>
      </font>
    </dxf>
  </rfmt>
  <rfmt sheetId="1" sqref="AY599" start="0" length="0">
    <dxf>
      <font>
        <sz val="11"/>
        <color theme="1"/>
        <name val="Calibri"/>
        <scheme val="none"/>
      </font>
    </dxf>
  </rfmt>
  <rfmt sheetId="1" sqref="A599:XFD599" start="0" length="0">
    <dxf>
      <font>
        <sz val="11"/>
        <color theme="1"/>
        <name val="Calibri"/>
        <scheme val="none"/>
      </font>
    </dxf>
  </rfmt>
  <rfmt sheetId="1" sqref="A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0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0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0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0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00" start="0" length="0">
    <dxf>
      <font>
        <sz val="11"/>
        <color theme="1"/>
        <name val="Calibri"/>
        <scheme val="none"/>
      </font>
    </dxf>
  </rfmt>
  <rfmt sheetId="1" sqref="AM600" start="0" length="0">
    <dxf>
      <font>
        <sz val="11"/>
        <color theme="1"/>
        <name val="Calibri"/>
        <scheme val="none"/>
      </font>
      <numFmt numFmtId="1" formatCode="0"/>
    </dxf>
  </rfmt>
  <rfmt sheetId="1" sqref="AN600" start="0" length="0">
    <dxf>
      <font>
        <sz val="11"/>
        <color theme="1"/>
        <name val="Calibri"/>
        <scheme val="none"/>
      </font>
      <numFmt numFmtId="1" formatCode="0"/>
    </dxf>
  </rfmt>
  <rfmt sheetId="1" sqref="AO600" start="0" length="0">
    <dxf>
      <font>
        <sz val="11"/>
        <color theme="1"/>
        <name val="Calibri"/>
        <scheme val="none"/>
      </font>
    </dxf>
  </rfmt>
  <rfmt sheetId="1" sqref="AP600" start="0" length="0">
    <dxf>
      <font>
        <sz val="11"/>
        <color theme="1"/>
        <name val="Calibri"/>
        <scheme val="none"/>
      </font>
    </dxf>
  </rfmt>
  <rfmt sheetId="1" sqref="AQ600" start="0" length="0">
    <dxf>
      <font>
        <sz val="11"/>
        <color theme="1"/>
        <name val="Calibri"/>
        <scheme val="none"/>
      </font>
      <numFmt numFmtId="164" formatCode="_-* #,##0_-;\-* #,##0_-;_-* &quot;-&quot;??_-;_-@_-"/>
    </dxf>
  </rfmt>
  <rfmt sheetId="1" sqref="AR600" start="0" length="0">
    <dxf>
      <font>
        <sz val="11"/>
        <color theme="1"/>
        <name val="Calibri"/>
        <scheme val="none"/>
      </font>
      <numFmt numFmtId="164" formatCode="_-* #,##0_-;\-* #,##0_-;_-* &quot;-&quot;??_-;_-@_-"/>
    </dxf>
  </rfmt>
  <rfmt sheetId="1" sqref="AS600" start="0" length="0">
    <dxf>
      <font>
        <sz val="11"/>
        <color theme="1"/>
        <name val="Calibri"/>
        <scheme val="none"/>
      </font>
      <numFmt numFmtId="164" formatCode="_-* #,##0_-;\-* #,##0_-;_-* &quot;-&quot;??_-;_-@_-"/>
    </dxf>
  </rfmt>
  <rfmt sheetId="1" sqref="AT600" start="0" length="0">
    <dxf>
      <font>
        <sz val="11"/>
        <color theme="1"/>
        <name val="Calibri"/>
        <scheme val="none"/>
      </font>
      <numFmt numFmtId="164" formatCode="_-* #,##0_-;\-* #,##0_-;_-* &quot;-&quot;??_-;_-@_-"/>
    </dxf>
  </rfmt>
  <rfmt sheetId="1" sqref="AU600" start="0" length="0">
    <dxf>
      <font>
        <sz val="11"/>
        <color theme="1"/>
        <name val="Calibri"/>
        <scheme val="none"/>
      </font>
    </dxf>
  </rfmt>
  <rfmt sheetId="1" sqref="AV600" start="0" length="0">
    <dxf>
      <font>
        <sz val="11"/>
        <color theme="1"/>
        <name val="Calibri"/>
        <scheme val="none"/>
      </font>
    </dxf>
  </rfmt>
  <rfmt sheetId="1" sqref="AW600" start="0" length="0">
    <dxf>
      <font>
        <sz val="11"/>
        <color theme="1"/>
        <name val="Calibri"/>
        <scheme val="none"/>
      </font>
    </dxf>
  </rfmt>
  <rfmt sheetId="1" sqref="AX600" start="0" length="0">
    <dxf>
      <font>
        <sz val="11"/>
        <color theme="1"/>
        <name val="Calibri"/>
        <scheme val="none"/>
      </font>
    </dxf>
  </rfmt>
  <rfmt sheetId="1" sqref="AY600" start="0" length="0">
    <dxf>
      <font>
        <sz val="11"/>
        <color theme="1"/>
        <name val="Calibri"/>
        <scheme val="none"/>
      </font>
    </dxf>
  </rfmt>
  <rfmt sheetId="1" sqref="A600:XFD600" start="0" length="0">
    <dxf>
      <font>
        <sz val="11"/>
        <color theme="1"/>
        <name val="Calibri"/>
        <scheme val="none"/>
      </font>
    </dxf>
  </rfmt>
  <rfmt sheetId="1" sqref="A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0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0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0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0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01" start="0" length="0">
    <dxf>
      <font>
        <sz val="11"/>
        <color theme="1"/>
        <name val="Calibri"/>
        <scheme val="none"/>
      </font>
    </dxf>
  </rfmt>
  <rfmt sheetId="1" sqref="AM601" start="0" length="0">
    <dxf>
      <font>
        <sz val="11"/>
        <color theme="1"/>
        <name val="Calibri"/>
        <scheme val="none"/>
      </font>
      <numFmt numFmtId="1" formatCode="0"/>
    </dxf>
  </rfmt>
  <rfmt sheetId="1" sqref="AN601" start="0" length="0">
    <dxf>
      <font>
        <sz val="11"/>
        <color theme="1"/>
        <name val="Calibri"/>
        <scheme val="none"/>
      </font>
      <numFmt numFmtId="1" formatCode="0"/>
    </dxf>
  </rfmt>
  <rfmt sheetId="1" sqref="AO601" start="0" length="0">
    <dxf>
      <font>
        <sz val="11"/>
        <color theme="1"/>
        <name val="Calibri"/>
        <scheme val="none"/>
      </font>
    </dxf>
  </rfmt>
  <rfmt sheetId="1" sqref="AP601" start="0" length="0">
    <dxf>
      <font>
        <sz val="11"/>
        <color theme="1"/>
        <name val="Calibri"/>
        <scheme val="none"/>
      </font>
    </dxf>
  </rfmt>
  <rfmt sheetId="1" sqref="AQ601" start="0" length="0">
    <dxf>
      <font>
        <sz val="11"/>
        <color theme="1"/>
        <name val="Calibri"/>
        <scheme val="none"/>
      </font>
      <numFmt numFmtId="164" formatCode="_-* #,##0_-;\-* #,##0_-;_-* &quot;-&quot;??_-;_-@_-"/>
    </dxf>
  </rfmt>
  <rfmt sheetId="1" sqref="AR601" start="0" length="0">
    <dxf>
      <font>
        <sz val="11"/>
        <color theme="1"/>
        <name val="Calibri"/>
        <scheme val="none"/>
      </font>
      <numFmt numFmtId="164" formatCode="_-* #,##0_-;\-* #,##0_-;_-* &quot;-&quot;??_-;_-@_-"/>
    </dxf>
  </rfmt>
  <rfmt sheetId="1" sqref="AS601" start="0" length="0">
    <dxf>
      <font>
        <sz val="11"/>
        <color theme="1"/>
        <name val="Calibri"/>
        <scheme val="none"/>
      </font>
      <numFmt numFmtId="164" formatCode="_-* #,##0_-;\-* #,##0_-;_-* &quot;-&quot;??_-;_-@_-"/>
    </dxf>
  </rfmt>
  <rfmt sheetId="1" sqref="AT601" start="0" length="0">
    <dxf>
      <font>
        <sz val="11"/>
        <color theme="1"/>
        <name val="Calibri"/>
        <scheme val="none"/>
      </font>
      <numFmt numFmtId="164" formatCode="_-* #,##0_-;\-* #,##0_-;_-* &quot;-&quot;??_-;_-@_-"/>
    </dxf>
  </rfmt>
  <rfmt sheetId="1" sqref="AU601" start="0" length="0">
    <dxf>
      <font>
        <sz val="11"/>
        <color theme="1"/>
        <name val="Calibri"/>
        <scheme val="none"/>
      </font>
    </dxf>
  </rfmt>
  <rfmt sheetId="1" sqref="AV601" start="0" length="0">
    <dxf>
      <font>
        <sz val="11"/>
        <color theme="1"/>
        <name val="Calibri"/>
        <scheme val="none"/>
      </font>
    </dxf>
  </rfmt>
  <rfmt sheetId="1" sqref="AW601" start="0" length="0">
    <dxf>
      <font>
        <sz val="11"/>
        <color theme="1"/>
        <name val="Calibri"/>
        <scheme val="none"/>
      </font>
    </dxf>
  </rfmt>
  <rfmt sheetId="1" sqref="AX601" start="0" length="0">
    <dxf>
      <font>
        <sz val="11"/>
        <color theme="1"/>
        <name val="Calibri"/>
        <scheme val="none"/>
      </font>
    </dxf>
  </rfmt>
  <rfmt sheetId="1" sqref="AY601" start="0" length="0">
    <dxf>
      <font>
        <sz val="11"/>
        <color theme="1"/>
        <name val="Calibri"/>
        <scheme val="none"/>
      </font>
    </dxf>
  </rfmt>
  <rfmt sheetId="1" sqref="A601:XFD601" start="0" length="0">
    <dxf>
      <font>
        <sz val="11"/>
        <color theme="1"/>
        <name val="Calibri"/>
        <scheme val="none"/>
      </font>
    </dxf>
  </rfmt>
  <rfmt sheetId="1" sqref="A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0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0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0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0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02" start="0" length="0">
    <dxf>
      <font>
        <sz val="11"/>
        <color theme="1"/>
        <name val="Calibri"/>
        <scheme val="none"/>
      </font>
    </dxf>
  </rfmt>
  <rfmt sheetId="1" sqref="AM602" start="0" length="0">
    <dxf>
      <font>
        <sz val="11"/>
        <color theme="1"/>
        <name val="Calibri"/>
        <scheme val="none"/>
      </font>
      <numFmt numFmtId="1" formatCode="0"/>
    </dxf>
  </rfmt>
  <rfmt sheetId="1" sqref="AN602" start="0" length="0">
    <dxf>
      <font>
        <sz val="11"/>
        <color theme="1"/>
        <name val="Calibri"/>
        <scheme val="none"/>
      </font>
      <numFmt numFmtId="1" formatCode="0"/>
    </dxf>
  </rfmt>
  <rfmt sheetId="1" sqref="AO602" start="0" length="0">
    <dxf>
      <font>
        <sz val="11"/>
        <color theme="1"/>
        <name val="Calibri"/>
        <scheme val="none"/>
      </font>
    </dxf>
  </rfmt>
  <rfmt sheetId="1" sqref="AP602" start="0" length="0">
    <dxf>
      <font>
        <sz val="11"/>
        <color theme="1"/>
        <name val="Calibri"/>
        <scheme val="none"/>
      </font>
    </dxf>
  </rfmt>
  <rfmt sheetId="1" sqref="AQ602" start="0" length="0">
    <dxf>
      <font>
        <sz val="11"/>
        <color theme="1"/>
        <name val="Calibri"/>
        <scheme val="none"/>
      </font>
      <numFmt numFmtId="164" formatCode="_-* #,##0_-;\-* #,##0_-;_-* &quot;-&quot;??_-;_-@_-"/>
    </dxf>
  </rfmt>
  <rfmt sheetId="1" sqref="AR602" start="0" length="0">
    <dxf>
      <font>
        <sz val="11"/>
        <color theme="1"/>
        <name val="Calibri"/>
        <scheme val="none"/>
      </font>
      <numFmt numFmtId="164" formatCode="_-* #,##0_-;\-* #,##0_-;_-* &quot;-&quot;??_-;_-@_-"/>
    </dxf>
  </rfmt>
  <rfmt sheetId="1" sqref="AS602" start="0" length="0">
    <dxf>
      <font>
        <sz val="11"/>
        <color theme="1"/>
        <name val="Calibri"/>
        <scheme val="none"/>
      </font>
      <numFmt numFmtId="164" formatCode="_-* #,##0_-;\-* #,##0_-;_-* &quot;-&quot;??_-;_-@_-"/>
    </dxf>
  </rfmt>
  <rfmt sheetId="1" sqref="AT602" start="0" length="0">
    <dxf>
      <font>
        <sz val="11"/>
        <color theme="1"/>
        <name val="Calibri"/>
        <scheme val="none"/>
      </font>
      <numFmt numFmtId="164" formatCode="_-* #,##0_-;\-* #,##0_-;_-* &quot;-&quot;??_-;_-@_-"/>
    </dxf>
  </rfmt>
  <rfmt sheetId="1" sqref="AU602" start="0" length="0">
    <dxf>
      <font>
        <sz val="11"/>
        <color theme="1"/>
        <name val="Calibri"/>
        <scheme val="none"/>
      </font>
    </dxf>
  </rfmt>
  <rfmt sheetId="1" sqref="AV602" start="0" length="0">
    <dxf>
      <font>
        <sz val="11"/>
        <color theme="1"/>
        <name val="Calibri"/>
        <scheme val="none"/>
      </font>
    </dxf>
  </rfmt>
  <rfmt sheetId="1" sqref="AW602" start="0" length="0">
    <dxf>
      <font>
        <sz val="11"/>
        <color theme="1"/>
        <name val="Calibri"/>
        <scheme val="none"/>
      </font>
    </dxf>
  </rfmt>
  <rfmt sheetId="1" sqref="AX602" start="0" length="0">
    <dxf>
      <font>
        <sz val="11"/>
        <color theme="1"/>
        <name val="Calibri"/>
        <scheme val="none"/>
      </font>
    </dxf>
  </rfmt>
  <rfmt sheetId="1" sqref="AY602" start="0" length="0">
    <dxf>
      <font>
        <sz val="11"/>
        <color theme="1"/>
        <name val="Calibri"/>
        <scheme val="none"/>
      </font>
    </dxf>
  </rfmt>
  <rfmt sheetId="1" sqref="A602:XFD602" start="0" length="0">
    <dxf>
      <font>
        <sz val="11"/>
        <color theme="1"/>
        <name val="Calibri"/>
        <scheme val="none"/>
      </font>
    </dxf>
  </rfmt>
  <rfmt sheetId="1" sqref="A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0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0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0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0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03" start="0" length="0">
    <dxf>
      <font>
        <sz val="11"/>
        <color theme="1"/>
        <name val="Calibri"/>
        <scheme val="none"/>
      </font>
    </dxf>
  </rfmt>
  <rfmt sheetId="1" sqref="AM603" start="0" length="0">
    <dxf>
      <font>
        <sz val="11"/>
        <color theme="1"/>
        <name val="Calibri"/>
        <scheme val="none"/>
      </font>
      <numFmt numFmtId="1" formatCode="0"/>
    </dxf>
  </rfmt>
  <rfmt sheetId="1" sqref="AN603" start="0" length="0">
    <dxf>
      <font>
        <sz val="11"/>
        <color theme="1"/>
        <name val="Calibri"/>
        <scheme val="none"/>
      </font>
      <numFmt numFmtId="1" formatCode="0"/>
    </dxf>
  </rfmt>
  <rfmt sheetId="1" sqref="AO603" start="0" length="0">
    <dxf>
      <font>
        <sz val="11"/>
        <color theme="1"/>
        <name val="Calibri"/>
        <scheme val="none"/>
      </font>
    </dxf>
  </rfmt>
  <rfmt sheetId="1" sqref="AP603" start="0" length="0">
    <dxf>
      <font>
        <sz val="11"/>
        <color theme="1"/>
        <name val="Calibri"/>
        <scheme val="none"/>
      </font>
    </dxf>
  </rfmt>
  <rfmt sheetId="1" sqref="AQ603" start="0" length="0">
    <dxf>
      <font>
        <sz val="11"/>
        <color theme="1"/>
        <name val="Calibri"/>
        <scheme val="none"/>
      </font>
      <numFmt numFmtId="164" formatCode="_-* #,##0_-;\-* #,##0_-;_-* &quot;-&quot;??_-;_-@_-"/>
    </dxf>
  </rfmt>
  <rfmt sheetId="1" sqref="AR603" start="0" length="0">
    <dxf>
      <font>
        <sz val="11"/>
        <color theme="1"/>
        <name val="Calibri"/>
        <scheme val="none"/>
      </font>
      <numFmt numFmtId="164" formatCode="_-* #,##0_-;\-* #,##0_-;_-* &quot;-&quot;??_-;_-@_-"/>
    </dxf>
  </rfmt>
  <rfmt sheetId="1" sqref="AS603" start="0" length="0">
    <dxf>
      <font>
        <sz val="11"/>
        <color theme="1"/>
        <name val="Calibri"/>
        <scheme val="none"/>
      </font>
      <numFmt numFmtId="164" formatCode="_-* #,##0_-;\-* #,##0_-;_-* &quot;-&quot;??_-;_-@_-"/>
    </dxf>
  </rfmt>
  <rfmt sheetId="1" sqref="AT603" start="0" length="0">
    <dxf>
      <font>
        <sz val="11"/>
        <color theme="1"/>
        <name val="Calibri"/>
        <scheme val="none"/>
      </font>
      <numFmt numFmtId="164" formatCode="_-* #,##0_-;\-* #,##0_-;_-* &quot;-&quot;??_-;_-@_-"/>
    </dxf>
  </rfmt>
  <rfmt sheetId="1" sqref="AU603" start="0" length="0">
    <dxf>
      <font>
        <sz val="11"/>
        <color theme="1"/>
        <name val="Calibri"/>
        <scheme val="none"/>
      </font>
    </dxf>
  </rfmt>
  <rfmt sheetId="1" sqref="AV603" start="0" length="0">
    <dxf>
      <font>
        <sz val="11"/>
        <color theme="1"/>
        <name val="Calibri"/>
        <scheme val="none"/>
      </font>
    </dxf>
  </rfmt>
  <rfmt sheetId="1" sqref="AW603" start="0" length="0">
    <dxf>
      <font>
        <sz val="11"/>
        <color theme="1"/>
        <name val="Calibri"/>
        <scheme val="none"/>
      </font>
    </dxf>
  </rfmt>
  <rfmt sheetId="1" sqref="AX603" start="0" length="0">
    <dxf>
      <font>
        <sz val="11"/>
        <color theme="1"/>
        <name val="Calibri"/>
        <scheme val="none"/>
      </font>
    </dxf>
  </rfmt>
  <rfmt sheetId="1" sqref="AY603" start="0" length="0">
    <dxf>
      <font>
        <sz val="11"/>
        <color theme="1"/>
        <name val="Calibri"/>
        <scheme val="none"/>
      </font>
    </dxf>
  </rfmt>
  <rfmt sheetId="1" sqref="A603:XFD603" start="0" length="0">
    <dxf>
      <font>
        <sz val="11"/>
        <color theme="1"/>
        <name val="Calibri"/>
        <scheme val="none"/>
      </font>
    </dxf>
  </rfmt>
  <rfmt sheetId="1" sqref="A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0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0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0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0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04" start="0" length="0">
    <dxf>
      <font>
        <sz val="11"/>
        <color theme="1"/>
        <name val="Calibri"/>
        <scheme val="none"/>
      </font>
    </dxf>
  </rfmt>
  <rfmt sheetId="1" sqref="AM604" start="0" length="0">
    <dxf>
      <font>
        <sz val="11"/>
        <color theme="1"/>
        <name val="Calibri"/>
        <scheme val="none"/>
      </font>
      <numFmt numFmtId="1" formatCode="0"/>
    </dxf>
  </rfmt>
  <rfmt sheetId="1" sqref="AN604" start="0" length="0">
    <dxf>
      <font>
        <sz val="11"/>
        <color theme="1"/>
        <name val="Calibri"/>
        <scheme val="none"/>
      </font>
      <numFmt numFmtId="1" formatCode="0"/>
    </dxf>
  </rfmt>
  <rfmt sheetId="1" sqref="AO604" start="0" length="0">
    <dxf>
      <font>
        <sz val="11"/>
        <color theme="1"/>
        <name val="Calibri"/>
        <scheme val="none"/>
      </font>
    </dxf>
  </rfmt>
  <rfmt sheetId="1" sqref="AP604" start="0" length="0">
    <dxf>
      <font>
        <sz val="11"/>
        <color theme="1"/>
        <name val="Calibri"/>
        <scheme val="none"/>
      </font>
    </dxf>
  </rfmt>
  <rfmt sheetId="1" sqref="AQ604" start="0" length="0">
    <dxf>
      <font>
        <sz val="11"/>
        <color theme="1"/>
        <name val="Calibri"/>
        <scheme val="none"/>
      </font>
      <numFmt numFmtId="164" formatCode="_-* #,##0_-;\-* #,##0_-;_-* &quot;-&quot;??_-;_-@_-"/>
    </dxf>
  </rfmt>
  <rfmt sheetId="1" sqref="AR604" start="0" length="0">
    <dxf>
      <font>
        <sz val="11"/>
        <color theme="1"/>
        <name val="Calibri"/>
        <scheme val="none"/>
      </font>
      <numFmt numFmtId="164" formatCode="_-* #,##0_-;\-* #,##0_-;_-* &quot;-&quot;??_-;_-@_-"/>
    </dxf>
  </rfmt>
  <rfmt sheetId="1" sqref="AS604" start="0" length="0">
    <dxf>
      <font>
        <sz val="11"/>
        <color theme="1"/>
        <name val="Calibri"/>
        <scheme val="none"/>
      </font>
      <numFmt numFmtId="164" formatCode="_-* #,##0_-;\-* #,##0_-;_-* &quot;-&quot;??_-;_-@_-"/>
    </dxf>
  </rfmt>
  <rfmt sheetId="1" sqref="AT604" start="0" length="0">
    <dxf>
      <font>
        <sz val="11"/>
        <color theme="1"/>
        <name val="Calibri"/>
        <scheme val="none"/>
      </font>
      <numFmt numFmtId="164" formatCode="_-* #,##0_-;\-* #,##0_-;_-* &quot;-&quot;??_-;_-@_-"/>
    </dxf>
  </rfmt>
  <rfmt sheetId="1" sqref="AU604" start="0" length="0">
    <dxf>
      <font>
        <sz val="11"/>
        <color theme="1"/>
        <name val="Calibri"/>
        <scheme val="none"/>
      </font>
    </dxf>
  </rfmt>
  <rfmt sheetId="1" sqref="AV604" start="0" length="0">
    <dxf>
      <font>
        <sz val="11"/>
        <color theme="1"/>
        <name val="Calibri"/>
        <scheme val="none"/>
      </font>
    </dxf>
  </rfmt>
  <rfmt sheetId="1" sqref="AW604" start="0" length="0">
    <dxf>
      <font>
        <sz val="11"/>
        <color theme="1"/>
        <name val="Calibri"/>
        <scheme val="none"/>
      </font>
    </dxf>
  </rfmt>
  <rfmt sheetId="1" sqref="AX604" start="0" length="0">
    <dxf>
      <font>
        <sz val="11"/>
        <color theme="1"/>
        <name val="Calibri"/>
        <scheme val="none"/>
      </font>
    </dxf>
  </rfmt>
  <rfmt sheetId="1" sqref="AY604" start="0" length="0">
    <dxf>
      <font>
        <sz val="11"/>
        <color theme="1"/>
        <name val="Calibri"/>
        <scheme val="none"/>
      </font>
    </dxf>
  </rfmt>
  <rfmt sheetId="1" sqref="A604:XFD604" start="0" length="0">
    <dxf>
      <font>
        <sz val="11"/>
        <color theme="1"/>
        <name val="Calibri"/>
        <scheme val="none"/>
      </font>
    </dxf>
  </rfmt>
  <rfmt sheetId="1" sqref="A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0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0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0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0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05" start="0" length="0">
    <dxf>
      <font>
        <sz val="11"/>
        <color theme="1"/>
        <name val="Calibri"/>
        <scheme val="none"/>
      </font>
    </dxf>
  </rfmt>
  <rfmt sheetId="1" sqref="AM605" start="0" length="0">
    <dxf>
      <font>
        <sz val="11"/>
        <color theme="1"/>
        <name val="Calibri"/>
        <scheme val="none"/>
      </font>
      <numFmt numFmtId="1" formatCode="0"/>
    </dxf>
  </rfmt>
  <rfmt sheetId="1" sqref="AN605" start="0" length="0">
    <dxf>
      <font>
        <sz val="11"/>
        <color theme="1"/>
        <name val="Calibri"/>
        <scheme val="none"/>
      </font>
      <numFmt numFmtId="1" formatCode="0"/>
    </dxf>
  </rfmt>
  <rfmt sheetId="1" sqref="AO605" start="0" length="0">
    <dxf>
      <font>
        <sz val="11"/>
        <color theme="1"/>
        <name val="Calibri"/>
        <scheme val="none"/>
      </font>
    </dxf>
  </rfmt>
  <rfmt sheetId="1" sqref="AP605" start="0" length="0">
    <dxf>
      <font>
        <sz val="11"/>
        <color theme="1"/>
        <name val="Calibri"/>
        <scheme val="none"/>
      </font>
    </dxf>
  </rfmt>
  <rfmt sheetId="1" sqref="AQ605" start="0" length="0">
    <dxf>
      <font>
        <sz val="11"/>
        <color theme="1"/>
        <name val="Calibri"/>
        <scheme val="none"/>
      </font>
      <numFmt numFmtId="164" formatCode="_-* #,##0_-;\-* #,##0_-;_-* &quot;-&quot;??_-;_-@_-"/>
    </dxf>
  </rfmt>
  <rfmt sheetId="1" sqref="AR605" start="0" length="0">
    <dxf>
      <font>
        <sz val="11"/>
        <color theme="1"/>
        <name val="Calibri"/>
        <scheme val="none"/>
      </font>
      <numFmt numFmtId="164" formatCode="_-* #,##0_-;\-* #,##0_-;_-* &quot;-&quot;??_-;_-@_-"/>
    </dxf>
  </rfmt>
  <rfmt sheetId="1" sqref="AS605" start="0" length="0">
    <dxf>
      <font>
        <sz val="11"/>
        <color theme="1"/>
        <name val="Calibri"/>
        <scheme val="none"/>
      </font>
      <numFmt numFmtId="164" formatCode="_-* #,##0_-;\-* #,##0_-;_-* &quot;-&quot;??_-;_-@_-"/>
    </dxf>
  </rfmt>
  <rfmt sheetId="1" sqref="AT605" start="0" length="0">
    <dxf>
      <font>
        <sz val="11"/>
        <color theme="1"/>
        <name val="Calibri"/>
        <scheme val="none"/>
      </font>
      <numFmt numFmtId="164" formatCode="_-* #,##0_-;\-* #,##0_-;_-* &quot;-&quot;??_-;_-@_-"/>
    </dxf>
  </rfmt>
  <rfmt sheetId="1" sqref="AU605" start="0" length="0">
    <dxf>
      <font>
        <sz val="11"/>
        <color theme="1"/>
        <name val="Calibri"/>
        <scheme val="none"/>
      </font>
    </dxf>
  </rfmt>
  <rfmt sheetId="1" sqref="AV605" start="0" length="0">
    <dxf>
      <font>
        <sz val="11"/>
        <color theme="1"/>
        <name val="Calibri"/>
        <scheme val="none"/>
      </font>
    </dxf>
  </rfmt>
  <rfmt sheetId="1" sqref="AW605" start="0" length="0">
    <dxf>
      <font>
        <sz val="11"/>
        <color theme="1"/>
        <name val="Calibri"/>
        <scheme val="none"/>
      </font>
    </dxf>
  </rfmt>
  <rfmt sheetId="1" sqref="AX605" start="0" length="0">
    <dxf>
      <font>
        <sz val="11"/>
        <color theme="1"/>
        <name val="Calibri"/>
        <scheme val="none"/>
      </font>
    </dxf>
  </rfmt>
  <rfmt sheetId="1" sqref="AY605" start="0" length="0">
    <dxf>
      <font>
        <sz val="11"/>
        <color theme="1"/>
        <name val="Calibri"/>
        <scheme val="none"/>
      </font>
    </dxf>
  </rfmt>
  <rfmt sheetId="1" sqref="A605:XFD605" start="0" length="0">
    <dxf>
      <font>
        <sz val="11"/>
        <color theme="1"/>
        <name val="Calibri"/>
        <scheme val="none"/>
      </font>
    </dxf>
  </rfmt>
  <rfmt sheetId="1" sqref="A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0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0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0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0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06" start="0" length="0">
    <dxf>
      <font>
        <sz val="11"/>
        <color theme="1"/>
        <name val="Calibri"/>
        <scheme val="none"/>
      </font>
    </dxf>
  </rfmt>
  <rfmt sheetId="1" sqref="AM606" start="0" length="0">
    <dxf>
      <font>
        <sz val="11"/>
        <color theme="1"/>
        <name val="Calibri"/>
        <scheme val="none"/>
      </font>
      <numFmt numFmtId="1" formatCode="0"/>
    </dxf>
  </rfmt>
  <rfmt sheetId="1" sqref="AN606" start="0" length="0">
    <dxf>
      <font>
        <sz val="11"/>
        <color theme="1"/>
        <name val="Calibri"/>
        <scheme val="none"/>
      </font>
      <numFmt numFmtId="1" formatCode="0"/>
    </dxf>
  </rfmt>
  <rfmt sheetId="1" sqref="AO606" start="0" length="0">
    <dxf>
      <font>
        <sz val="11"/>
        <color theme="1"/>
        <name val="Calibri"/>
        <scheme val="none"/>
      </font>
    </dxf>
  </rfmt>
  <rfmt sheetId="1" sqref="AP606" start="0" length="0">
    <dxf>
      <font>
        <sz val="11"/>
        <color theme="1"/>
        <name val="Calibri"/>
        <scheme val="none"/>
      </font>
    </dxf>
  </rfmt>
  <rfmt sheetId="1" sqref="AQ606" start="0" length="0">
    <dxf>
      <font>
        <sz val="11"/>
        <color theme="1"/>
        <name val="Calibri"/>
        <scheme val="none"/>
      </font>
      <numFmt numFmtId="164" formatCode="_-* #,##0_-;\-* #,##0_-;_-* &quot;-&quot;??_-;_-@_-"/>
    </dxf>
  </rfmt>
  <rfmt sheetId="1" sqref="AR606" start="0" length="0">
    <dxf>
      <font>
        <sz val="11"/>
        <color theme="1"/>
        <name val="Calibri"/>
        <scheme val="none"/>
      </font>
      <numFmt numFmtId="164" formatCode="_-* #,##0_-;\-* #,##0_-;_-* &quot;-&quot;??_-;_-@_-"/>
    </dxf>
  </rfmt>
  <rfmt sheetId="1" sqref="AS606" start="0" length="0">
    <dxf>
      <font>
        <sz val="11"/>
        <color theme="1"/>
        <name val="Calibri"/>
        <scheme val="none"/>
      </font>
      <numFmt numFmtId="164" formatCode="_-* #,##0_-;\-* #,##0_-;_-* &quot;-&quot;??_-;_-@_-"/>
    </dxf>
  </rfmt>
  <rfmt sheetId="1" sqref="AT606" start="0" length="0">
    <dxf>
      <font>
        <sz val="11"/>
        <color theme="1"/>
        <name val="Calibri"/>
        <scheme val="none"/>
      </font>
      <numFmt numFmtId="164" formatCode="_-* #,##0_-;\-* #,##0_-;_-* &quot;-&quot;??_-;_-@_-"/>
    </dxf>
  </rfmt>
  <rfmt sheetId="1" sqref="AU606" start="0" length="0">
    <dxf>
      <font>
        <sz val="11"/>
        <color theme="1"/>
        <name val="Calibri"/>
        <scheme val="none"/>
      </font>
    </dxf>
  </rfmt>
  <rfmt sheetId="1" sqref="AV606" start="0" length="0">
    <dxf>
      <font>
        <sz val="11"/>
        <color theme="1"/>
        <name val="Calibri"/>
        <scheme val="none"/>
      </font>
    </dxf>
  </rfmt>
  <rfmt sheetId="1" sqref="AW606" start="0" length="0">
    <dxf>
      <font>
        <sz val="11"/>
        <color theme="1"/>
        <name val="Calibri"/>
        <scheme val="none"/>
      </font>
    </dxf>
  </rfmt>
  <rfmt sheetId="1" sqref="AX606" start="0" length="0">
    <dxf>
      <font>
        <sz val="11"/>
        <color theme="1"/>
        <name val="Calibri"/>
        <scheme val="none"/>
      </font>
    </dxf>
  </rfmt>
  <rfmt sheetId="1" sqref="AY606" start="0" length="0">
    <dxf>
      <font>
        <sz val="11"/>
        <color theme="1"/>
        <name val="Calibri"/>
        <scheme val="none"/>
      </font>
    </dxf>
  </rfmt>
  <rfmt sheetId="1" sqref="A606:XFD606" start="0" length="0">
    <dxf>
      <font>
        <sz val="11"/>
        <color theme="1"/>
        <name val="Calibri"/>
        <scheme val="none"/>
      </font>
    </dxf>
  </rfmt>
  <rfmt sheetId="1" sqref="A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0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0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0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0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07" start="0" length="0">
    <dxf>
      <font>
        <sz val="11"/>
        <color theme="1"/>
        <name val="Calibri"/>
        <scheme val="none"/>
      </font>
    </dxf>
  </rfmt>
  <rfmt sheetId="1" sqref="AM607" start="0" length="0">
    <dxf>
      <font>
        <sz val="11"/>
        <color theme="1"/>
        <name val="Calibri"/>
        <scheme val="none"/>
      </font>
      <numFmt numFmtId="1" formatCode="0"/>
    </dxf>
  </rfmt>
  <rfmt sheetId="1" sqref="AN607" start="0" length="0">
    <dxf>
      <font>
        <sz val="11"/>
        <color theme="1"/>
        <name val="Calibri"/>
        <scheme val="none"/>
      </font>
      <numFmt numFmtId="1" formatCode="0"/>
    </dxf>
  </rfmt>
  <rfmt sheetId="1" sqref="AO607" start="0" length="0">
    <dxf>
      <font>
        <sz val="11"/>
        <color theme="1"/>
        <name val="Calibri"/>
        <scheme val="none"/>
      </font>
    </dxf>
  </rfmt>
  <rfmt sheetId="1" sqref="AP607" start="0" length="0">
    <dxf>
      <font>
        <sz val="11"/>
        <color theme="1"/>
        <name val="Calibri"/>
        <scheme val="none"/>
      </font>
    </dxf>
  </rfmt>
  <rfmt sheetId="1" sqref="AQ607" start="0" length="0">
    <dxf>
      <font>
        <sz val="11"/>
        <color theme="1"/>
        <name val="Calibri"/>
        <scheme val="none"/>
      </font>
      <numFmt numFmtId="164" formatCode="_-* #,##0_-;\-* #,##0_-;_-* &quot;-&quot;??_-;_-@_-"/>
    </dxf>
  </rfmt>
  <rfmt sheetId="1" sqref="AR607" start="0" length="0">
    <dxf>
      <font>
        <sz val="11"/>
        <color theme="1"/>
        <name val="Calibri"/>
        <scheme val="none"/>
      </font>
      <numFmt numFmtId="164" formatCode="_-* #,##0_-;\-* #,##0_-;_-* &quot;-&quot;??_-;_-@_-"/>
    </dxf>
  </rfmt>
  <rfmt sheetId="1" sqref="AS607" start="0" length="0">
    <dxf>
      <font>
        <sz val="11"/>
        <color theme="1"/>
        <name val="Calibri"/>
        <scheme val="none"/>
      </font>
      <numFmt numFmtId="164" formatCode="_-* #,##0_-;\-* #,##0_-;_-* &quot;-&quot;??_-;_-@_-"/>
    </dxf>
  </rfmt>
  <rfmt sheetId="1" sqref="AT607" start="0" length="0">
    <dxf>
      <font>
        <sz val="11"/>
        <color theme="1"/>
        <name val="Calibri"/>
        <scheme val="none"/>
      </font>
      <numFmt numFmtId="164" formatCode="_-* #,##0_-;\-* #,##0_-;_-* &quot;-&quot;??_-;_-@_-"/>
    </dxf>
  </rfmt>
  <rfmt sheetId="1" sqref="AU607" start="0" length="0">
    <dxf>
      <font>
        <sz val="11"/>
        <color theme="1"/>
        <name val="Calibri"/>
        <scheme val="none"/>
      </font>
    </dxf>
  </rfmt>
  <rfmt sheetId="1" sqref="AV607" start="0" length="0">
    <dxf>
      <font>
        <sz val="11"/>
        <color theme="1"/>
        <name val="Calibri"/>
        <scheme val="none"/>
      </font>
    </dxf>
  </rfmt>
  <rfmt sheetId="1" sqref="AW607" start="0" length="0">
    <dxf>
      <font>
        <sz val="11"/>
        <color theme="1"/>
        <name val="Calibri"/>
        <scheme val="none"/>
      </font>
    </dxf>
  </rfmt>
  <rfmt sheetId="1" sqref="AX607" start="0" length="0">
    <dxf>
      <font>
        <sz val="11"/>
        <color theme="1"/>
        <name val="Calibri"/>
        <scheme val="none"/>
      </font>
    </dxf>
  </rfmt>
  <rfmt sheetId="1" sqref="AY607" start="0" length="0">
    <dxf>
      <font>
        <sz val="11"/>
        <color theme="1"/>
        <name val="Calibri"/>
        <scheme val="none"/>
      </font>
    </dxf>
  </rfmt>
  <rfmt sheetId="1" sqref="A607:XFD607" start="0" length="0">
    <dxf>
      <font>
        <sz val="11"/>
        <color theme="1"/>
        <name val="Calibri"/>
        <scheme val="none"/>
      </font>
    </dxf>
  </rfmt>
  <rfmt sheetId="1" sqref="A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0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0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0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0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08" start="0" length="0">
    <dxf>
      <font>
        <sz val="11"/>
        <color theme="1"/>
        <name val="Calibri"/>
        <scheme val="none"/>
      </font>
    </dxf>
  </rfmt>
  <rfmt sheetId="1" sqref="AM608" start="0" length="0">
    <dxf>
      <font>
        <sz val="11"/>
        <color theme="1"/>
        <name val="Calibri"/>
        <scheme val="none"/>
      </font>
      <numFmt numFmtId="1" formatCode="0"/>
    </dxf>
  </rfmt>
  <rfmt sheetId="1" sqref="AN608" start="0" length="0">
    <dxf>
      <font>
        <sz val="11"/>
        <color theme="1"/>
        <name val="Calibri"/>
        <scheme val="none"/>
      </font>
      <numFmt numFmtId="1" formatCode="0"/>
    </dxf>
  </rfmt>
  <rfmt sheetId="1" sqref="AO608" start="0" length="0">
    <dxf>
      <font>
        <sz val="11"/>
        <color theme="1"/>
        <name val="Calibri"/>
        <scheme val="none"/>
      </font>
    </dxf>
  </rfmt>
  <rfmt sheetId="1" sqref="AP608" start="0" length="0">
    <dxf>
      <font>
        <sz val="11"/>
        <color theme="1"/>
        <name val="Calibri"/>
        <scheme val="none"/>
      </font>
    </dxf>
  </rfmt>
  <rfmt sheetId="1" sqref="AQ608" start="0" length="0">
    <dxf>
      <font>
        <sz val="11"/>
        <color theme="1"/>
        <name val="Calibri"/>
        <scheme val="none"/>
      </font>
      <numFmt numFmtId="164" formatCode="_-* #,##0_-;\-* #,##0_-;_-* &quot;-&quot;??_-;_-@_-"/>
    </dxf>
  </rfmt>
  <rfmt sheetId="1" sqref="AR608" start="0" length="0">
    <dxf>
      <font>
        <sz val="11"/>
        <color theme="1"/>
        <name val="Calibri"/>
        <scheme val="none"/>
      </font>
      <numFmt numFmtId="164" formatCode="_-* #,##0_-;\-* #,##0_-;_-* &quot;-&quot;??_-;_-@_-"/>
    </dxf>
  </rfmt>
  <rfmt sheetId="1" sqref="AS608" start="0" length="0">
    <dxf>
      <font>
        <sz val="11"/>
        <color theme="1"/>
        <name val="Calibri"/>
        <scheme val="none"/>
      </font>
      <numFmt numFmtId="164" formatCode="_-* #,##0_-;\-* #,##0_-;_-* &quot;-&quot;??_-;_-@_-"/>
    </dxf>
  </rfmt>
  <rfmt sheetId="1" sqref="AT608" start="0" length="0">
    <dxf>
      <font>
        <sz val="11"/>
        <color theme="1"/>
        <name val="Calibri"/>
        <scheme val="none"/>
      </font>
      <numFmt numFmtId="164" formatCode="_-* #,##0_-;\-* #,##0_-;_-* &quot;-&quot;??_-;_-@_-"/>
    </dxf>
  </rfmt>
  <rfmt sheetId="1" sqref="AU608" start="0" length="0">
    <dxf>
      <font>
        <sz val="11"/>
        <color theme="1"/>
        <name val="Calibri"/>
        <scheme val="none"/>
      </font>
    </dxf>
  </rfmt>
  <rfmt sheetId="1" sqref="AV608" start="0" length="0">
    <dxf>
      <font>
        <sz val="11"/>
        <color theme="1"/>
        <name val="Calibri"/>
        <scheme val="none"/>
      </font>
    </dxf>
  </rfmt>
  <rfmt sheetId="1" sqref="AW608" start="0" length="0">
    <dxf>
      <font>
        <sz val="11"/>
        <color theme="1"/>
        <name val="Calibri"/>
        <scheme val="none"/>
      </font>
    </dxf>
  </rfmt>
  <rfmt sheetId="1" sqref="AX608" start="0" length="0">
    <dxf>
      <font>
        <sz val="11"/>
        <color theme="1"/>
        <name val="Calibri"/>
        <scheme val="none"/>
      </font>
    </dxf>
  </rfmt>
  <rfmt sheetId="1" sqref="AY608" start="0" length="0">
    <dxf>
      <font>
        <sz val="11"/>
        <color theme="1"/>
        <name val="Calibri"/>
        <scheme val="none"/>
      </font>
    </dxf>
  </rfmt>
  <rfmt sheetId="1" sqref="A608:XFD608" start="0" length="0">
    <dxf>
      <font>
        <sz val="11"/>
        <color theme="1"/>
        <name val="Calibri"/>
        <scheme val="none"/>
      </font>
    </dxf>
  </rfmt>
  <rfmt sheetId="1" sqref="A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0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0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0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0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09" start="0" length="0">
    <dxf>
      <font>
        <sz val="11"/>
        <color theme="1"/>
        <name val="Calibri"/>
        <scheme val="none"/>
      </font>
    </dxf>
  </rfmt>
  <rfmt sheetId="1" sqref="AM609" start="0" length="0">
    <dxf>
      <font>
        <sz val="11"/>
        <color theme="1"/>
        <name val="Calibri"/>
        <scheme val="none"/>
      </font>
      <numFmt numFmtId="1" formatCode="0"/>
    </dxf>
  </rfmt>
  <rfmt sheetId="1" sqref="AN609" start="0" length="0">
    <dxf>
      <font>
        <sz val="11"/>
        <color theme="1"/>
        <name val="Calibri"/>
        <scheme val="none"/>
      </font>
      <numFmt numFmtId="1" formatCode="0"/>
    </dxf>
  </rfmt>
  <rfmt sheetId="1" sqref="AO609" start="0" length="0">
    <dxf>
      <font>
        <sz val="11"/>
        <color theme="1"/>
        <name val="Calibri"/>
        <scheme val="none"/>
      </font>
    </dxf>
  </rfmt>
  <rfmt sheetId="1" sqref="AP609" start="0" length="0">
    <dxf>
      <font>
        <sz val="11"/>
        <color theme="1"/>
        <name val="Calibri"/>
        <scheme val="none"/>
      </font>
    </dxf>
  </rfmt>
  <rfmt sheetId="1" sqref="AQ609" start="0" length="0">
    <dxf>
      <font>
        <sz val="11"/>
        <color theme="1"/>
        <name val="Calibri"/>
        <scheme val="none"/>
      </font>
      <numFmt numFmtId="164" formatCode="_-* #,##0_-;\-* #,##0_-;_-* &quot;-&quot;??_-;_-@_-"/>
    </dxf>
  </rfmt>
  <rfmt sheetId="1" sqref="AR609" start="0" length="0">
    <dxf>
      <font>
        <sz val="11"/>
        <color theme="1"/>
        <name val="Calibri"/>
        <scheme val="none"/>
      </font>
      <numFmt numFmtId="164" formatCode="_-* #,##0_-;\-* #,##0_-;_-* &quot;-&quot;??_-;_-@_-"/>
    </dxf>
  </rfmt>
  <rfmt sheetId="1" sqref="AS609" start="0" length="0">
    <dxf>
      <font>
        <sz val="11"/>
        <color theme="1"/>
        <name val="Calibri"/>
        <scheme val="none"/>
      </font>
      <numFmt numFmtId="164" formatCode="_-* #,##0_-;\-* #,##0_-;_-* &quot;-&quot;??_-;_-@_-"/>
    </dxf>
  </rfmt>
  <rfmt sheetId="1" sqref="AT609" start="0" length="0">
    <dxf>
      <font>
        <sz val="11"/>
        <color theme="1"/>
        <name val="Calibri"/>
        <scheme val="none"/>
      </font>
      <numFmt numFmtId="164" formatCode="_-* #,##0_-;\-* #,##0_-;_-* &quot;-&quot;??_-;_-@_-"/>
    </dxf>
  </rfmt>
  <rfmt sheetId="1" sqref="AU609" start="0" length="0">
    <dxf>
      <font>
        <sz val="11"/>
        <color theme="1"/>
        <name val="Calibri"/>
        <scheme val="none"/>
      </font>
    </dxf>
  </rfmt>
  <rfmt sheetId="1" sqref="AV609" start="0" length="0">
    <dxf>
      <font>
        <sz val="11"/>
        <color theme="1"/>
        <name val="Calibri"/>
        <scheme val="none"/>
      </font>
    </dxf>
  </rfmt>
  <rfmt sheetId="1" sqref="AW609" start="0" length="0">
    <dxf>
      <font>
        <sz val="11"/>
        <color theme="1"/>
        <name val="Calibri"/>
        <scheme val="none"/>
      </font>
    </dxf>
  </rfmt>
  <rfmt sheetId="1" sqref="AX609" start="0" length="0">
    <dxf>
      <font>
        <sz val="11"/>
        <color theme="1"/>
        <name val="Calibri"/>
        <scheme val="none"/>
      </font>
    </dxf>
  </rfmt>
  <rfmt sheetId="1" sqref="AY609" start="0" length="0">
    <dxf>
      <font>
        <sz val="11"/>
        <color theme="1"/>
        <name val="Calibri"/>
        <scheme val="none"/>
      </font>
    </dxf>
  </rfmt>
  <rfmt sheetId="1" sqref="A609:XFD609" start="0" length="0">
    <dxf>
      <font>
        <sz val="11"/>
        <color theme="1"/>
        <name val="Calibri"/>
        <scheme val="none"/>
      </font>
    </dxf>
  </rfmt>
  <rfmt sheetId="1" sqref="A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1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1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1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1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10" start="0" length="0">
    <dxf>
      <font>
        <sz val="11"/>
        <color theme="1"/>
        <name val="Calibri"/>
        <scheme val="none"/>
      </font>
    </dxf>
  </rfmt>
  <rfmt sheetId="1" sqref="AM610" start="0" length="0">
    <dxf>
      <font>
        <sz val="11"/>
        <color theme="1"/>
        <name val="Calibri"/>
        <scheme val="none"/>
      </font>
      <numFmt numFmtId="1" formatCode="0"/>
    </dxf>
  </rfmt>
  <rfmt sheetId="1" sqref="AN610" start="0" length="0">
    <dxf>
      <font>
        <sz val="11"/>
        <color theme="1"/>
        <name val="Calibri"/>
        <scheme val="none"/>
      </font>
      <numFmt numFmtId="1" formatCode="0"/>
    </dxf>
  </rfmt>
  <rfmt sheetId="1" sqref="AO610" start="0" length="0">
    <dxf>
      <font>
        <sz val="11"/>
        <color theme="1"/>
        <name val="Calibri"/>
        <scheme val="none"/>
      </font>
    </dxf>
  </rfmt>
  <rfmt sheetId="1" sqref="AP610" start="0" length="0">
    <dxf>
      <font>
        <sz val="11"/>
        <color theme="1"/>
        <name val="Calibri"/>
        <scheme val="none"/>
      </font>
    </dxf>
  </rfmt>
  <rfmt sheetId="1" sqref="AQ610" start="0" length="0">
    <dxf>
      <font>
        <sz val="11"/>
        <color theme="1"/>
        <name val="Calibri"/>
        <scheme val="none"/>
      </font>
      <numFmt numFmtId="164" formatCode="_-* #,##0_-;\-* #,##0_-;_-* &quot;-&quot;??_-;_-@_-"/>
    </dxf>
  </rfmt>
  <rfmt sheetId="1" sqref="AR610" start="0" length="0">
    <dxf>
      <font>
        <sz val="11"/>
        <color theme="1"/>
        <name val="Calibri"/>
        <scheme val="none"/>
      </font>
      <numFmt numFmtId="164" formatCode="_-* #,##0_-;\-* #,##0_-;_-* &quot;-&quot;??_-;_-@_-"/>
    </dxf>
  </rfmt>
  <rfmt sheetId="1" sqref="AS610" start="0" length="0">
    <dxf>
      <font>
        <sz val="11"/>
        <color theme="1"/>
        <name val="Calibri"/>
        <scheme val="none"/>
      </font>
      <numFmt numFmtId="164" formatCode="_-* #,##0_-;\-* #,##0_-;_-* &quot;-&quot;??_-;_-@_-"/>
    </dxf>
  </rfmt>
  <rfmt sheetId="1" sqref="AT610" start="0" length="0">
    <dxf>
      <font>
        <sz val="11"/>
        <color theme="1"/>
        <name val="Calibri"/>
        <scheme val="none"/>
      </font>
      <numFmt numFmtId="164" formatCode="_-* #,##0_-;\-* #,##0_-;_-* &quot;-&quot;??_-;_-@_-"/>
    </dxf>
  </rfmt>
  <rfmt sheetId="1" sqref="AU610" start="0" length="0">
    <dxf>
      <font>
        <sz val="11"/>
        <color theme="1"/>
        <name val="Calibri"/>
        <scheme val="none"/>
      </font>
    </dxf>
  </rfmt>
  <rfmt sheetId="1" sqref="AV610" start="0" length="0">
    <dxf>
      <font>
        <sz val="11"/>
        <color theme="1"/>
        <name val="Calibri"/>
        <scheme val="none"/>
      </font>
    </dxf>
  </rfmt>
  <rfmt sheetId="1" sqref="AW610" start="0" length="0">
    <dxf>
      <font>
        <sz val="11"/>
        <color theme="1"/>
        <name val="Calibri"/>
        <scheme val="none"/>
      </font>
    </dxf>
  </rfmt>
  <rfmt sheetId="1" sqref="AX610" start="0" length="0">
    <dxf>
      <font>
        <sz val="11"/>
        <color theme="1"/>
        <name val="Calibri"/>
        <scheme val="none"/>
      </font>
    </dxf>
  </rfmt>
  <rfmt sheetId="1" sqref="AY610" start="0" length="0">
    <dxf>
      <font>
        <sz val="11"/>
        <color theme="1"/>
        <name val="Calibri"/>
        <scheme val="none"/>
      </font>
    </dxf>
  </rfmt>
  <rfmt sheetId="1" sqref="A610:XFD610" start="0" length="0">
    <dxf>
      <font>
        <sz val="11"/>
        <color theme="1"/>
        <name val="Calibri"/>
        <scheme val="none"/>
      </font>
    </dxf>
  </rfmt>
  <rfmt sheetId="1" sqref="A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1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1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1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1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11" start="0" length="0">
    <dxf>
      <font>
        <sz val="11"/>
        <color theme="1"/>
        <name val="Calibri"/>
        <scheme val="none"/>
      </font>
    </dxf>
  </rfmt>
  <rfmt sheetId="1" sqref="AM611" start="0" length="0">
    <dxf>
      <font>
        <sz val="11"/>
        <color theme="1"/>
        <name val="Calibri"/>
        <scheme val="none"/>
      </font>
      <numFmt numFmtId="1" formatCode="0"/>
    </dxf>
  </rfmt>
  <rfmt sheetId="1" sqref="AN611" start="0" length="0">
    <dxf>
      <font>
        <sz val="11"/>
        <color theme="1"/>
        <name val="Calibri"/>
        <scheme val="none"/>
      </font>
      <numFmt numFmtId="1" formatCode="0"/>
    </dxf>
  </rfmt>
  <rfmt sheetId="1" sqref="AO611" start="0" length="0">
    <dxf>
      <font>
        <sz val="11"/>
        <color theme="1"/>
        <name val="Calibri"/>
        <scheme val="none"/>
      </font>
    </dxf>
  </rfmt>
  <rfmt sheetId="1" sqref="AP611" start="0" length="0">
    <dxf>
      <font>
        <sz val="11"/>
        <color theme="1"/>
        <name val="Calibri"/>
        <scheme val="none"/>
      </font>
    </dxf>
  </rfmt>
  <rfmt sheetId="1" sqref="AQ611" start="0" length="0">
    <dxf>
      <font>
        <sz val="11"/>
        <color theme="1"/>
        <name val="Calibri"/>
        <scheme val="none"/>
      </font>
      <numFmt numFmtId="164" formatCode="_-* #,##0_-;\-* #,##0_-;_-* &quot;-&quot;??_-;_-@_-"/>
    </dxf>
  </rfmt>
  <rfmt sheetId="1" sqref="AR611" start="0" length="0">
    <dxf>
      <font>
        <sz val="11"/>
        <color theme="1"/>
        <name val="Calibri"/>
        <scheme val="none"/>
      </font>
      <numFmt numFmtId="164" formatCode="_-* #,##0_-;\-* #,##0_-;_-* &quot;-&quot;??_-;_-@_-"/>
    </dxf>
  </rfmt>
  <rfmt sheetId="1" sqref="AS611" start="0" length="0">
    <dxf>
      <font>
        <sz val="11"/>
        <color theme="1"/>
        <name val="Calibri"/>
        <scheme val="none"/>
      </font>
      <numFmt numFmtId="164" formatCode="_-* #,##0_-;\-* #,##0_-;_-* &quot;-&quot;??_-;_-@_-"/>
    </dxf>
  </rfmt>
  <rfmt sheetId="1" sqref="AT611" start="0" length="0">
    <dxf>
      <font>
        <sz val="11"/>
        <color theme="1"/>
        <name val="Calibri"/>
        <scheme val="none"/>
      </font>
      <numFmt numFmtId="164" formatCode="_-* #,##0_-;\-* #,##0_-;_-* &quot;-&quot;??_-;_-@_-"/>
    </dxf>
  </rfmt>
  <rfmt sheetId="1" sqref="AU611" start="0" length="0">
    <dxf>
      <font>
        <sz val="11"/>
        <color theme="1"/>
        <name val="Calibri"/>
        <scheme val="none"/>
      </font>
    </dxf>
  </rfmt>
  <rfmt sheetId="1" sqref="AV611" start="0" length="0">
    <dxf>
      <font>
        <sz val="11"/>
        <color theme="1"/>
        <name val="Calibri"/>
        <scheme val="none"/>
      </font>
    </dxf>
  </rfmt>
  <rfmt sheetId="1" sqref="AW611" start="0" length="0">
    <dxf>
      <font>
        <sz val="11"/>
        <color theme="1"/>
        <name val="Calibri"/>
        <scheme val="none"/>
      </font>
    </dxf>
  </rfmt>
  <rfmt sheetId="1" sqref="AX611" start="0" length="0">
    <dxf>
      <font>
        <sz val="11"/>
        <color theme="1"/>
        <name val="Calibri"/>
        <scheme val="none"/>
      </font>
    </dxf>
  </rfmt>
  <rfmt sheetId="1" sqref="AY611" start="0" length="0">
    <dxf>
      <font>
        <sz val="11"/>
        <color theme="1"/>
        <name val="Calibri"/>
        <scheme val="none"/>
      </font>
    </dxf>
  </rfmt>
  <rfmt sheetId="1" sqref="A611:XFD611" start="0" length="0">
    <dxf>
      <font>
        <sz val="11"/>
        <color theme="1"/>
        <name val="Calibri"/>
        <scheme val="none"/>
      </font>
    </dxf>
  </rfmt>
  <rfmt sheetId="1" sqref="A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1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1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1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1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12" start="0" length="0">
    <dxf>
      <font>
        <sz val="11"/>
        <color theme="1"/>
        <name val="Calibri"/>
        <scheme val="none"/>
      </font>
    </dxf>
  </rfmt>
  <rfmt sheetId="1" sqref="AM612" start="0" length="0">
    <dxf>
      <font>
        <sz val="11"/>
        <color theme="1"/>
        <name val="Calibri"/>
        <scheme val="none"/>
      </font>
      <numFmt numFmtId="1" formatCode="0"/>
    </dxf>
  </rfmt>
  <rfmt sheetId="1" sqref="AN612" start="0" length="0">
    <dxf>
      <font>
        <sz val="11"/>
        <color theme="1"/>
        <name val="Calibri"/>
        <scheme val="none"/>
      </font>
      <numFmt numFmtId="1" formatCode="0"/>
    </dxf>
  </rfmt>
  <rfmt sheetId="1" sqref="AO612" start="0" length="0">
    <dxf>
      <font>
        <sz val="11"/>
        <color theme="1"/>
        <name val="Calibri"/>
        <scheme val="none"/>
      </font>
    </dxf>
  </rfmt>
  <rfmt sheetId="1" sqref="AP612" start="0" length="0">
    <dxf>
      <font>
        <sz val="11"/>
        <color theme="1"/>
        <name val="Calibri"/>
        <scheme val="none"/>
      </font>
    </dxf>
  </rfmt>
  <rfmt sheetId="1" sqref="AQ612" start="0" length="0">
    <dxf>
      <font>
        <sz val="11"/>
        <color theme="1"/>
        <name val="Calibri"/>
        <scheme val="none"/>
      </font>
      <numFmt numFmtId="164" formatCode="_-* #,##0_-;\-* #,##0_-;_-* &quot;-&quot;??_-;_-@_-"/>
    </dxf>
  </rfmt>
  <rfmt sheetId="1" sqref="AR612" start="0" length="0">
    <dxf>
      <font>
        <sz val="11"/>
        <color theme="1"/>
        <name val="Calibri"/>
        <scheme val="none"/>
      </font>
      <numFmt numFmtId="164" formatCode="_-* #,##0_-;\-* #,##0_-;_-* &quot;-&quot;??_-;_-@_-"/>
    </dxf>
  </rfmt>
  <rfmt sheetId="1" sqref="AS612" start="0" length="0">
    <dxf>
      <font>
        <sz val="11"/>
        <color theme="1"/>
        <name val="Calibri"/>
        <scheme val="none"/>
      </font>
      <numFmt numFmtId="164" formatCode="_-* #,##0_-;\-* #,##0_-;_-* &quot;-&quot;??_-;_-@_-"/>
    </dxf>
  </rfmt>
  <rfmt sheetId="1" sqref="AT612" start="0" length="0">
    <dxf>
      <font>
        <sz val="11"/>
        <color theme="1"/>
        <name val="Calibri"/>
        <scheme val="none"/>
      </font>
      <numFmt numFmtId="164" formatCode="_-* #,##0_-;\-* #,##0_-;_-* &quot;-&quot;??_-;_-@_-"/>
    </dxf>
  </rfmt>
  <rfmt sheetId="1" sqref="AU612" start="0" length="0">
    <dxf>
      <font>
        <sz val="11"/>
        <color theme="1"/>
        <name val="Calibri"/>
        <scheme val="none"/>
      </font>
    </dxf>
  </rfmt>
  <rfmt sheetId="1" sqref="AV612" start="0" length="0">
    <dxf>
      <font>
        <sz val="11"/>
        <color theme="1"/>
        <name val="Calibri"/>
        <scheme val="none"/>
      </font>
    </dxf>
  </rfmt>
  <rfmt sheetId="1" sqref="AW612" start="0" length="0">
    <dxf>
      <font>
        <sz val="11"/>
        <color theme="1"/>
        <name val="Calibri"/>
        <scheme val="none"/>
      </font>
    </dxf>
  </rfmt>
  <rfmt sheetId="1" sqref="AX612" start="0" length="0">
    <dxf>
      <font>
        <sz val="11"/>
        <color theme="1"/>
        <name val="Calibri"/>
        <scheme val="none"/>
      </font>
    </dxf>
  </rfmt>
  <rfmt sheetId="1" sqref="AY612" start="0" length="0">
    <dxf>
      <font>
        <sz val="11"/>
        <color theme="1"/>
        <name val="Calibri"/>
        <scheme val="none"/>
      </font>
    </dxf>
  </rfmt>
  <rfmt sheetId="1" sqref="A612:XFD612" start="0" length="0">
    <dxf>
      <font>
        <sz val="11"/>
        <color theme="1"/>
        <name val="Calibri"/>
        <scheme val="none"/>
      </font>
    </dxf>
  </rfmt>
  <rfmt sheetId="1" sqref="A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1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1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1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1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13" start="0" length="0">
    <dxf>
      <font>
        <sz val="11"/>
        <color theme="1"/>
        <name val="Calibri"/>
        <scheme val="none"/>
      </font>
    </dxf>
  </rfmt>
  <rfmt sheetId="1" sqref="AM613" start="0" length="0">
    <dxf>
      <font>
        <sz val="11"/>
        <color theme="1"/>
        <name val="Calibri"/>
        <scheme val="none"/>
      </font>
      <numFmt numFmtId="1" formatCode="0"/>
    </dxf>
  </rfmt>
  <rfmt sheetId="1" sqref="AN613" start="0" length="0">
    <dxf>
      <font>
        <sz val="11"/>
        <color theme="1"/>
        <name val="Calibri"/>
        <scheme val="none"/>
      </font>
      <numFmt numFmtId="1" formatCode="0"/>
    </dxf>
  </rfmt>
  <rfmt sheetId="1" sqref="AO613" start="0" length="0">
    <dxf>
      <font>
        <sz val="11"/>
        <color theme="1"/>
        <name val="Calibri"/>
        <scheme val="none"/>
      </font>
    </dxf>
  </rfmt>
  <rfmt sheetId="1" sqref="AP613" start="0" length="0">
    <dxf>
      <font>
        <sz val="11"/>
        <color theme="1"/>
        <name val="Calibri"/>
        <scheme val="none"/>
      </font>
    </dxf>
  </rfmt>
  <rfmt sheetId="1" sqref="AQ613" start="0" length="0">
    <dxf>
      <font>
        <sz val="11"/>
        <color theme="1"/>
        <name val="Calibri"/>
        <scheme val="none"/>
      </font>
      <numFmt numFmtId="164" formatCode="_-* #,##0_-;\-* #,##0_-;_-* &quot;-&quot;??_-;_-@_-"/>
    </dxf>
  </rfmt>
  <rfmt sheetId="1" sqref="AR613" start="0" length="0">
    <dxf>
      <font>
        <sz val="11"/>
        <color theme="1"/>
        <name val="Calibri"/>
        <scheme val="none"/>
      </font>
      <numFmt numFmtId="164" formatCode="_-* #,##0_-;\-* #,##0_-;_-* &quot;-&quot;??_-;_-@_-"/>
    </dxf>
  </rfmt>
  <rfmt sheetId="1" sqref="AS613" start="0" length="0">
    <dxf>
      <font>
        <sz val="11"/>
        <color theme="1"/>
        <name val="Calibri"/>
        <scheme val="none"/>
      </font>
      <numFmt numFmtId="164" formatCode="_-* #,##0_-;\-* #,##0_-;_-* &quot;-&quot;??_-;_-@_-"/>
    </dxf>
  </rfmt>
  <rfmt sheetId="1" sqref="AT613" start="0" length="0">
    <dxf>
      <font>
        <sz val="11"/>
        <color theme="1"/>
        <name val="Calibri"/>
        <scheme val="none"/>
      </font>
      <numFmt numFmtId="164" formatCode="_-* #,##0_-;\-* #,##0_-;_-* &quot;-&quot;??_-;_-@_-"/>
    </dxf>
  </rfmt>
  <rfmt sheetId="1" sqref="AU613" start="0" length="0">
    <dxf>
      <font>
        <sz val="11"/>
        <color theme="1"/>
        <name val="Calibri"/>
        <scheme val="none"/>
      </font>
    </dxf>
  </rfmt>
  <rfmt sheetId="1" sqref="AV613" start="0" length="0">
    <dxf>
      <font>
        <sz val="11"/>
        <color theme="1"/>
        <name val="Calibri"/>
        <scheme val="none"/>
      </font>
    </dxf>
  </rfmt>
  <rfmt sheetId="1" sqref="AW613" start="0" length="0">
    <dxf>
      <font>
        <sz val="11"/>
        <color theme="1"/>
        <name val="Calibri"/>
        <scheme val="none"/>
      </font>
    </dxf>
  </rfmt>
  <rfmt sheetId="1" sqref="AX613" start="0" length="0">
    <dxf>
      <font>
        <sz val="11"/>
        <color theme="1"/>
        <name val="Calibri"/>
        <scheme val="none"/>
      </font>
    </dxf>
  </rfmt>
  <rfmt sheetId="1" sqref="AY613" start="0" length="0">
    <dxf>
      <font>
        <sz val="11"/>
        <color theme="1"/>
        <name val="Calibri"/>
        <scheme val="none"/>
      </font>
    </dxf>
  </rfmt>
  <rfmt sheetId="1" sqref="A613:XFD613" start="0" length="0">
    <dxf>
      <font>
        <sz val="11"/>
        <color theme="1"/>
        <name val="Calibri"/>
        <scheme val="none"/>
      </font>
    </dxf>
  </rfmt>
  <rfmt sheetId="1" sqref="A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1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1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1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1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14" start="0" length="0">
    <dxf>
      <font>
        <sz val="11"/>
        <color theme="1"/>
        <name val="Calibri"/>
        <scheme val="none"/>
      </font>
    </dxf>
  </rfmt>
  <rfmt sheetId="1" sqref="AM614" start="0" length="0">
    <dxf>
      <font>
        <sz val="11"/>
        <color theme="1"/>
        <name val="Calibri"/>
        <scheme val="none"/>
      </font>
      <numFmt numFmtId="1" formatCode="0"/>
    </dxf>
  </rfmt>
  <rfmt sheetId="1" sqref="AN614" start="0" length="0">
    <dxf>
      <font>
        <sz val="11"/>
        <color theme="1"/>
        <name val="Calibri"/>
        <scheme val="none"/>
      </font>
      <numFmt numFmtId="1" formatCode="0"/>
    </dxf>
  </rfmt>
  <rfmt sheetId="1" sqref="AO614" start="0" length="0">
    <dxf>
      <font>
        <sz val="11"/>
        <color theme="1"/>
        <name val="Calibri"/>
        <scheme val="none"/>
      </font>
    </dxf>
  </rfmt>
  <rfmt sheetId="1" sqref="AP614" start="0" length="0">
    <dxf>
      <font>
        <sz val="11"/>
        <color theme="1"/>
        <name val="Calibri"/>
        <scheme val="none"/>
      </font>
    </dxf>
  </rfmt>
  <rfmt sheetId="1" sqref="AQ614" start="0" length="0">
    <dxf>
      <font>
        <sz val="11"/>
        <color theme="1"/>
        <name val="Calibri"/>
        <scheme val="none"/>
      </font>
      <numFmt numFmtId="164" formatCode="_-* #,##0_-;\-* #,##0_-;_-* &quot;-&quot;??_-;_-@_-"/>
    </dxf>
  </rfmt>
  <rfmt sheetId="1" sqref="AR614" start="0" length="0">
    <dxf>
      <font>
        <sz val="11"/>
        <color theme="1"/>
        <name val="Calibri"/>
        <scheme val="none"/>
      </font>
      <numFmt numFmtId="164" formatCode="_-* #,##0_-;\-* #,##0_-;_-* &quot;-&quot;??_-;_-@_-"/>
    </dxf>
  </rfmt>
  <rfmt sheetId="1" sqref="AS614" start="0" length="0">
    <dxf>
      <font>
        <sz val="11"/>
        <color theme="1"/>
        <name val="Calibri"/>
        <scheme val="none"/>
      </font>
      <numFmt numFmtId="164" formatCode="_-* #,##0_-;\-* #,##0_-;_-* &quot;-&quot;??_-;_-@_-"/>
    </dxf>
  </rfmt>
  <rfmt sheetId="1" sqref="AT614" start="0" length="0">
    <dxf>
      <font>
        <sz val="11"/>
        <color theme="1"/>
        <name val="Calibri"/>
        <scheme val="none"/>
      </font>
      <numFmt numFmtId="164" formatCode="_-* #,##0_-;\-* #,##0_-;_-* &quot;-&quot;??_-;_-@_-"/>
    </dxf>
  </rfmt>
  <rfmt sheetId="1" sqref="AU614" start="0" length="0">
    <dxf>
      <font>
        <sz val="11"/>
        <color theme="1"/>
        <name val="Calibri"/>
        <scheme val="none"/>
      </font>
    </dxf>
  </rfmt>
  <rfmt sheetId="1" sqref="AV614" start="0" length="0">
    <dxf>
      <font>
        <sz val="11"/>
        <color theme="1"/>
        <name val="Calibri"/>
        <scheme val="none"/>
      </font>
    </dxf>
  </rfmt>
  <rfmt sheetId="1" sqref="AW614" start="0" length="0">
    <dxf>
      <font>
        <sz val="11"/>
        <color theme="1"/>
        <name val="Calibri"/>
        <scheme val="none"/>
      </font>
    </dxf>
  </rfmt>
  <rfmt sheetId="1" sqref="AX614" start="0" length="0">
    <dxf>
      <font>
        <sz val="11"/>
        <color theme="1"/>
        <name val="Calibri"/>
        <scheme val="none"/>
      </font>
    </dxf>
  </rfmt>
  <rfmt sheetId="1" sqref="AY614" start="0" length="0">
    <dxf>
      <font>
        <sz val="11"/>
        <color theme="1"/>
        <name val="Calibri"/>
        <scheme val="none"/>
      </font>
    </dxf>
  </rfmt>
  <rfmt sheetId="1" sqref="A614:XFD614" start="0" length="0">
    <dxf>
      <font>
        <sz val="11"/>
        <color theme="1"/>
        <name val="Calibri"/>
        <scheme val="none"/>
      </font>
    </dxf>
  </rfmt>
  <rfmt sheetId="1" sqref="A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1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1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1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1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15" start="0" length="0">
    <dxf>
      <font>
        <sz val="11"/>
        <color theme="1"/>
        <name val="Calibri"/>
        <scheme val="none"/>
      </font>
    </dxf>
  </rfmt>
  <rfmt sheetId="1" sqref="AM615" start="0" length="0">
    <dxf>
      <font>
        <sz val="11"/>
        <color theme="1"/>
        <name val="Calibri"/>
        <scheme val="none"/>
      </font>
      <numFmt numFmtId="1" formatCode="0"/>
    </dxf>
  </rfmt>
  <rfmt sheetId="1" sqref="AN615" start="0" length="0">
    <dxf>
      <font>
        <sz val="11"/>
        <color theme="1"/>
        <name val="Calibri"/>
        <scheme val="none"/>
      </font>
      <numFmt numFmtId="1" formatCode="0"/>
    </dxf>
  </rfmt>
  <rfmt sheetId="1" sqref="AO615" start="0" length="0">
    <dxf>
      <font>
        <sz val="11"/>
        <color theme="1"/>
        <name val="Calibri"/>
        <scheme val="none"/>
      </font>
    </dxf>
  </rfmt>
  <rfmt sheetId="1" sqref="AP615" start="0" length="0">
    <dxf>
      <font>
        <sz val="11"/>
        <color theme="1"/>
        <name val="Calibri"/>
        <scheme val="none"/>
      </font>
    </dxf>
  </rfmt>
  <rfmt sheetId="1" sqref="AQ615" start="0" length="0">
    <dxf>
      <font>
        <sz val="11"/>
        <color theme="1"/>
        <name val="Calibri"/>
        <scheme val="none"/>
      </font>
      <numFmt numFmtId="164" formatCode="_-* #,##0_-;\-* #,##0_-;_-* &quot;-&quot;??_-;_-@_-"/>
    </dxf>
  </rfmt>
  <rfmt sheetId="1" sqref="AR615" start="0" length="0">
    <dxf>
      <font>
        <sz val="11"/>
        <color theme="1"/>
        <name val="Calibri"/>
        <scheme val="none"/>
      </font>
      <numFmt numFmtId="164" formatCode="_-* #,##0_-;\-* #,##0_-;_-* &quot;-&quot;??_-;_-@_-"/>
    </dxf>
  </rfmt>
  <rfmt sheetId="1" sqref="AS615" start="0" length="0">
    <dxf>
      <font>
        <sz val="11"/>
        <color theme="1"/>
        <name val="Calibri"/>
        <scheme val="none"/>
      </font>
      <numFmt numFmtId="164" formatCode="_-* #,##0_-;\-* #,##0_-;_-* &quot;-&quot;??_-;_-@_-"/>
    </dxf>
  </rfmt>
  <rfmt sheetId="1" sqref="AT615" start="0" length="0">
    <dxf>
      <font>
        <sz val="11"/>
        <color theme="1"/>
        <name val="Calibri"/>
        <scheme val="none"/>
      </font>
      <numFmt numFmtId="164" formatCode="_-* #,##0_-;\-* #,##0_-;_-* &quot;-&quot;??_-;_-@_-"/>
    </dxf>
  </rfmt>
  <rfmt sheetId="1" sqref="AU615" start="0" length="0">
    <dxf>
      <font>
        <sz val="11"/>
        <color theme="1"/>
        <name val="Calibri"/>
        <scheme val="none"/>
      </font>
    </dxf>
  </rfmt>
  <rfmt sheetId="1" sqref="AV615" start="0" length="0">
    <dxf>
      <font>
        <sz val="11"/>
        <color theme="1"/>
        <name val="Calibri"/>
        <scheme val="none"/>
      </font>
    </dxf>
  </rfmt>
  <rfmt sheetId="1" sqref="AW615" start="0" length="0">
    <dxf>
      <font>
        <sz val="11"/>
        <color theme="1"/>
        <name val="Calibri"/>
        <scheme val="none"/>
      </font>
    </dxf>
  </rfmt>
  <rfmt sheetId="1" sqref="AX615" start="0" length="0">
    <dxf>
      <font>
        <sz val="11"/>
        <color theme="1"/>
        <name val="Calibri"/>
        <scheme val="none"/>
      </font>
    </dxf>
  </rfmt>
  <rfmt sheetId="1" sqref="AY615" start="0" length="0">
    <dxf>
      <font>
        <sz val="11"/>
        <color theme="1"/>
        <name val="Calibri"/>
        <scheme val="none"/>
      </font>
    </dxf>
  </rfmt>
  <rfmt sheetId="1" sqref="A615:XFD615" start="0" length="0">
    <dxf>
      <font>
        <sz val="11"/>
        <color theme="1"/>
        <name val="Calibri"/>
        <scheme val="none"/>
      </font>
    </dxf>
  </rfmt>
  <rfmt sheetId="1" sqref="A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1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1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1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1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16" start="0" length="0">
    <dxf>
      <font>
        <sz val="11"/>
        <color theme="1"/>
        <name val="Calibri"/>
        <scheme val="none"/>
      </font>
    </dxf>
  </rfmt>
  <rfmt sheetId="1" sqref="AM616" start="0" length="0">
    <dxf>
      <font>
        <sz val="11"/>
        <color theme="1"/>
        <name val="Calibri"/>
        <scheme val="none"/>
      </font>
      <numFmt numFmtId="1" formatCode="0"/>
    </dxf>
  </rfmt>
  <rfmt sheetId="1" sqref="AN616" start="0" length="0">
    <dxf>
      <font>
        <sz val="11"/>
        <color theme="1"/>
        <name val="Calibri"/>
        <scheme val="none"/>
      </font>
      <numFmt numFmtId="1" formatCode="0"/>
    </dxf>
  </rfmt>
  <rfmt sheetId="1" sqref="AO616" start="0" length="0">
    <dxf>
      <font>
        <sz val="11"/>
        <color theme="1"/>
        <name val="Calibri"/>
        <scheme val="none"/>
      </font>
    </dxf>
  </rfmt>
  <rfmt sheetId="1" sqref="AP616" start="0" length="0">
    <dxf>
      <font>
        <sz val="11"/>
        <color theme="1"/>
        <name val="Calibri"/>
        <scheme val="none"/>
      </font>
    </dxf>
  </rfmt>
  <rfmt sheetId="1" sqref="AQ616" start="0" length="0">
    <dxf>
      <font>
        <sz val="11"/>
        <color theme="1"/>
        <name val="Calibri"/>
        <scheme val="none"/>
      </font>
      <numFmt numFmtId="164" formatCode="_-* #,##0_-;\-* #,##0_-;_-* &quot;-&quot;??_-;_-@_-"/>
    </dxf>
  </rfmt>
  <rfmt sheetId="1" sqref="AR616" start="0" length="0">
    <dxf>
      <font>
        <sz val="11"/>
        <color theme="1"/>
        <name val="Calibri"/>
        <scheme val="none"/>
      </font>
      <numFmt numFmtId="164" formatCode="_-* #,##0_-;\-* #,##0_-;_-* &quot;-&quot;??_-;_-@_-"/>
    </dxf>
  </rfmt>
  <rfmt sheetId="1" sqref="AS616" start="0" length="0">
    <dxf>
      <font>
        <sz val="11"/>
        <color theme="1"/>
        <name val="Calibri"/>
        <scheme val="none"/>
      </font>
      <numFmt numFmtId="164" formatCode="_-* #,##0_-;\-* #,##0_-;_-* &quot;-&quot;??_-;_-@_-"/>
    </dxf>
  </rfmt>
  <rfmt sheetId="1" sqref="AT616" start="0" length="0">
    <dxf>
      <font>
        <sz val="11"/>
        <color theme="1"/>
        <name val="Calibri"/>
        <scheme val="none"/>
      </font>
      <numFmt numFmtId="164" formatCode="_-* #,##0_-;\-* #,##0_-;_-* &quot;-&quot;??_-;_-@_-"/>
    </dxf>
  </rfmt>
  <rfmt sheetId="1" sqref="AU616" start="0" length="0">
    <dxf>
      <font>
        <sz val="11"/>
        <color theme="1"/>
        <name val="Calibri"/>
        <scheme val="none"/>
      </font>
    </dxf>
  </rfmt>
  <rfmt sheetId="1" sqref="AV616" start="0" length="0">
    <dxf>
      <font>
        <sz val="11"/>
        <color theme="1"/>
        <name val="Calibri"/>
        <scheme val="none"/>
      </font>
    </dxf>
  </rfmt>
  <rfmt sheetId="1" sqref="AW616" start="0" length="0">
    <dxf>
      <font>
        <sz val="11"/>
        <color theme="1"/>
        <name val="Calibri"/>
        <scheme val="none"/>
      </font>
    </dxf>
  </rfmt>
  <rfmt sheetId="1" sqref="AX616" start="0" length="0">
    <dxf>
      <font>
        <sz val="11"/>
        <color theme="1"/>
        <name val="Calibri"/>
        <scheme val="none"/>
      </font>
    </dxf>
  </rfmt>
  <rfmt sheetId="1" sqref="AY616" start="0" length="0">
    <dxf>
      <font>
        <sz val="11"/>
        <color theme="1"/>
        <name val="Calibri"/>
        <scheme val="none"/>
      </font>
    </dxf>
  </rfmt>
  <rfmt sheetId="1" sqref="A616:XFD616" start="0" length="0">
    <dxf>
      <font>
        <sz val="11"/>
        <color theme="1"/>
        <name val="Calibri"/>
        <scheme val="none"/>
      </font>
    </dxf>
  </rfmt>
  <rfmt sheetId="1" sqref="A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1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1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1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1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17" start="0" length="0">
    <dxf>
      <font>
        <sz val="11"/>
        <color theme="1"/>
        <name val="Calibri"/>
        <scheme val="none"/>
      </font>
    </dxf>
  </rfmt>
  <rfmt sheetId="1" sqref="AM617" start="0" length="0">
    <dxf>
      <font>
        <sz val="11"/>
        <color theme="1"/>
        <name val="Calibri"/>
        <scheme val="none"/>
      </font>
      <numFmt numFmtId="1" formatCode="0"/>
    </dxf>
  </rfmt>
  <rfmt sheetId="1" sqref="AN617" start="0" length="0">
    <dxf>
      <font>
        <sz val="11"/>
        <color theme="1"/>
        <name val="Calibri"/>
        <scheme val="none"/>
      </font>
      <numFmt numFmtId="1" formatCode="0"/>
    </dxf>
  </rfmt>
  <rfmt sheetId="1" sqref="AO617" start="0" length="0">
    <dxf>
      <font>
        <sz val="11"/>
        <color theme="1"/>
        <name val="Calibri"/>
        <scheme val="none"/>
      </font>
    </dxf>
  </rfmt>
  <rfmt sheetId="1" sqref="AP617" start="0" length="0">
    <dxf>
      <font>
        <sz val="11"/>
        <color theme="1"/>
        <name val="Calibri"/>
        <scheme val="none"/>
      </font>
    </dxf>
  </rfmt>
  <rfmt sheetId="1" sqref="AQ617" start="0" length="0">
    <dxf>
      <font>
        <sz val="11"/>
        <color theme="1"/>
        <name val="Calibri"/>
        <scheme val="none"/>
      </font>
      <numFmt numFmtId="164" formatCode="_-* #,##0_-;\-* #,##0_-;_-* &quot;-&quot;??_-;_-@_-"/>
    </dxf>
  </rfmt>
  <rfmt sheetId="1" sqref="AR617" start="0" length="0">
    <dxf>
      <font>
        <sz val="11"/>
        <color theme="1"/>
        <name val="Calibri"/>
        <scheme val="none"/>
      </font>
      <numFmt numFmtId="164" formatCode="_-* #,##0_-;\-* #,##0_-;_-* &quot;-&quot;??_-;_-@_-"/>
    </dxf>
  </rfmt>
  <rfmt sheetId="1" sqref="AS617" start="0" length="0">
    <dxf>
      <font>
        <sz val="11"/>
        <color theme="1"/>
        <name val="Calibri"/>
        <scheme val="none"/>
      </font>
      <numFmt numFmtId="164" formatCode="_-* #,##0_-;\-* #,##0_-;_-* &quot;-&quot;??_-;_-@_-"/>
    </dxf>
  </rfmt>
  <rfmt sheetId="1" sqref="AT617" start="0" length="0">
    <dxf>
      <font>
        <sz val="11"/>
        <color theme="1"/>
        <name val="Calibri"/>
        <scheme val="none"/>
      </font>
      <numFmt numFmtId="164" formatCode="_-* #,##0_-;\-* #,##0_-;_-* &quot;-&quot;??_-;_-@_-"/>
    </dxf>
  </rfmt>
  <rfmt sheetId="1" sqref="AU617" start="0" length="0">
    <dxf>
      <font>
        <sz val="11"/>
        <color theme="1"/>
        <name val="Calibri"/>
        <scheme val="none"/>
      </font>
    </dxf>
  </rfmt>
  <rfmt sheetId="1" sqref="AV617" start="0" length="0">
    <dxf>
      <font>
        <sz val="11"/>
        <color theme="1"/>
        <name val="Calibri"/>
        <scheme val="none"/>
      </font>
    </dxf>
  </rfmt>
  <rfmt sheetId="1" sqref="AW617" start="0" length="0">
    <dxf>
      <font>
        <sz val="11"/>
        <color theme="1"/>
        <name val="Calibri"/>
        <scheme val="none"/>
      </font>
    </dxf>
  </rfmt>
  <rfmt sheetId="1" sqref="AX617" start="0" length="0">
    <dxf>
      <font>
        <sz val="11"/>
        <color theme="1"/>
        <name val="Calibri"/>
        <scheme val="none"/>
      </font>
    </dxf>
  </rfmt>
  <rfmt sheetId="1" sqref="AY617" start="0" length="0">
    <dxf>
      <font>
        <sz val="11"/>
        <color theme="1"/>
        <name val="Calibri"/>
        <scheme val="none"/>
      </font>
    </dxf>
  </rfmt>
  <rfmt sheetId="1" sqref="A617:XFD617" start="0" length="0">
    <dxf>
      <font>
        <sz val="11"/>
        <color theme="1"/>
        <name val="Calibri"/>
        <scheme val="none"/>
      </font>
    </dxf>
  </rfmt>
  <rfmt sheetId="1" sqref="A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1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1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1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1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18" start="0" length="0">
    <dxf>
      <font>
        <sz val="11"/>
        <color theme="1"/>
        <name val="Calibri"/>
        <scheme val="none"/>
      </font>
    </dxf>
  </rfmt>
  <rfmt sheetId="1" sqref="AM618" start="0" length="0">
    <dxf>
      <font>
        <sz val="11"/>
        <color theme="1"/>
        <name val="Calibri"/>
        <scheme val="none"/>
      </font>
      <numFmt numFmtId="1" formatCode="0"/>
    </dxf>
  </rfmt>
  <rfmt sheetId="1" sqref="AN618" start="0" length="0">
    <dxf>
      <font>
        <sz val="11"/>
        <color theme="1"/>
        <name val="Calibri"/>
        <scheme val="none"/>
      </font>
      <numFmt numFmtId="1" formatCode="0"/>
    </dxf>
  </rfmt>
  <rfmt sheetId="1" sqref="AO618" start="0" length="0">
    <dxf>
      <font>
        <sz val="11"/>
        <color theme="1"/>
        <name val="Calibri"/>
        <scheme val="none"/>
      </font>
    </dxf>
  </rfmt>
  <rfmt sheetId="1" sqref="AP618" start="0" length="0">
    <dxf>
      <font>
        <sz val="11"/>
        <color theme="1"/>
        <name val="Calibri"/>
        <scheme val="none"/>
      </font>
    </dxf>
  </rfmt>
  <rfmt sheetId="1" sqref="AQ618" start="0" length="0">
    <dxf>
      <font>
        <sz val="11"/>
        <color theme="1"/>
        <name val="Calibri"/>
        <scheme val="none"/>
      </font>
      <numFmt numFmtId="164" formatCode="_-* #,##0_-;\-* #,##0_-;_-* &quot;-&quot;??_-;_-@_-"/>
    </dxf>
  </rfmt>
  <rfmt sheetId="1" sqref="AR618" start="0" length="0">
    <dxf>
      <font>
        <sz val="11"/>
        <color theme="1"/>
        <name val="Calibri"/>
        <scheme val="none"/>
      </font>
      <numFmt numFmtId="164" formatCode="_-* #,##0_-;\-* #,##0_-;_-* &quot;-&quot;??_-;_-@_-"/>
    </dxf>
  </rfmt>
  <rfmt sheetId="1" sqref="AS618" start="0" length="0">
    <dxf>
      <font>
        <sz val="11"/>
        <color theme="1"/>
        <name val="Calibri"/>
        <scheme val="none"/>
      </font>
      <numFmt numFmtId="164" formatCode="_-* #,##0_-;\-* #,##0_-;_-* &quot;-&quot;??_-;_-@_-"/>
    </dxf>
  </rfmt>
  <rfmt sheetId="1" sqref="AT618" start="0" length="0">
    <dxf>
      <font>
        <sz val="11"/>
        <color theme="1"/>
        <name val="Calibri"/>
        <scheme val="none"/>
      </font>
      <numFmt numFmtId="164" formatCode="_-* #,##0_-;\-* #,##0_-;_-* &quot;-&quot;??_-;_-@_-"/>
    </dxf>
  </rfmt>
  <rfmt sheetId="1" sqref="AU618" start="0" length="0">
    <dxf>
      <font>
        <sz val="11"/>
        <color theme="1"/>
        <name val="Calibri"/>
        <scheme val="none"/>
      </font>
    </dxf>
  </rfmt>
  <rfmt sheetId="1" sqref="AV618" start="0" length="0">
    <dxf>
      <font>
        <sz val="11"/>
        <color theme="1"/>
        <name val="Calibri"/>
        <scheme val="none"/>
      </font>
    </dxf>
  </rfmt>
  <rfmt sheetId="1" sqref="AW618" start="0" length="0">
    <dxf>
      <font>
        <sz val="11"/>
        <color theme="1"/>
        <name val="Calibri"/>
        <scheme val="none"/>
      </font>
    </dxf>
  </rfmt>
  <rfmt sheetId="1" sqref="AX618" start="0" length="0">
    <dxf>
      <font>
        <sz val="11"/>
        <color theme="1"/>
        <name val="Calibri"/>
        <scheme val="none"/>
      </font>
    </dxf>
  </rfmt>
  <rfmt sheetId="1" sqref="AY618" start="0" length="0">
    <dxf>
      <font>
        <sz val="11"/>
        <color theme="1"/>
        <name val="Calibri"/>
        <scheme val="none"/>
      </font>
    </dxf>
  </rfmt>
  <rfmt sheetId="1" sqref="A618:XFD618" start="0" length="0">
    <dxf>
      <font>
        <sz val="11"/>
        <color theme="1"/>
        <name val="Calibri"/>
        <scheme val="none"/>
      </font>
    </dxf>
  </rfmt>
  <rfmt sheetId="1" sqref="A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1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1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1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1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19" start="0" length="0">
    <dxf>
      <font>
        <sz val="11"/>
        <color theme="1"/>
        <name val="Calibri"/>
        <scheme val="none"/>
      </font>
    </dxf>
  </rfmt>
  <rfmt sheetId="1" sqref="AM619" start="0" length="0">
    <dxf>
      <font>
        <sz val="11"/>
        <color theme="1"/>
        <name val="Calibri"/>
        <scheme val="none"/>
      </font>
      <numFmt numFmtId="1" formatCode="0"/>
    </dxf>
  </rfmt>
  <rfmt sheetId="1" sqref="AN619" start="0" length="0">
    <dxf>
      <font>
        <sz val="11"/>
        <color theme="1"/>
        <name val="Calibri"/>
        <scheme val="none"/>
      </font>
      <numFmt numFmtId="1" formatCode="0"/>
    </dxf>
  </rfmt>
  <rfmt sheetId="1" sqref="AO619" start="0" length="0">
    <dxf>
      <font>
        <sz val="11"/>
        <color theme="1"/>
        <name val="Calibri"/>
        <scheme val="none"/>
      </font>
    </dxf>
  </rfmt>
  <rfmt sheetId="1" sqref="AP619" start="0" length="0">
    <dxf>
      <font>
        <sz val="11"/>
        <color theme="1"/>
        <name val="Calibri"/>
        <scheme val="none"/>
      </font>
    </dxf>
  </rfmt>
  <rfmt sheetId="1" sqref="AQ619" start="0" length="0">
    <dxf>
      <font>
        <sz val="11"/>
        <color theme="1"/>
        <name val="Calibri"/>
        <scheme val="none"/>
      </font>
      <numFmt numFmtId="164" formatCode="_-* #,##0_-;\-* #,##0_-;_-* &quot;-&quot;??_-;_-@_-"/>
    </dxf>
  </rfmt>
  <rfmt sheetId="1" sqref="AR619" start="0" length="0">
    <dxf>
      <font>
        <sz val="11"/>
        <color theme="1"/>
        <name val="Calibri"/>
        <scheme val="none"/>
      </font>
      <numFmt numFmtId="164" formatCode="_-* #,##0_-;\-* #,##0_-;_-* &quot;-&quot;??_-;_-@_-"/>
    </dxf>
  </rfmt>
  <rfmt sheetId="1" sqref="AS619" start="0" length="0">
    <dxf>
      <font>
        <sz val="11"/>
        <color theme="1"/>
        <name val="Calibri"/>
        <scheme val="none"/>
      </font>
      <numFmt numFmtId="164" formatCode="_-* #,##0_-;\-* #,##0_-;_-* &quot;-&quot;??_-;_-@_-"/>
    </dxf>
  </rfmt>
  <rfmt sheetId="1" sqref="AT619" start="0" length="0">
    <dxf>
      <font>
        <sz val="11"/>
        <color theme="1"/>
        <name val="Calibri"/>
        <scheme val="none"/>
      </font>
      <numFmt numFmtId="164" formatCode="_-* #,##0_-;\-* #,##0_-;_-* &quot;-&quot;??_-;_-@_-"/>
    </dxf>
  </rfmt>
  <rfmt sheetId="1" sqref="AU619" start="0" length="0">
    <dxf>
      <font>
        <sz val="11"/>
        <color theme="1"/>
        <name val="Calibri"/>
        <scheme val="none"/>
      </font>
    </dxf>
  </rfmt>
  <rfmt sheetId="1" sqref="AV619" start="0" length="0">
    <dxf>
      <font>
        <sz val="11"/>
        <color theme="1"/>
        <name val="Calibri"/>
        <scheme val="none"/>
      </font>
    </dxf>
  </rfmt>
  <rfmt sheetId="1" sqref="AW619" start="0" length="0">
    <dxf>
      <font>
        <sz val="11"/>
        <color theme="1"/>
        <name val="Calibri"/>
        <scheme val="none"/>
      </font>
    </dxf>
  </rfmt>
  <rfmt sheetId="1" sqref="AX619" start="0" length="0">
    <dxf>
      <font>
        <sz val="11"/>
        <color theme="1"/>
        <name val="Calibri"/>
        <scheme val="none"/>
      </font>
    </dxf>
  </rfmt>
  <rfmt sheetId="1" sqref="AY619" start="0" length="0">
    <dxf>
      <font>
        <sz val="11"/>
        <color theme="1"/>
        <name val="Calibri"/>
        <scheme val="none"/>
      </font>
    </dxf>
  </rfmt>
  <rfmt sheetId="1" sqref="A619:XFD619" start="0" length="0">
    <dxf>
      <font>
        <sz val="11"/>
        <color theme="1"/>
        <name val="Calibri"/>
        <scheme val="none"/>
      </font>
    </dxf>
  </rfmt>
  <rfmt sheetId="1" sqref="A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2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2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2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2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20" start="0" length="0">
    <dxf>
      <font>
        <sz val="11"/>
        <color theme="1"/>
        <name val="Calibri"/>
        <scheme val="none"/>
      </font>
    </dxf>
  </rfmt>
  <rfmt sheetId="1" sqref="AM620" start="0" length="0">
    <dxf>
      <font>
        <sz val="11"/>
        <color theme="1"/>
        <name val="Calibri"/>
        <scheme val="none"/>
      </font>
      <numFmt numFmtId="1" formatCode="0"/>
    </dxf>
  </rfmt>
  <rfmt sheetId="1" sqref="AN620" start="0" length="0">
    <dxf>
      <font>
        <sz val="11"/>
        <color theme="1"/>
        <name val="Calibri"/>
        <scheme val="none"/>
      </font>
      <numFmt numFmtId="1" formatCode="0"/>
    </dxf>
  </rfmt>
  <rfmt sheetId="1" sqref="AO620" start="0" length="0">
    <dxf>
      <font>
        <sz val="11"/>
        <color theme="1"/>
        <name val="Calibri"/>
        <scheme val="none"/>
      </font>
    </dxf>
  </rfmt>
  <rfmt sheetId="1" sqref="AP620" start="0" length="0">
    <dxf>
      <font>
        <sz val="11"/>
        <color theme="1"/>
        <name val="Calibri"/>
        <scheme val="none"/>
      </font>
    </dxf>
  </rfmt>
  <rfmt sheetId="1" sqref="AQ620" start="0" length="0">
    <dxf>
      <font>
        <sz val="11"/>
        <color theme="1"/>
        <name val="Calibri"/>
        <scheme val="none"/>
      </font>
      <numFmt numFmtId="164" formatCode="_-* #,##0_-;\-* #,##0_-;_-* &quot;-&quot;??_-;_-@_-"/>
    </dxf>
  </rfmt>
  <rfmt sheetId="1" sqref="AR620" start="0" length="0">
    <dxf>
      <font>
        <sz val="11"/>
        <color theme="1"/>
        <name val="Calibri"/>
        <scheme val="none"/>
      </font>
      <numFmt numFmtId="164" formatCode="_-* #,##0_-;\-* #,##0_-;_-* &quot;-&quot;??_-;_-@_-"/>
    </dxf>
  </rfmt>
  <rfmt sheetId="1" sqref="AS620" start="0" length="0">
    <dxf>
      <font>
        <sz val="11"/>
        <color theme="1"/>
        <name val="Calibri"/>
        <scheme val="none"/>
      </font>
      <numFmt numFmtId="164" formatCode="_-* #,##0_-;\-* #,##0_-;_-* &quot;-&quot;??_-;_-@_-"/>
    </dxf>
  </rfmt>
  <rfmt sheetId="1" sqref="AT620" start="0" length="0">
    <dxf>
      <font>
        <sz val="11"/>
        <color theme="1"/>
        <name val="Calibri"/>
        <scheme val="none"/>
      </font>
      <numFmt numFmtId="164" formatCode="_-* #,##0_-;\-* #,##0_-;_-* &quot;-&quot;??_-;_-@_-"/>
    </dxf>
  </rfmt>
  <rfmt sheetId="1" sqref="AU620" start="0" length="0">
    <dxf>
      <font>
        <sz val="11"/>
        <color theme="1"/>
        <name val="Calibri"/>
        <scheme val="none"/>
      </font>
    </dxf>
  </rfmt>
  <rfmt sheetId="1" sqref="AV620" start="0" length="0">
    <dxf>
      <font>
        <sz val="11"/>
        <color theme="1"/>
        <name val="Calibri"/>
        <scheme val="none"/>
      </font>
    </dxf>
  </rfmt>
  <rfmt sheetId="1" sqref="AW620" start="0" length="0">
    <dxf>
      <font>
        <sz val="11"/>
        <color theme="1"/>
        <name val="Calibri"/>
        <scheme val="none"/>
      </font>
    </dxf>
  </rfmt>
  <rfmt sheetId="1" sqref="AX620" start="0" length="0">
    <dxf>
      <font>
        <sz val="11"/>
        <color theme="1"/>
        <name val="Calibri"/>
        <scheme val="none"/>
      </font>
    </dxf>
  </rfmt>
  <rfmt sheetId="1" sqref="AY620" start="0" length="0">
    <dxf>
      <font>
        <sz val="11"/>
        <color theme="1"/>
        <name val="Calibri"/>
        <scheme val="none"/>
      </font>
    </dxf>
  </rfmt>
  <rfmt sheetId="1" sqref="A620:XFD620" start="0" length="0">
    <dxf>
      <font>
        <sz val="11"/>
        <color theme="1"/>
        <name val="Calibri"/>
        <scheme val="none"/>
      </font>
    </dxf>
  </rfmt>
  <rfmt sheetId="1" sqref="A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2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2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2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2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21" start="0" length="0">
    <dxf>
      <font>
        <sz val="11"/>
        <color theme="1"/>
        <name val="Calibri"/>
        <scheme val="none"/>
      </font>
    </dxf>
  </rfmt>
  <rfmt sheetId="1" sqref="AM621" start="0" length="0">
    <dxf>
      <font>
        <sz val="11"/>
        <color theme="1"/>
        <name val="Calibri"/>
        <scheme val="none"/>
      </font>
      <numFmt numFmtId="1" formatCode="0"/>
    </dxf>
  </rfmt>
  <rfmt sheetId="1" sqref="AN621" start="0" length="0">
    <dxf>
      <font>
        <sz val="11"/>
        <color theme="1"/>
        <name val="Calibri"/>
        <scheme val="none"/>
      </font>
      <numFmt numFmtId="1" formatCode="0"/>
    </dxf>
  </rfmt>
  <rfmt sheetId="1" sqref="AO621" start="0" length="0">
    <dxf>
      <font>
        <sz val="11"/>
        <color theme="1"/>
        <name val="Calibri"/>
        <scheme val="none"/>
      </font>
    </dxf>
  </rfmt>
  <rfmt sheetId="1" sqref="AP621" start="0" length="0">
    <dxf>
      <font>
        <sz val="11"/>
        <color theme="1"/>
        <name val="Calibri"/>
        <scheme val="none"/>
      </font>
    </dxf>
  </rfmt>
  <rfmt sheetId="1" sqref="AQ621" start="0" length="0">
    <dxf>
      <font>
        <sz val="11"/>
        <color theme="1"/>
        <name val="Calibri"/>
        <scheme val="none"/>
      </font>
      <numFmt numFmtId="164" formatCode="_-* #,##0_-;\-* #,##0_-;_-* &quot;-&quot;??_-;_-@_-"/>
    </dxf>
  </rfmt>
  <rfmt sheetId="1" sqref="AR621" start="0" length="0">
    <dxf>
      <font>
        <sz val="11"/>
        <color theme="1"/>
        <name val="Calibri"/>
        <scheme val="none"/>
      </font>
      <numFmt numFmtId="164" formatCode="_-* #,##0_-;\-* #,##0_-;_-* &quot;-&quot;??_-;_-@_-"/>
    </dxf>
  </rfmt>
  <rfmt sheetId="1" sqref="AS621" start="0" length="0">
    <dxf>
      <font>
        <sz val="11"/>
        <color theme="1"/>
        <name val="Calibri"/>
        <scheme val="none"/>
      </font>
      <numFmt numFmtId="164" formatCode="_-* #,##0_-;\-* #,##0_-;_-* &quot;-&quot;??_-;_-@_-"/>
    </dxf>
  </rfmt>
  <rfmt sheetId="1" sqref="AT621" start="0" length="0">
    <dxf>
      <font>
        <sz val="11"/>
        <color theme="1"/>
        <name val="Calibri"/>
        <scheme val="none"/>
      </font>
      <numFmt numFmtId="164" formatCode="_-* #,##0_-;\-* #,##0_-;_-* &quot;-&quot;??_-;_-@_-"/>
    </dxf>
  </rfmt>
  <rfmt sheetId="1" sqref="AU621" start="0" length="0">
    <dxf>
      <font>
        <sz val="11"/>
        <color theme="1"/>
        <name val="Calibri"/>
        <scheme val="none"/>
      </font>
    </dxf>
  </rfmt>
  <rfmt sheetId="1" sqref="AV621" start="0" length="0">
    <dxf>
      <font>
        <sz val="11"/>
        <color theme="1"/>
        <name val="Calibri"/>
        <scheme val="none"/>
      </font>
    </dxf>
  </rfmt>
  <rfmt sheetId="1" sqref="AW621" start="0" length="0">
    <dxf>
      <font>
        <sz val="11"/>
        <color theme="1"/>
        <name val="Calibri"/>
        <scheme val="none"/>
      </font>
    </dxf>
  </rfmt>
  <rfmt sheetId="1" sqref="AX621" start="0" length="0">
    <dxf>
      <font>
        <sz val="11"/>
        <color theme="1"/>
        <name val="Calibri"/>
        <scheme val="none"/>
      </font>
    </dxf>
  </rfmt>
  <rfmt sheetId="1" sqref="AY621" start="0" length="0">
    <dxf>
      <font>
        <sz val="11"/>
        <color theme="1"/>
        <name val="Calibri"/>
        <scheme val="none"/>
      </font>
    </dxf>
  </rfmt>
  <rfmt sheetId="1" sqref="A621:XFD621" start="0" length="0">
    <dxf>
      <font>
        <sz val="11"/>
        <color theme="1"/>
        <name val="Calibri"/>
        <scheme val="none"/>
      </font>
    </dxf>
  </rfmt>
  <rfmt sheetId="1" sqref="A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2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2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2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2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22" start="0" length="0">
    <dxf>
      <font>
        <sz val="11"/>
        <color theme="1"/>
        <name val="Calibri"/>
        <scheme val="none"/>
      </font>
    </dxf>
  </rfmt>
  <rfmt sheetId="1" sqref="AM622" start="0" length="0">
    <dxf>
      <font>
        <sz val="11"/>
        <color theme="1"/>
        <name val="Calibri"/>
        <scheme val="none"/>
      </font>
      <numFmt numFmtId="1" formatCode="0"/>
    </dxf>
  </rfmt>
  <rfmt sheetId="1" sqref="AN622" start="0" length="0">
    <dxf>
      <font>
        <sz val="11"/>
        <color theme="1"/>
        <name val="Calibri"/>
        <scheme val="none"/>
      </font>
      <numFmt numFmtId="1" formatCode="0"/>
    </dxf>
  </rfmt>
  <rfmt sheetId="1" sqref="AO622" start="0" length="0">
    <dxf>
      <font>
        <sz val="11"/>
        <color theme="1"/>
        <name val="Calibri"/>
        <scheme val="none"/>
      </font>
    </dxf>
  </rfmt>
  <rfmt sheetId="1" sqref="AP622" start="0" length="0">
    <dxf>
      <font>
        <sz val="11"/>
        <color theme="1"/>
        <name val="Calibri"/>
        <scheme val="none"/>
      </font>
    </dxf>
  </rfmt>
  <rfmt sheetId="1" sqref="AQ622" start="0" length="0">
    <dxf>
      <font>
        <sz val="11"/>
        <color theme="1"/>
        <name val="Calibri"/>
        <scheme val="none"/>
      </font>
      <numFmt numFmtId="164" formatCode="_-* #,##0_-;\-* #,##0_-;_-* &quot;-&quot;??_-;_-@_-"/>
    </dxf>
  </rfmt>
  <rfmt sheetId="1" sqref="AR622" start="0" length="0">
    <dxf>
      <font>
        <sz val="11"/>
        <color theme="1"/>
        <name val="Calibri"/>
        <scheme val="none"/>
      </font>
      <numFmt numFmtId="164" formatCode="_-* #,##0_-;\-* #,##0_-;_-* &quot;-&quot;??_-;_-@_-"/>
    </dxf>
  </rfmt>
  <rfmt sheetId="1" sqref="AS622" start="0" length="0">
    <dxf>
      <font>
        <sz val="11"/>
        <color theme="1"/>
        <name val="Calibri"/>
        <scheme val="none"/>
      </font>
      <numFmt numFmtId="164" formatCode="_-* #,##0_-;\-* #,##0_-;_-* &quot;-&quot;??_-;_-@_-"/>
    </dxf>
  </rfmt>
  <rfmt sheetId="1" sqref="AT622" start="0" length="0">
    <dxf>
      <font>
        <sz val="11"/>
        <color theme="1"/>
        <name val="Calibri"/>
        <scheme val="none"/>
      </font>
      <numFmt numFmtId="164" formatCode="_-* #,##0_-;\-* #,##0_-;_-* &quot;-&quot;??_-;_-@_-"/>
    </dxf>
  </rfmt>
  <rfmt sheetId="1" sqref="AU622" start="0" length="0">
    <dxf>
      <font>
        <sz val="11"/>
        <color theme="1"/>
        <name val="Calibri"/>
        <scheme val="none"/>
      </font>
    </dxf>
  </rfmt>
  <rfmt sheetId="1" sqref="AV622" start="0" length="0">
    <dxf>
      <font>
        <sz val="11"/>
        <color theme="1"/>
        <name val="Calibri"/>
        <scheme val="none"/>
      </font>
    </dxf>
  </rfmt>
  <rfmt sheetId="1" sqref="AW622" start="0" length="0">
    <dxf>
      <font>
        <sz val="11"/>
        <color theme="1"/>
        <name val="Calibri"/>
        <scheme val="none"/>
      </font>
    </dxf>
  </rfmt>
  <rfmt sheetId="1" sqref="AX622" start="0" length="0">
    <dxf>
      <font>
        <sz val="11"/>
        <color theme="1"/>
        <name val="Calibri"/>
        <scheme val="none"/>
      </font>
    </dxf>
  </rfmt>
  <rfmt sheetId="1" sqref="AY622" start="0" length="0">
    <dxf>
      <font>
        <sz val="11"/>
        <color theme="1"/>
        <name val="Calibri"/>
        <scheme val="none"/>
      </font>
    </dxf>
  </rfmt>
  <rfmt sheetId="1" sqref="A622:XFD622" start="0" length="0">
    <dxf>
      <font>
        <sz val="11"/>
        <color theme="1"/>
        <name val="Calibri"/>
        <scheme val="none"/>
      </font>
    </dxf>
  </rfmt>
  <rfmt sheetId="1" sqref="A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2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2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2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2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23" start="0" length="0">
    <dxf>
      <font>
        <sz val="11"/>
        <color theme="1"/>
        <name val="Calibri"/>
        <scheme val="none"/>
      </font>
    </dxf>
  </rfmt>
  <rfmt sheetId="1" sqref="AM623" start="0" length="0">
    <dxf>
      <font>
        <sz val="11"/>
        <color theme="1"/>
        <name val="Calibri"/>
        <scheme val="none"/>
      </font>
      <numFmt numFmtId="1" formatCode="0"/>
    </dxf>
  </rfmt>
  <rfmt sheetId="1" sqref="AN623" start="0" length="0">
    <dxf>
      <font>
        <sz val="11"/>
        <color theme="1"/>
        <name val="Calibri"/>
        <scheme val="none"/>
      </font>
      <numFmt numFmtId="1" formatCode="0"/>
    </dxf>
  </rfmt>
  <rfmt sheetId="1" sqref="AO623" start="0" length="0">
    <dxf>
      <font>
        <sz val="11"/>
        <color theme="1"/>
        <name val="Calibri"/>
        <scheme val="none"/>
      </font>
    </dxf>
  </rfmt>
  <rfmt sheetId="1" sqref="AP623" start="0" length="0">
    <dxf>
      <font>
        <sz val="11"/>
        <color theme="1"/>
        <name val="Calibri"/>
        <scheme val="none"/>
      </font>
    </dxf>
  </rfmt>
  <rfmt sheetId="1" sqref="AQ623" start="0" length="0">
    <dxf>
      <font>
        <sz val="11"/>
        <color theme="1"/>
        <name val="Calibri"/>
        <scheme val="none"/>
      </font>
      <numFmt numFmtId="164" formatCode="_-* #,##0_-;\-* #,##0_-;_-* &quot;-&quot;??_-;_-@_-"/>
    </dxf>
  </rfmt>
  <rfmt sheetId="1" sqref="AR623" start="0" length="0">
    <dxf>
      <font>
        <sz val="11"/>
        <color theme="1"/>
        <name val="Calibri"/>
        <scheme val="none"/>
      </font>
      <numFmt numFmtId="164" formatCode="_-* #,##0_-;\-* #,##0_-;_-* &quot;-&quot;??_-;_-@_-"/>
    </dxf>
  </rfmt>
  <rfmt sheetId="1" sqref="AS623" start="0" length="0">
    <dxf>
      <font>
        <sz val="11"/>
        <color theme="1"/>
        <name val="Calibri"/>
        <scheme val="none"/>
      </font>
      <numFmt numFmtId="164" formatCode="_-* #,##0_-;\-* #,##0_-;_-* &quot;-&quot;??_-;_-@_-"/>
    </dxf>
  </rfmt>
  <rfmt sheetId="1" sqref="AT623" start="0" length="0">
    <dxf>
      <font>
        <sz val="11"/>
        <color theme="1"/>
        <name val="Calibri"/>
        <scheme val="none"/>
      </font>
      <numFmt numFmtId="164" formatCode="_-* #,##0_-;\-* #,##0_-;_-* &quot;-&quot;??_-;_-@_-"/>
    </dxf>
  </rfmt>
  <rfmt sheetId="1" sqref="AU623" start="0" length="0">
    <dxf>
      <font>
        <sz val="11"/>
        <color theme="1"/>
        <name val="Calibri"/>
        <scheme val="none"/>
      </font>
    </dxf>
  </rfmt>
  <rfmt sheetId="1" sqref="AV623" start="0" length="0">
    <dxf>
      <font>
        <sz val="11"/>
        <color theme="1"/>
        <name val="Calibri"/>
        <scheme val="none"/>
      </font>
    </dxf>
  </rfmt>
  <rfmt sheetId="1" sqref="AW623" start="0" length="0">
    <dxf>
      <font>
        <sz val="11"/>
        <color theme="1"/>
        <name val="Calibri"/>
        <scheme val="none"/>
      </font>
    </dxf>
  </rfmt>
  <rfmt sheetId="1" sqref="AX623" start="0" length="0">
    <dxf>
      <font>
        <sz val="11"/>
        <color theme="1"/>
        <name val="Calibri"/>
        <scheme val="none"/>
      </font>
    </dxf>
  </rfmt>
  <rfmt sheetId="1" sqref="AY623" start="0" length="0">
    <dxf>
      <font>
        <sz val="11"/>
        <color theme="1"/>
        <name val="Calibri"/>
        <scheme val="none"/>
      </font>
    </dxf>
  </rfmt>
  <rfmt sheetId="1" sqref="A623:XFD623" start="0" length="0">
    <dxf>
      <font>
        <sz val="11"/>
        <color theme="1"/>
        <name val="Calibri"/>
        <scheme val="none"/>
      </font>
    </dxf>
  </rfmt>
  <rfmt sheetId="1" sqref="A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2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2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2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2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24" start="0" length="0">
    <dxf>
      <font>
        <sz val="11"/>
        <color theme="1"/>
        <name val="Calibri"/>
        <scheme val="none"/>
      </font>
    </dxf>
  </rfmt>
  <rfmt sheetId="1" sqref="AM624" start="0" length="0">
    <dxf>
      <font>
        <sz val="11"/>
        <color theme="1"/>
        <name val="Calibri"/>
        <scheme val="none"/>
      </font>
      <numFmt numFmtId="1" formatCode="0"/>
    </dxf>
  </rfmt>
  <rfmt sheetId="1" sqref="AN624" start="0" length="0">
    <dxf>
      <font>
        <sz val="11"/>
        <color theme="1"/>
        <name val="Calibri"/>
        <scheme val="none"/>
      </font>
      <numFmt numFmtId="1" formatCode="0"/>
    </dxf>
  </rfmt>
  <rfmt sheetId="1" sqref="AO624" start="0" length="0">
    <dxf>
      <font>
        <sz val="11"/>
        <color theme="1"/>
        <name val="Calibri"/>
        <scheme val="none"/>
      </font>
    </dxf>
  </rfmt>
  <rfmt sheetId="1" sqref="AP624" start="0" length="0">
    <dxf>
      <font>
        <sz val="11"/>
        <color theme="1"/>
        <name val="Calibri"/>
        <scheme val="none"/>
      </font>
    </dxf>
  </rfmt>
  <rfmt sheetId="1" sqref="AQ624" start="0" length="0">
    <dxf>
      <font>
        <sz val="11"/>
        <color theme="1"/>
        <name val="Calibri"/>
        <scheme val="none"/>
      </font>
      <numFmt numFmtId="164" formatCode="_-* #,##0_-;\-* #,##0_-;_-* &quot;-&quot;??_-;_-@_-"/>
    </dxf>
  </rfmt>
  <rfmt sheetId="1" sqref="AR624" start="0" length="0">
    <dxf>
      <font>
        <sz val="11"/>
        <color theme="1"/>
        <name val="Calibri"/>
        <scheme val="none"/>
      </font>
      <numFmt numFmtId="164" formatCode="_-* #,##0_-;\-* #,##0_-;_-* &quot;-&quot;??_-;_-@_-"/>
    </dxf>
  </rfmt>
  <rfmt sheetId="1" sqref="AS624" start="0" length="0">
    <dxf>
      <font>
        <sz val="11"/>
        <color theme="1"/>
        <name val="Calibri"/>
        <scheme val="none"/>
      </font>
      <numFmt numFmtId="164" formatCode="_-* #,##0_-;\-* #,##0_-;_-* &quot;-&quot;??_-;_-@_-"/>
    </dxf>
  </rfmt>
  <rfmt sheetId="1" sqref="AT624" start="0" length="0">
    <dxf>
      <font>
        <sz val="11"/>
        <color theme="1"/>
        <name val="Calibri"/>
        <scheme val="none"/>
      </font>
      <numFmt numFmtId="164" formatCode="_-* #,##0_-;\-* #,##0_-;_-* &quot;-&quot;??_-;_-@_-"/>
    </dxf>
  </rfmt>
  <rfmt sheetId="1" sqref="AU624" start="0" length="0">
    <dxf>
      <font>
        <sz val="11"/>
        <color theme="1"/>
        <name val="Calibri"/>
        <scheme val="none"/>
      </font>
    </dxf>
  </rfmt>
  <rfmt sheetId="1" sqref="AV624" start="0" length="0">
    <dxf>
      <font>
        <sz val="11"/>
        <color theme="1"/>
        <name val="Calibri"/>
        <scheme val="none"/>
      </font>
    </dxf>
  </rfmt>
  <rfmt sheetId="1" sqref="AW624" start="0" length="0">
    <dxf>
      <font>
        <sz val="11"/>
        <color theme="1"/>
        <name val="Calibri"/>
        <scheme val="none"/>
      </font>
    </dxf>
  </rfmt>
  <rfmt sheetId="1" sqref="AX624" start="0" length="0">
    <dxf>
      <font>
        <sz val="11"/>
        <color theme="1"/>
        <name val="Calibri"/>
        <scheme val="none"/>
      </font>
    </dxf>
  </rfmt>
  <rfmt sheetId="1" sqref="AY624" start="0" length="0">
    <dxf>
      <font>
        <sz val="11"/>
        <color theme="1"/>
        <name val="Calibri"/>
        <scheme val="none"/>
      </font>
    </dxf>
  </rfmt>
  <rfmt sheetId="1" sqref="A624:XFD624" start="0" length="0">
    <dxf>
      <font>
        <sz val="11"/>
        <color theme="1"/>
        <name val="Calibri"/>
        <scheme val="none"/>
      </font>
    </dxf>
  </rfmt>
  <rfmt sheetId="1" sqref="A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2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2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2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2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25" start="0" length="0">
    <dxf>
      <font>
        <sz val="11"/>
        <color theme="1"/>
        <name val="Calibri"/>
        <scheme val="none"/>
      </font>
    </dxf>
  </rfmt>
  <rfmt sheetId="1" sqref="AM625" start="0" length="0">
    <dxf>
      <font>
        <sz val="11"/>
        <color theme="1"/>
        <name val="Calibri"/>
        <scheme val="none"/>
      </font>
      <numFmt numFmtId="1" formatCode="0"/>
    </dxf>
  </rfmt>
  <rfmt sheetId="1" sqref="AN625" start="0" length="0">
    <dxf>
      <font>
        <sz val="11"/>
        <color theme="1"/>
        <name val="Calibri"/>
        <scheme val="none"/>
      </font>
      <numFmt numFmtId="1" formatCode="0"/>
    </dxf>
  </rfmt>
  <rfmt sheetId="1" sqref="AO625" start="0" length="0">
    <dxf>
      <font>
        <sz val="11"/>
        <color theme="1"/>
        <name val="Calibri"/>
        <scheme val="none"/>
      </font>
    </dxf>
  </rfmt>
  <rfmt sheetId="1" sqref="AP625" start="0" length="0">
    <dxf>
      <font>
        <sz val="11"/>
        <color theme="1"/>
        <name val="Calibri"/>
        <scheme val="none"/>
      </font>
    </dxf>
  </rfmt>
  <rfmt sheetId="1" sqref="AQ625" start="0" length="0">
    <dxf>
      <font>
        <sz val="11"/>
        <color theme="1"/>
        <name val="Calibri"/>
        <scheme val="none"/>
      </font>
      <numFmt numFmtId="164" formatCode="_-* #,##0_-;\-* #,##0_-;_-* &quot;-&quot;??_-;_-@_-"/>
    </dxf>
  </rfmt>
  <rfmt sheetId="1" sqref="AR625" start="0" length="0">
    <dxf>
      <font>
        <sz val="11"/>
        <color theme="1"/>
        <name val="Calibri"/>
        <scheme val="none"/>
      </font>
      <numFmt numFmtId="164" formatCode="_-* #,##0_-;\-* #,##0_-;_-* &quot;-&quot;??_-;_-@_-"/>
    </dxf>
  </rfmt>
  <rfmt sheetId="1" sqref="AS625" start="0" length="0">
    <dxf>
      <font>
        <sz val="11"/>
        <color theme="1"/>
        <name val="Calibri"/>
        <scheme val="none"/>
      </font>
      <numFmt numFmtId="164" formatCode="_-* #,##0_-;\-* #,##0_-;_-* &quot;-&quot;??_-;_-@_-"/>
    </dxf>
  </rfmt>
  <rfmt sheetId="1" sqref="AT625" start="0" length="0">
    <dxf>
      <font>
        <sz val="11"/>
        <color theme="1"/>
        <name val="Calibri"/>
        <scheme val="none"/>
      </font>
      <numFmt numFmtId="164" formatCode="_-* #,##0_-;\-* #,##0_-;_-* &quot;-&quot;??_-;_-@_-"/>
    </dxf>
  </rfmt>
  <rfmt sheetId="1" sqref="AU625" start="0" length="0">
    <dxf>
      <font>
        <sz val="11"/>
        <color theme="1"/>
        <name val="Calibri"/>
        <scheme val="none"/>
      </font>
    </dxf>
  </rfmt>
  <rfmt sheetId="1" sqref="AV625" start="0" length="0">
    <dxf>
      <font>
        <sz val="11"/>
        <color theme="1"/>
        <name val="Calibri"/>
        <scheme val="none"/>
      </font>
    </dxf>
  </rfmt>
  <rfmt sheetId="1" sqref="AW625" start="0" length="0">
    <dxf>
      <font>
        <sz val="11"/>
        <color theme="1"/>
        <name val="Calibri"/>
        <scheme val="none"/>
      </font>
    </dxf>
  </rfmt>
  <rfmt sheetId="1" sqref="AX625" start="0" length="0">
    <dxf>
      <font>
        <sz val="11"/>
        <color theme="1"/>
        <name val="Calibri"/>
        <scheme val="none"/>
      </font>
    </dxf>
  </rfmt>
  <rfmt sheetId="1" sqref="AY625" start="0" length="0">
    <dxf>
      <font>
        <sz val="11"/>
        <color theme="1"/>
        <name val="Calibri"/>
        <scheme val="none"/>
      </font>
    </dxf>
  </rfmt>
  <rfmt sheetId="1" sqref="A625:XFD625" start="0" length="0">
    <dxf>
      <font>
        <sz val="11"/>
        <color theme="1"/>
        <name val="Calibri"/>
        <scheme val="none"/>
      </font>
    </dxf>
  </rfmt>
  <rfmt sheetId="1" sqref="A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2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2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2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2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26" start="0" length="0">
    <dxf>
      <font>
        <sz val="11"/>
        <color theme="1"/>
        <name val="Calibri"/>
        <scheme val="none"/>
      </font>
    </dxf>
  </rfmt>
  <rfmt sheetId="1" sqref="AM626" start="0" length="0">
    <dxf>
      <font>
        <sz val="11"/>
        <color theme="1"/>
        <name val="Calibri"/>
        <scheme val="none"/>
      </font>
      <numFmt numFmtId="1" formatCode="0"/>
    </dxf>
  </rfmt>
  <rfmt sheetId="1" sqref="AN626" start="0" length="0">
    <dxf>
      <font>
        <sz val="11"/>
        <color theme="1"/>
        <name val="Calibri"/>
        <scheme val="none"/>
      </font>
      <numFmt numFmtId="1" formatCode="0"/>
    </dxf>
  </rfmt>
  <rfmt sheetId="1" sqref="AO626" start="0" length="0">
    <dxf>
      <font>
        <sz val="11"/>
        <color theme="1"/>
        <name val="Calibri"/>
        <scheme val="none"/>
      </font>
    </dxf>
  </rfmt>
  <rfmt sheetId="1" sqref="AP626" start="0" length="0">
    <dxf>
      <font>
        <sz val="11"/>
        <color theme="1"/>
        <name val="Calibri"/>
        <scheme val="none"/>
      </font>
    </dxf>
  </rfmt>
  <rfmt sheetId="1" sqref="AQ626" start="0" length="0">
    <dxf>
      <font>
        <sz val="11"/>
        <color theme="1"/>
        <name val="Calibri"/>
        <scheme val="none"/>
      </font>
      <numFmt numFmtId="164" formatCode="_-* #,##0_-;\-* #,##0_-;_-* &quot;-&quot;??_-;_-@_-"/>
    </dxf>
  </rfmt>
  <rfmt sheetId="1" sqref="AR626" start="0" length="0">
    <dxf>
      <font>
        <sz val="11"/>
        <color theme="1"/>
        <name val="Calibri"/>
        <scheme val="none"/>
      </font>
      <numFmt numFmtId="164" formatCode="_-* #,##0_-;\-* #,##0_-;_-* &quot;-&quot;??_-;_-@_-"/>
    </dxf>
  </rfmt>
  <rfmt sheetId="1" sqref="AS626" start="0" length="0">
    <dxf>
      <font>
        <sz val="11"/>
        <color theme="1"/>
        <name val="Calibri"/>
        <scheme val="none"/>
      </font>
      <numFmt numFmtId="164" formatCode="_-* #,##0_-;\-* #,##0_-;_-* &quot;-&quot;??_-;_-@_-"/>
    </dxf>
  </rfmt>
  <rfmt sheetId="1" sqref="AT626" start="0" length="0">
    <dxf>
      <font>
        <sz val="11"/>
        <color theme="1"/>
        <name val="Calibri"/>
        <scheme val="none"/>
      </font>
      <numFmt numFmtId="164" formatCode="_-* #,##0_-;\-* #,##0_-;_-* &quot;-&quot;??_-;_-@_-"/>
    </dxf>
  </rfmt>
  <rfmt sheetId="1" sqref="AU626" start="0" length="0">
    <dxf>
      <font>
        <sz val="11"/>
        <color theme="1"/>
        <name val="Calibri"/>
        <scheme val="none"/>
      </font>
    </dxf>
  </rfmt>
  <rfmt sheetId="1" sqref="AV626" start="0" length="0">
    <dxf>
      <font>
        <sz val="11"/>
        <color theme="1"/>
        <name val="Calibri"/>
        <scheme val="none"/>
      </font>
    </dxf>
  </rfmt>
  <rfmt sheetId="1" sqref="AW626" start="0" length="0">
    <dxf>
      <font>
        <sz val="11"/>
        <color theme="1"/>
        <name val="Calibri"/>
        <scheme val="none"/>
      </font>
    </dxf>
  </rfmt>
  <rfmt sheetId="1" sqref="AX626" start="0" length="0">
    <dxf>
      <font>
        <sz val="11"/>
        <color theme="1"/>
        <name val="Calibri"/>
        <scheme val="none"/>
      </font>
    </dxf>
  </rfmt>
  <rfmt sheetId="1" sqref="AY626" start="0" length="0">
    <dxf>
      <font>
        <sz val="11"/>
        <color theme="1"/>
        <name val="Calibri"/>
        <scheme val="none"/>
      </font>
    </dxf>
  </rfmt>
  <rfmt sheetId="1" sqref="A626:XFD626" start="0" length="0">
    <dxf>
      <font>
        <sz val="11"/>
        <color theme="1"/>
        <name val="Calibri"/>
        <scheme val="none"/>
      </font>
    </dxf>
  </rfmt>
  <rfmt sheetId="1" sqref="A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2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2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2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2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27" start="0" length="0">
    <dxf>
      <font>
        <sz val="11"/>
        <color theme="1"/>
        <name val="Calibri"/>
        <scheme val="none"/>
      </font>
    </dxf>
  </rfmt>
  <rfmt sheetId="1" sqref="AM627" start="0" length="0">
    <dxf>
      <font>
        <sz val="11"/>
        <color theme="1"/>
        <name val="Calibri"/>
        <scheme val="none"/>
      </font>
      <numFmt numFmtId="1" formatCode="0"/>
    </dxf>
  </rfmt>
  <rfmt sheetId="1" sqref="AN627" start="0" length="0">
    <dxf>
      <font>
        <sz val="11"/>
        <color theme="1"/>
        <name val="Calibri"/>
        <scheme val="none"/>
      </font>
      <numFmt numFmtId="1" formatCode="0"/>
    </dxf>
  </rfmt>
  <rfmt sheetId="1" sqref="AO627" start="0" length="0">
    <dxf>
      <font>
        <sz val="11"/>
        <color theme="1"/>
        <name val="Calibri"/>
        <scheme val="none"/>
      </font>
    </dxf>
  </rfmt>
  <rfmt sheetId="1" sqref="AP627" start="0" length="0">
    <dxf>
      <font>
        <sz val="11"/>
        <color theme="1"/>
        <name val="Calibri"/>
        <scheme val="none"/>
      </font>
    </dxf>
  </rfmt>
  <rfmt sheetId="1" sqref="AQ627" start="0" length="0">
    <dxf>
      <font>
        <sz val="11"/>
        <color theme="1"/>
        <name val="Calibri"/>
        <scheme val="none"/>
      </font>
      <numFmt numFmtId="164" formatCode="_-* #,##0_-;\-* #,##0_-;_-* &quot;-&quot;??_-;_-@_-"/>
    </dxf>
  </rfmt>
  <rfmt sheetId="1" sqref="AR627" start="0" length="0">
    <dxf>
      <font>
        <sz val="11"/>
        <color theme="1"/>
        <name val="Calibri"/>
        <scheme val="none"/>
      </font>
      <numFmt numFmtId="164" formatCode="_-* #,##0_-;\-* #,##0_-;_-* &quot;-&quot;??_-;_-@_-"/>
    </dxf>
  </rfmt>
  <rfmt sheetId="1" sqref="AS627" start="0" length="0">
    <dxf>
      <font>
        <sz val="11"/>
        <color theme="1"/>
        <name val="Calibri"/>
        <scheme val="none"/>
      </font>
      <numFmt numFmtId="164" formatCode="_-* #,##0_-;\-* #,##0_-;_-* &quot;-&quot;??_-;_-@_-"/>
    </dxf>
  </rfmt>
  <rfmt sheetId="1" sqref="AT627" start="0" length="0">
    <dxf>
      <font>
        <sz val="11"/>
        <color theme="1"/>
        <name val="Calibri"/>
        <scheme val="none"/>
      </font>
      <numFmt numFmtId="164" formatCode="_-* #,##0_-;\-* #,##0_-;_-* &quot;-&quot;??_-;_-@_-"/>
    </dxf>
  </rfmt>
  <rfmt sheetId="1" sqref="AU627" start="0" length="0">
    <dxf>
      <font>
        <sz val="11"/>
        <color theme="1"/>
        <name val="Calibri"/>
        <scheme val="none"/>
      </font>
    </dxf>
  </rfmt>
  <rfmt sheetId="1" sqref="AV627" start="0" length="0">
    <dxf>
      <font>
        <sz val="11"/>
        <color theme="1"/>
        <name val="Calibri"/>
        <scheme val="none"/>
      </font>
    </dxf>
  </rfmt>
  <rfmt sheetId="1" sqref="AW627" start="0" length="0">
    <dxf>
      <font>
        <sz val="11"/>
        <color theme="1"/>
        <name val="Calibri"/>
        <scheme val="none"/>
      </font>
    </dxf>
  </rfmt>
  <rfmt sheetId="1" sqref="AX627" start="0" length="0">
    <dxf>
      <font>
        <sz val="11"/>
        <color theme="1"/>
        <name val="Calibri"/>
        <scheme val="none"/>
      </font>
    </dxf>
  </rfmt>
  <rfmt sheetId="1" sqref="AY627" start="0" length="0">
    <dxf>
      <font>
        <sz val="11"/>
        <color theme="1"/>
        <name val="Calibri"/>
        <scheme val="none"/>
      </font>
    </dxf>
  </rfmt>
  <rfmt sheetId="1" sqref="A627:XFD627" start="0" length="0">
    <dxf>
      <font>
        <sz val="11"/>
        <color theme="1"/>
        <name val="Calibri"/>
        <scheme val="none"/>
      </font>
    </dxf>
  </rfmt>
  <rfmt sheetId="1" sqref="A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2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2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2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2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28" start="0" length="0">
    <dxf>
      <font>
        <sz val="11"/>
        <color theme="1"/>
        <name val="Calibri"/>
        <scheme val="none"/>
      </font>
    </dxf>
  </rfmt>
  <rfmt sheetId="1" sqref="AM628" start="0" length="0">
    <dxf>
      <font>
        <sz val="11"/>
        <color theme="1"/>
        <name val="Calibri"/>
        <scheme val="none"/>
      </font>
      <numFmt numFmtId="1" formatCode="0"/>
    </dxf>
  </rfmt>
  <rfmt sheetId="1" sqref="AN628" start="0" length="0">
    <dxf>
      <font>
        <sz val="11"/>
        <color theme="1"/>
        <name val="Calibri"/>
        <scheme val="none"/>
      </font>
      <numFmt numFmtId="1" formatCode="0"/>
    </dxf>
  </rfmt>
  <rfmt sheetId="1" sqref="AO628" start="0" length="0">
    <dxf>
      <font>
        <sz val="11"/>
        <color theme="1"/>
        <name val="Calibri"/>
        <scheme val="none"/>
      </font>
    </dxf>
  </rfmt>
  <rfmt sheetId="1" sqref="AP628" start="0" length="0">
    <dxf>
      <font>
        <sz val="11"/>
        <color theme="1"/>
        <name val="Calibri"/>
        <scheme val="none"/>
      </font>
    </dxf>
  </rfmt>
  <rfmt sheetId="1" sqref="AQ628" start="0" length="0">
    <dxf>
      <font>
        <sz val="11"/>
        <color theme="1"/>
        <name val="Calibri"/>
        <scheme val="none"/>
      </font>
      <numFmt numFmtId="164" formatCode="_-* #,##0_-;\-* #,##0_-;_-* &quot;-&quot;??_-;_-@_-"/>
    </dxf>
  </rfmt>
  <rfmt sheetId="1" sqref="AR628" start="0" length="0">
    <dxf>
      <font>
        <sz val="11"/>
        <color theme="1"/>
        <name val="Calibri"/>
        <scheme val="none"/>
      </font>
      <numFmt numFmtId="164" formatCode="_-* #,##0_-;\-* #,##0_-;_-* &quot;-&quot;??_-;_-@_-"/>
    </dxf>
  </rfmt>
  <rfmt sheetId="1" sqref="AS628" start="0" length="0">
    <dxf>
      <font>
        <sz val="11"/>
        <color theme="1"/>
        <name val="Calibri"/>
        <scheme val="none"/>
      </font>
      <numFmt numFmtId="164" formatCode="_-* #,##0_-;\-* #,##0_-;_-* &quot;-&quot;??_-;_-@_-"/>
    </dxf>
  </rfmt>
  <rfmt sheetId="1" sqref="AT628" start="0" length="0">
    <dxf>
      <font>
        <sz val="11"/>
        <color theme="1"/>
        <name val="Calibri"/>
        <scheme val="none"/>
      </font>
      <numFmt numFmtId="164" formatCode="_-* #,##0_-;\-* #,##0_-;_-* &quot;-&quot;??_-;_-@_-"/>
    </dxf>
  </rfmt>
  <rfmt sheetId="1" sqref="AU628" start="0" length="0">
    <dxf>
      <font>
        <sz val="11"/>
        <color theme="1"/>
        <name val="Calibri"/>
        <scheme val="none"/>
      </font>
    </dxf>
  </rfmt>
  <rfmt sheetId="1" sqref="AV628" start="0" length="0">
    <dxf>
      <font>
        <sz val="11"/>
        <color theme="1"/>
        <name val="Calibri"/>
        <scheme val="none"/>
      </font>
    </dxf>
  </rfmt>
  <rfmt sheetId="1" sqref="AW628" start="0" length="0">
    <dxf>
      <font>
        <sz val="11"/>
        <color theme="1"/>
        <name val="Calibri"/>
        <scheme val="none"/>
      </font>
    </dxf>
  </rfmt>
  <rfmt sheetId="1" sqref="AX628" start="0" length="0">
    <dxf>
      <font>
        <sz val="11"/>
        <color theme="1"/>
        <name val="Calibri"/>
        <scheme val="none"/>
      </font>
    </dxf>
  </rfmt>
  <rfmt sheetId="1" sqref="AY628" start="0" length="0">
    <dxf>
      <font>
        <sz val="11"/>
        <color theme="1"/>
        <name val="Calibri"/>
        <scheme val="none"/>
      </font>
    </dxf>
  </rfmt>
  <rfmt sheetId="1" sqref="A628:XFD628" start="0" length="0">
    <dxf>
      <font>
        <sz val="11"/>
        <color theme="1"/>
        <name val="Calibri"/>
        <scheme val="none"/>
      </font>
    </dxf>
  </rfmt>
  <rfmt sheetId="1" sqref="A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2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2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2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2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29" start="0" length="0">
    <dxf>
      <font>
        <sz val="11"/>
        <color theme="1"/>
        <name val="Calibri"/>
        <scheme val="none"/>
      </font>
    </dxf>
  </rfmt>
  <rfmt sheetId="1" sqref="AM629" start="0" length="0">
    <dxf>
      <font>
        <sz val="11"/>
        <color theme="1"/>
        <name val="Calibri"/>
        <scheme val="none"/>
      </font>
      <numFmt numFmtId="1" formatCode="0"/>
    </dxf>
  </rfmt>
  <rfmt sheetId="1" sqref="AN629" start="0" length="0">
    <dxf>
      <font>
        <sz val="11"/>
        <color theme="1"/>
        <name val="Calibri"/>
        <scheme val="none"/>
      </font>
      <numFmt numFmtId="1" formatCode="0"/>
    </dxf>
  </rfmt>
  <rfmt sheetId="1" sqref="AO629" start="0" length="0">
    <dxf>
      <font>
        <sz val="11"/>
        <color theme="1"/>
        <name val="Calibri"/>
        <scheme val="none"/>
      </font>
    </dxf>
  </rfmt>
  <rfmt sheetId="1" sqref="AP629" start="0" length="0">
    <dxf>
      <font>
        <sz val="11"/>
        <color theme="1"/>
        <name val="Calibri"/>
        <scheme val="none"/>
      </font>
    </dxf>
  </rfmt>
  <rfmt sheetId="1" sqref="AQ629" start="0" length="0">
    <dxf>
      <font>
        <sz val="11"/>
        <color theme="1"/>
        <name val="Calibri"/>
        <scheme val="none"/>
      </font>
      <numFmt numFmtId="164" formatCode="_-* #,##0_-;\-* #,##0_-;_-* &quot;-&quot;??_-;_-@_-"/>
    </dxf>
  </rfmt>
  <rfmt sheetId="1" sqref="AR629" start="0" length="0">
    <dxf>
      <font>
        <sz val="11"/>
        <color theme="1"/>
        <name val="Calibri"/>
        <scheme val="none"/>
      </font>
      <numFmt numFmtId="164" formatCode="_-* #,##0_-;\-* #,##0_-;_-* &quot;-&quot;??_-;_-@_-"/>
    </dxf>
  </rfmt>
  <rfmt sheetId="1" sqref="AS629" start="0" length="0">
    <dxf>
      <font>
        <sz val="11"/>
        <color theme="1"/>
        <name val="Calibri"/>
        <scheme val="none"/>
      </font>
      <numFmt numFmtId="164" formatCode="_-* #,##0_-;\-* #,##0_-;_-* &quot;-&quot;??_-;_-@_-"/>
    </dxf>
  </rfmt>
  <rfmt sheetId="1" sqref="AT629" start="0" length="0">
    <dxf>
      <font>
        <sz val="11"/>
        <color theme="1"/>
        <name val="Calibri"/>
        <scheme val="none"/>
      </font>
      <numFmt numFmtId="164" formatCode="_-* #,##0_-;\-* #,##0_-;_-* &quot;-&quot;??_-;_-@_-"/>
    </dxf>
  </rfmt>
  <rfmt sheetId="1" sqref="AU629" start="0" length="0">
    <dxf>
      <font>
        <sz val="11"/>
        <color theme="1"/>
        <name val="Calibri"/>
        <scheme val="none"/>
      </font>
    </dxf>
  </rfmt>
  <rfmt sheetId="1" sqref="AV629" start="0" length="0">
    <dxf>
      <font>
        <sz val="11"/>
        <color theme="1"/>
        <name val="Calibri"/>
        <scheme val="none"/>
      </font>
    </dxf>
  </rfmt>
  <rfmt sheetId="1" sqref="AW629" start="0" length="0">
    <dxf>
      <font>
        <sz val="11"/>
        <color theme="1"/>
        <name val="Calibri"/>
        <scheme val="none"/>
      </font>
    </dxf>
  </rfmt>
  <rfmt sheetId="1" sqref="AX629" start="0" length="0">
    <dxf>
      <font>
        <sz val="11"/>
        <color theme="1"/>
        <name val="Calibri"/>
        <scheme val="none"/>
      </font>
    </dxf>
  </rfmt>
  <rfmt sheetId="1" sqref="AY629" start="0" length="0">
    <dxf>
      <font>
        <sz val="11"/>
        <color theme="1"/>
        <name val="Calibri"/>
        <scheme val="none"/>
      </font>
    </dxf>
  </rfmt>
  <rfmt sheetId="1" sqref="A629:XFD629" start="0" length="0">
    <dxf>
      <font>
        <sz val="11"/>
        <color theme="1"/>
        <name val="Calibri"/>
        <scheme val="none"/>
      </font>
    </dxf>
  </rfmt>
  <rfmt sheetId="1" sqref="A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3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3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3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3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30" start="0" length="0">
    <dxf>
      <font>
        <sz val="11"/>
        <color theme="1"/>
        <name val="Calibri"/>
        <scheme val="none"/>
      </font>
    </dxf>
  </rfmt>
  <rfmt sheetId="1" sqref="AM630" start="0" length="0">
    <dxf>
      <font>
        <sz val="11"/>
        <color theme="1"/>
        <name val="Calibri"/>
        <scheme val="none"/>
      </font>
      <numFmt numFmtId="1" formatCode="0"/>
    </dxf>
  </rfmt>
  <rfmt sheetId="1" sqref="AN630" start="0" length="0">
    <dxf>
      <font>
        <sz val="11"/>
        <color theme="1"/>
        <name val="Calibri"/>
        <scheme val="none"/>
      </font>
      <numFmt numFmtId="1" formatCode="0"/>
    </dxf>
  </rfmt>
  <rfmt sheetId="1" sqref="AO630" start="0" length="0">
    <dxf>
      <font>
        <sz val="11"/>
        <color theme="1"/>
        <name val="Calibri"/>
        <scheme val="none"/>
      </font>
    </dxf>
  </rfmt>
  <rfmt sheetId="1" sqref="AP630" start="0" length="0">
    <dxf>
      <font>
        <sz val="11"/>
        <color theme="1"/>
        <name val="Calibri"/>
        <scheme val="none"/>
      </font>
    </dxf>
  </rfmt>
  <rfmt sheetId="1" sqref="AQ630" start="0" length="0">
    <dxf>
      <font>
        <sz val="11"/>
        <color theme="1"/>
        <name val="Calibri"/>
        <scheme val="none"/>
      </font>
      <numFmt numFmtId="164" formatCode="_-* #,##0_-;\-* #,##0_-;_-* &quot;-&quot;??_-;_-@_-"/>
    </dxf>
  </rfmt>
  <rfmt sheetId="1" sqref="AR630" start="0" length="0">
    <dxf>
      <font>
        <sz val="11"/>
        <color theme="1"/>
        <name val="Calibri"/>
        <scheme val="none"/>
      </font>
      <numFmt numFmtId="164" formatCode="_-* #,##0_-;\-* #,##0_-;_-* &quot;-&quot;??_-;_-@_-"/>
    </dxf>
  </rfmt>
  <rfmt sheetId="1" sqref="AS630" start="0" length="0">
    <dxf>
      <font>
        <sz val="11"/>
        <color theme="1"/>
        <name val="Calibri"/>
        <scheme val="none"/>
      </font>
      <numFmt numFmtId="164" formatCode="_-* #,##0_-;\-* #,##0_-;_-* &quot;-&quot;??_-;_-@_-"/>
    </dxf>
  </rfmt>
  <rfmt sheetId="1" sqref="AT630" start="0" length="0">
    <dxf>
      <font>
        <sz val="11"/>
        <color theme="1"/>
        <name val="Calibri"/>
        <scheme val="none"/>
      </font>
      <numFmt numFmtId="164" formatCode="_-* #,##0_-;\-* #,##0_-;_-* &quot;-&quot;??_-;_-@_-"/>
    </dxf>
  </rfmt>
  <rfmt sheetId="1" sqref="AU630" start="0" length="0">
    <dxf>
      <font>
        <sz val="11"/>
        <color theme="1"/>
        <name val="Calibri"/>
        <scheme val="none"/>
      </font>
    </dxf>
  </rfmt>
  <rfmt sheetId="1" sqref="AV630" start="0" length="0">
    <dxf>
      <font>
        <sz val="11"/>
        <color theme="1"/>
        <name val="Calibri"/>
        <scheme val="none"/>
      </font>
    </dxf>
  </rfmt>
  <rfmt sheetId="1" sqref="AW630" start="0" length="0">
    <dxf>
      <font>
        <sz val="11"/>
        <color theme="1"/>
        <name val="Calibri"/>
        <scheme val="none"/>
      </font>
    </dxf>
  </rfmt>
  <rfmt sheetId="1" sqref="AX630" start="0" length="0">
    <dxf>
      <font>
        <sz val="11"/>
        <color theme="1"/>
        <name val="Calibri"/>
        <scheme val="none"/>
      </font>
    </dxf>
  </rfmt>
  <rfmt sheetId="1" sqref="AY630" start="0" length="0">
    <dxf>
      <font>
        <sz val="11"/>
        <color theme="1"/>
        <name val="Calibri"/>
        <scheme val="none"/>
      </font>
    </dxf>
  </rfmt>
  <rfmt sheetId="1" sqref="A630:XFD630" start="0" length="0">
    <dxf>
      <font>
        <sz val="11"/>
        <color theme="1"/>
        <name val="Calibri"/>
        <scheme val="none"/>
      </font>
    </dxf>
  </rfmt>
  <rfmt sheetId="1" sqref="A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3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3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3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3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31" start="0" length="0">
    <dxf>
      <font>
        <sz val="11"/>
        <color theme="1"/>
        <name val="Calibri"/>
        <scheme val="none"/>
      </font>
    </dxf>
  </rfmt>
  <rfmt sheetId="1" sqref="AM631" start="0" length="0">
    <dxf>
      <font>
        <sz val="11"/>
        <color theme="1"/>
        <name val="Calibri"/>
        <scheme val="none"/>
      </font>
      <numFmt numFmtId="1" formatCode="0"/>
    </dxf>
  </rfmt>
  <rfmt sheetId="1" sqref="AN631" start="0" length="0">
    <dxf>
      <font>
        <sz val="11"/>
        <color theme="1"/>
        <name val="Calibri"/>
        <scheme val="none"/>
      </font>
      <numFmt numFmtId="1" formatCode="0"/>
    </dxf>
  </rfmt>
  <rfmt sheetId="1" sqref="AO631" start="0" length="0">
    <dxf>
      <font>
        <sz val="11"/>
        <color theme="1"/>
        <name val="Calibri"/>
        <scheme val="none"/>
      </font>
    </dxf>
  </rfmt>
  <rfmt sheetId="1" sqref="AP631" start="0" length="0">
    <dxf>
      <font>
        <sz val="11"/>
        <color theme="1"/>
        <name val="Calibri"/>
        <scheme val="none"/>
      </font>
    </dxf>
  </rfmt>
  <rfmt sheetId="1" sqref="AQ631" start="0" length="0">
    <dxf>
      <font>
        <sz val="11"/>
        <color theme="1"/>
        <name val="Calibri"/>
        <scheme val="none"/>
      </font>
      <numFmt numFmtId="164" formatCode="_-* #,##0_-;\-* #,##0_-;_-* &quot;-&quot;??_-;_-@_-"/>
    </dxf>
  </rfmt>
  <rfmt sheetId="1" sqref="AR631" start="0" length="0">
    <dxf>
      <font>
        <sz val="11"/>
        <color theme="1"/>
        <name val="Calibri"/>
        <scheme val="none"/>
      </font>
      <numFmt numFmtId="164" formatCode="_-* #,##0_-;\-* #,##0_-;_-* &quot;-&quot;??_-;_-@_-"/>
    </dxf>
  </rfmt>
  <rfmt sheetId="1" sqref="AS631" start="0" length="0">
    <dxf>
      <font>
        <sz val="11"/>
        <color theme="1"/>
        <name val="Calibri"/>
        <scheme val="none"/>
      </font>
      <numFmt numFmtId="164" formatCode="_-* #,##0_-;\-* #,##0_-;_-* &quot;-&quot;??_-;_-@_-"/>
    </dxf>
  </rfmt>
  <rfmt sheetId="1" sqref="AT631" start="0" length="0">
    <dxf>
      <font>
        <sz val="11"/>
        <color theme="1"/>
        <name val="Calibri"/>
        <scheme val="none"/>
      </font>
      <numFmt numFmtId="164" formatCode="_-* #,##0_-;\-* #,##0_-;_-* &quot;-&quot;??_-;_-@_-"/>
    </dxf>
  </rfmt>
  <rfmt sheetId="1" sqref="AU631" start="0" length="0">
    <dxf>
      <font>
        <sz val="11"/>
        <color theme="1"/>
        <name val="Calibri"/>
        <scheme val="none"/>
      </font>
    </dxf>
  </rfmt>
  <rfmt sheetId="1" sqref="AV631" start="0" length="0">
    <dxf>
      <font>
        <sz val="11"/>
        <color theme="1"/>
        <name val="Calibri"/>
        <scheme val="none"/>
      </font>
    </dxf>
  </rfmt>
  <rfmt sheetId="1" sqref="AW631" start="0" length="0">
    <dxf>
      <font>
        <sz val="11"/>
        <color theme="1"/>
        <name val="Calibri"/>
        <scheme val="none"/>
      </font>
    </dxf>
  </rfmt>
  <rfmt sheetId="1" sqref="AX631" start="0" length="0">
    <dxf>
      <font>
        <sz val="11"/>
        <color theme="1"/>
        <name val="Calibri"/>
        <scheme val="none"/>
      </font>
    </dxf>
  </rfmt>
  <rfmt sheetId="1" sqref="AY631" start="0" length="0">
    <dxf>
      <font>
        <sz val="11"/>
        <color theme="1"/>
        <name val="Calibri"/>
        <scheme val="none"/>
      </font>
    </dxf>
  </rfmt>
  <rfmt sheetId="1" sqref="A631:XFD631" start="0" length="0">
    <dxf>
      <font>
        <sz val="11"/>
        <color theme="1"/>
        <name val="Calibri"/>
        <scheme val="none"/>
      </font>
    </dxf>
  </rfmt>
  <rfmt sheetId="1" sqref="A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3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3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3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3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32" start="0" length="0">
    <dxf>
      <font>
        <sz val="11"/>
        <color theme="1"/>
        <name val="Calibri"/>
        <scheme val="none"/>
      </font>
    </dxf>
  </rfmt>
  <rfmt sheetId="1" sqref="AM632" start="0" length="0">
    <dxf>
      <font>
        <sz val="11"/>
        <color theme="1"/>
        <name val="Calibri"/>
        <scheme val="none"/>
      </font>
      <numFmt numFmtId="1" formatCode="0"/>
    </dxf>
  </rfmt>
  <rfmt sheetId="1" sqref="AN632" start="0" length="0">
    <dxf>
      <font>
        <sz val="11"/>
        <color theme="1"/>
        <name val="Calibri"/>
        <scheme val="none"/>
      </font>
      <numFmt numFmtId="1" formatCode="0"/>
    </dxf>
  </rfmt>
  <rfmt sheetId="1" sqref="AO632" start="0" length="0">
    <dxf>
      <font>
        <sz val="11"/>
        <color theme="1"/>
        <name val="Calibri"/>
        <scheme val="none"/>
      </font>
    </dxf>
  </rfmt>
  <rfmt sheetId="1" sqref="AP632" start="0" length="0">
    <dxf>
      <font>
        <sz val="11"/>
        <color theme="1"/>
        <name val="Calibri"/>
        <scheme val="none"/>
      </font>
    </dxf>
  </rfmt>
  <rfmt sheetId="1" sqref="AQ632" start="0" length="0">
    <dxf>
      <font>
        <sz val="11"/>
        <color theme="1"/>
        <name val="Calibri"/>
        <scheme val="none"/>
      </font>
      <numFmt numFmtId="164" formatCode="_-* #,##0_-;\-* #,##0_-;_-* &quot;-&quot;??_-;_-@_-"/>
    </dxf>
  </rfmt>
  <rfmt sheetId="1" sqref="AR632" start="0" length="0">
    <dxf>
      <font>
        <sz val="11"/>
        <color theme="1"/>
        <name val="Calibri"/>
        <scheme val="none"/>
      </font>
      <numFmt numFmtId="164" formatCode="_-* #,##0_-;\-* #,##0_-;_-* &quot;-&quot;??_-;_-@_-"/>
    </dxf>
  </rfmt>
  <rfmt sheetId="1" sqref="AS632" start="0" length="0">
    <dxf>
      <font>
        <sz val="11"/>
        <color theme="1"/>
        <name val="Calibri"/>
        <scheme val="none"/>
      </font>
      <numFmt numFmtId="164" formatCode="_-* #,##0_-;\-* #,##0_-;_-* &quot;-&quot;??_-;_-@_-"/>
    </dxf>
  </rfmt>
  <rfmt sheetId="1" sqref="AT632" start="0" length="0">
    <dxf>
      <font>
        <sz val="11"/>
        <color theme="1"/>
        <name val="Calibri"/>
        <scheme val="none"/>
      </font>
      <numFmt numFmtId="164" formatCode="_-* #,##0_-;\-* #,##0_-;_-* &quot;-&quot;??_-;_-@_-"/>
    </dxf>
  </rfmt>
  <rfmt sheetId="1" sqref="AU632" start="0" length="0">
    <dxf>
      <font>
        <sz val="11"/>
        <color theme="1"/>
        <name val="Calibri"/>
        <scheme val="none"/>
      </font>
    </dxf>
  </rfmt>
  <rfmt sheetId="1" sqref="AV632" start="0" length="0">
    <dxf>
      <font>
        <sz val="11"/>
        <color theme="1"/>
        <name val="Calibri"/>
        <scheme val="none"/>
      </font>
    </dxf>
  </rfmt>
  <rfmt sheetId="1" sqref="AW632" start="0" length="0">
    <dxf>
      <font>
        <sz val="11"/>
        <color theme="1"/>
        <name val="Calibri"/>
        <scheme val="none"/>
      </font>
    </dxf>
  </rfmt>
  <rfmt sheetId="1" sqref="AX632" start="0" length="0">
    <dxf>
      <font>
        <sz val="11"/>
        <color theme="1"/>
        <name val="Calibri"/>
        <scheme val="none"/>
      </font>
    </dxf>
  </rfmt>
  <rfmt sheetId="1" sqref="AY632" start="0" length="0">
    <dxf>
      <font>
        <sz val="11"/>
        <color theme="1"/>
        <name val="Calibri"/>
        <scheme val="none"/>
      </font>
    </dxf>
  </rfmt>
  <rfmt sheetId="1" sqref="A632:XFD632" start="0" length="0">
    <dxf>
      <font>
        <sz val="11"/>
        <color theme="1"/>
        <name val="Calibri"/>
        <scheme val="none"/>
      </font>
    </dxf>
  </rfmt>
  <rfmt sheetId="1" sqref="A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3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3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3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3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33" start="0" length="0">
    <dxf>
      <font>
        <sz val="11"/>
        <color theme="1"/>
        <name val="Calibri"/>
        <scheme val="none"/>
      </font>
    </dxf>
  </rfmt>
  <rfmt sheetId="1" sqref="AM633" start="0" length="0">
    <dxf>
      <font>
        <sz val="11"/>
        <color theme="1"/>
        <name val="Calibri"/>
        <scheme val="none"/>
      </font>
      <numFmt numFmtId="1" formatCode="0"/>
    </dxf>
  </rfmt>
  <rfmt sheetId="1" sqref="AN633" start="0" length="0">
    <dxf>
      <font>
        <sz val="11"/>
        <color theme="1"/>
        <name val="Calibri"/>
        <scheme val="none"/>
      </font>
      <numFmt numFmtId="1" formatCode="0"/>
    </dxf>
  </rfmt>
  <rfmt sheetId="1" sqref="AO633" start="0" length="0">
    <dxf>
      <font>
        <sz val="11"/>
        <color theme="1"/>
        <name val="Calibri"/>
        <scheme val="none"/>
      </font>
    </dxf>
  </rfmt>
  <rfmt sheetId="1" sqref="AP633" start="0" length="0">
    <dxf>
      <font>
        <sz val="11"/>
        <color theme="1"/>
        <name val="Calibri"/>
        <scheme val="none"/>
      </font>
    </dxf>
  </rfmt>
  <rfmt sheetId="1" sqref="AQ633" start="0" length="0">
    <dxf>
      <font>
        <sz val="11"/>
        <color theme="1"/>
        <name val="Calibri"/>
        <scheme val="none"/>
      </font>
      <numFmt numFmtId="164" formatCode="_-* #,##0_-;\-* #,##0_-;_-* &quot;-&quot;??_-;_-@_-"/>
    </dxf>
  </rfmt>
  <rfmt sheetId="1" sqref="AR633" start="0" length="0">
    <dxf>
      <font>
        <sz val="11"/>
        <color theme="1"/>
        <name val="Calibri"/>
        <scheme val="none"/>
      </font>
      <numFmt numFmtId="164" formatCode="_-* #,##0_-;\-* #,##0_-;_-* &quot;-&quot;??_-;_-@_-"/>
    </dxf>
  </rfmt>
  <rfmt sheetId="1" sqref="AS633" start="0" length="0">
    <dxf>
      <font>
        <sz val="11"/>
        <color theme="1"/>
        <name val="Calibri"/>
        <scheme val="none"/>
      </font>
      <numFmt numFmtId="164" formatCode="_-* #,##0_-;\-* #,##0_-;_-* &quot;-&quot;??_-;_-@_-"/>
    </dxf>
  </rfmt>
  <rfmt sheetId="1" sqref="AT633" start="0" length="0">
    <dxf>
      <font>
        <sz val="11"/>
        <color theme="1"/>
        <name val="Calibri"/>
        <scheme val="none"/>
      </font>
      <numFmt numFmtId="164" formatCode="_-* #,##0_-;\-* #,##0_-;_-* &quot;-&quot;??_-;_-@_-"/>
    </dxf>
  </rfmt>
  <rfmt sheetId="1" sqref="AU633" start="0" length="0">
    <dxf>
      <font>
        <sz val="11"/>
        <color theme="1"/>
        <name val="Calibri"/>
        <scheme val="none"/>
      </font>
    </dxf>
  </rfmt>
  <rfmt sheetId="1" sqref="AV633" start="0" length="0">
    <dxf>
      <font>
        <sz val="11"/>
        <color theme="1"/>
        <name val="Calibri"/>
        <scheme val="none"/>
      </font>
    </dxf>
  </rfmt>
  <rfmt sheetId="1" sqref="AW633" start="0" length="0">
    <dxf>
      <font>
        <sz val="11"/>
        <color theme="1"/>
        <name val="Calibri"/>
        <scheme val="none"/>
      </font>
    </dxf>
  </rfmt>
  <rfmt sheetId="1" sqref="AX633" start="0" length="0">
    <dxf>
      <font>
        <sz val="11"/>
        <color theme="1"/>
        <name val="Calibri"/>
        <scheme val="none"/>
      </font>
    </dxf>
  </rfmt>
  <rfmt sheetId="1" sqref="AY633" start="0" length="0">
    <dxf>
      <font>
        <sz val="11"/>
        <color theme="1"/>
        <name val="Calibri"/>
        <scheme val="none"/>
      </font>
    </dxf>
  </rfmt>
  <rfmt sheetId="1" sqref="A633:XFD633" start="0" length="0">
    <dxf>
      <font>
        <sz val="11"/>
        <color theme="1"/>
        <name val="Calibri"/>
        <scheme val="none"/>
      </font>
    </dxf>
  </rfmt>
  <rfmt sheetId="1" sqref="A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3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3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3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3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34" start="0" length="0">
    <dxf>
      <font>
        <sz val="11"/>
        <color theme="1"/>
        <name val="Calibri"/>
        <scheme val="none"/>
      </font>
    </dxf>
  </rfmt>
  <rfmt sheetId="1" sqref="AM634" start="0" length="0">
    <dxf>
      <font>
        <sz val="11"/>
        <color theme="1"/>
        <name val="Calibri"/>
        <scheme val="none"/>
      </font>
      <numFmt numFmtId="1" formatCode="0"/>
    </dxf>
  </rfmt>
  <rfmt sheetId="1" sqref="AN634" start="0" length="0">
    <dxf>
      <font>
        <sz val="11"/>
        <color theme="1"/>
        <name val="Calibri"/>
        <scheme val="none"/>
      </font>
      <numFmt numFmtId="1" formatCode="0"/>
    </dxf>
  </rfmt>
  <rfmt sheetId="1" sqref="AO634" start="0" length="0">
    <dxf>
      <font>
        <sz val="11"/>
        <color theme="1"/>
        <name val="Calibri"/>
        <scheme val="none"/>
      </font>
    </dxf>
  </rfmt>
  <rfmt sheetId="1" sqref="AP634" start="0" length="0">
    <dxf>
      <font>
        <sz val="11"/>
        <color theme="1"/>
        <name val="Calibri"/>
        <scheme val="none"/>
      </font>
    </dxf>
  </rfmt>
  <rfmt sheetId="1" sqref="AQ634" start="0" length="0">
    <dxf>
      <font>
        <sz val="11"/>
        <color theme="1"/>
        <name val="Calibri"/>
        <scheme val="none"/>
      </font>
      <numFmt numFmtId="164" formatCode="_-* #,##0_-;\-* #,##0_-;_-* &quot;-&quot;??_-;_-@_-"/>
    </dxf>
  </rfmt>
  <rfmt sheetId="1" sqref="AR634" start="0" length="0">
    <dxf>
      <font>
        <sz val="11"/>
        <color theme="1"/>
        <name val="Calibri"/>
        <scheme val="none"/>
      </font>
      <numFmt numFmtId="164" formatCode="_-* #,##0_-;\-* #,##0_-;_-* &quot;-&quot;??_-;_-@_-"/>
    </dxf>
  </rfmt>
  <rfmt sheetId="1" sqref="AS634" start="0" length="0">
    <dxf>
      <font>
        <sz val="11"/>
        <color theme="1"/>
        <name val="Calibri"/>
        <scheme val="none"/>
      </font>
      <numFmt numFmtId="164" formatCode="_-* #,##0_-;\-* #,##0_-;_-* &quot;-&quot;??_-;_-@_-"/>
    </dxf>
  </rfmt>
  <rfmt sheetId="1" sqref="AT634" start="0" length="0">
    <dxf>
      <font>
        <sz val="11"/>
        <color theme="1"/>
        <name val="Calibri"/>
        <scheme val="none"/>
      </font>
      <numFmt numFmtId="164" formatCode="_-* #,##0_-;\-* #,##0_-;_-* &quot;-&quot;??_-;_-@_-"/>
    </dxf>
  </rfmt>
  <rfmt sheetId="1" sqref="AU634" start="0" length="0">
    <dxf>
      <font>
        <sz val="11"/>
        <color theme="1"/>
        <name val="Calibri"/>
        <scheme val="none"/>
      </font>
    </dxf>
  </rfmt>
  <rfmt sheetId="1" sqref="AV634" start="0" length="0">
    <dxf>
      <font>
        <sz val="11"/>
        <color theme="1"/>
        <name val="Calibri"/>
        <scheme val="none"/>
      </font>
    </dxf>
  </rfmt>
  <rfmt sheetId="1" sqref="AW634" start="0" length="0">
    <dxf>
      <font>
        <sz val="11"/>
        <color theme="1"/>
        <name val="Calibri"/>
        <scheme val="none"/>
      </font>
    </dxf>
  </rfmt>
  <rfmt sheetId="1" sqref="AX634" start="0" length="0">
    <dxf>
      <font>
        <sz val="11"/>
        <color theme="1"/>
        <name val="Calibri"/>
        <scheme val="none"/>
      </font>
    </dxf>
  </rfmt>
  <rfmt sheetId="1" sqref="AY634" start="0" length="0">
    <dxf>
      <font>
        <sz val="11"/>
        <color theme="1"/>
        <name val="Calibri"/>
        <scheme val="none"/>
      </font>
    </dxf>
  </rfmt>
  <rfmt sheetId="1" sqref="A634:XFD634" start="0" length="0">
    <dxf>
      <font>
        <sz val="11"/>
        <color theme="1"/>
        <name val="Calibri"/>
        <scheme val="none"/>
      </font>
    </dxf>
  </rfmt>
  <rfmt sheetId="1" sqref="A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3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3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3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3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35" start="0" length="0">
    <dxf>
      <font>
        <sz val="11"/>
        <color theme="1"/>
        <name val="Calibri"/>
        <scheme val="none"/>
      </font>
    </dxf>
  </rfmt>
  <rfmt sheetId="1" sqref="AM635" start="0" length="0">
    <dxf>
      <font>
        <sz val="11"/>
        <color theme="1"/>
        <name val="Calibri"/>
        <scheme val="none"/>
      </font>
      <numFmt numFmtId="1" formatCode="0"/>
    </dxf>
  </rfmt>
  <rfmt sheetId="1" sqref="AN635" start="0" length="0">
    <dxf>
      <font>
        <sz val="11"/>
        <color theme="1"/>
        <name val="Calibri"/>
        <scheme val="none"/>
      </font>
      <numFmt numFmtId="1" formatCode="0"/>
    </dxf>
  </rfmt>
  <rfmt sheetId="1" sqref="AO635" start="0" length="0">
    <dxf>
      <font>
        <sz val="11"/>
        <color theme="1"/>
        <name val="Calibri"/>
        <scheme val="none"/>
      </font>
    </dxf>
  </rfmt>
  <rfmt sheetId="1" sqref="AP635" start="0" length="0">
    <dxf>
      <font>
        <sz val="11"/>
        <color theme="1"/>
        <name val="Calibri"/>
        <scheme val="none"/>
      </font>
    </dxf>
  </rfmt>
  <rfmt sheetId="1" sqref="AQ635" start="0" length="0">
    <dxf>
      <font>
        <sz val="11"/>
        <color theme="1"/>
        <name val="Calibri"/>
        <scheme val="none"/>
      </font>
      <numFmt numFmtId="164" formatCode="_-* #,##0_-;\-* #,##0_-;_-* &quot;-&quot;??_-;_-@_-"/>
    </dxf>
  </rfmt>
  <rfmt sheetId="1" sqref="AR635" start="0" length="0">
    <dxf>
      <font>
        <sz val="11"/>
        <color theme="1"/>
        <name val="Calibri"/>
        <scheme val="none"/>
      </font>
      <numFmt numFmtId="164" formatCode="_-* #,##0_-;\-* #,##0_-;_-* &quot;-&quot;??_-;_-@_-"/>
    </dxf>
  </rfmt>
  <rfmt sheetId="1" sqref="AS635" start="0" length="0">
    <dxf>
      <font>
        <sz val="11"/>
        <color theme="1"/>
        <name val="Calibri"/>
        <scheme val="none"/>
      </font>
      <numFmt numFmtId="164" formatCode="_-* #,##0_-;\-* #,##0_-;_-* &quot;-&quot;??_-;_-@_-"/>
    </dxf>
  </rfmt>
  <rfmt sheetId="1" sqref="AT635" start="0" length="0">
    <dxf>
      <font>
        <sz val="11"/>
        <color theme="1"/>
        <name val="Calibri"/>
        <scheme val="none"/>
      </font>
      <numFmt numFmtId="164" formatCode="_-* #,##0_-;\-* #,##0_-;_-* &quot;-&quot;??_-;_-@_-"/>
    </dxf>
  </rfmt>
  <rfmt sheetId="1" sqref="AU635" start="0" length="0">
    <dxf>
      <font>
        <sz val="11"/>
        <color theme="1"/>
        <name val="Calibri"/>
        <scheme val="none"/>
      </font>
    </dxf>
  </rfmt>
  <rfmt sheetId="1" sqref="AV635" start="0" length="0">
    <dxf>
      <font>
        <sz val="11"/>
        <color theme="1"/>
        <name val="Calibri"/>
        <scheme val="none"/>
      </font>
    </dxf>
  </rfmt>
  <rfmt sheetId="1" sqref="AW635" start="0" length="0">
    <dxf>
      <font>
        <sz val="11"/>
        <color theme="1"/>
        <name val="Calibri"/>
        <scheme val="none"/>
      </font>
    </dxf>
  </rfmt>
  <rfmt sheetId="1" sqref="AX635" start="0" length="0">
    <dxf>
      <font>
        <sz val="11"/>
        <color theme="1"/>
        <name val="Calibri"/>
        <scheme val="none"/>
      </font>
    </dxf>
  </rfmt>
  <rfmt sheetId="1" sqref="AY635" start="0" length="0">
    <dxf>
      <font>
        <sz val="11"/>
        <color theme="1"/>
        <name val="Calibri"/>
        <scheme val="none"/>
      </font>
    </dxf>
  </rfmt>
  <rfmt sheetId="1" sqref="A635:XFD635" start="0" length="0">
    <dxf>
      <font>
        <sz val="11"/>
        <color theme="1"/>
        <name val="Calibri"/>
        <scheme val="none"/>
      </font>
    </dxf>
  </rfmt>
  <rfmt sheetId="1" sqref="A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3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3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3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3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36" start="0" length="0">
    <dxf>
      <font>
        <sz val="11"/>
        <color theme="1"/>
        <name val="Calibri"/>
        <scheme val="none"/>
      </font>
    </dxf>
  </rfmt>
  <rfmt sheetId="1" sqref="AM636" start="0" length="0">
    <dxf>
      <font>
        <sz val="11"/>
        <color theme="1"/>
        <name val="Calibri"/>
        <scheme val="none"/>
      </font>
      <numFmt numFmtId="1" formatCode="0"/>
    </dxf>
  </rfmt>
  <rfmt sheetId="1" sqref="AN636" start="0" length="0">
    <dxf>
      <font>
        <sz val="11"/>
        <color theme="1"/>
        <name val="Calibri"/>
        <scheme val="none"/>
      </font>
      <numFmt numFmtId="1" formatCode="0"/>
    </dxf>
  </rfmt>
  <rfmt sheetId="1" sqref="AO636" start="0" length="0">
    <dxf>
      <font>
        <sz val="11"/>
        <color theme="1"/>
        <name val="Calibri"/>
        <scheme val="none"/>
      </font>
    </dxf>
  </rfmt>
  <rfmt sheetId="1" sqref="AP636" start="0" length="0">
    <dxf>
      <font>
        <sz val="11"/>
        <color theme="1"/>
        <name val="Calibri"/>
        <scheme val="none"/>
      </font>
    </dxf>
  </rfmt>
  <rfmt sheetId="1" sqref="AQ636" start="0" length="0">
    <dxf>
      <font>
        <sz val="11"/>
        <color theme="1"/>
        <name val="Calibri"/>
        <scheme val="none"/>
      </font>
      <numFmt numFmtId="164" formatCode="_-* #,##0_-;\-* #,##0_-;_-* &quot;-&quot;??_-;_-@_-"/>
    </dxf>
  </rfmt>
  <rfmt sheetId="1" sqref="AR636" start="0" length="0">
    <dxf>
      <font>
        <sz val="11"/>
        <color theme="1"/>
        <name val="Calibri"/>
        <scheme val="none"/>
      </font>
      <numFmt numFmtId="164" formatCode="_-* #,##0_-;\-* #,##0_-;_-* &quot;-&quot;??_-;_-@_-"/>
    </dxf>
  </rfmt>
  <rfmt sheetId="1" sqref="AS636" start="0" length="0">
    <dxf>
      <font>
        <sz val="11"/>
        <color theme="1"/>
        <name val="Calibri"/>
        <scheme val="none"/>
      </font>
      <numFmt numFmtId="164" formatCode="_-* #,##0_-;\-* #,##0_-;_-* &quot;-&quot;??_-;_-@_-"/>
    </dxf>
  </rfmt>
  <rfmt sheetId="1" sqref="AT636" start="0" length="0">
    <dxf>
      <font>
        <sz val="11"/>
        <color theme="1"/>
        <name val="Calibri"/>
        <scheme val="none"/>
      </font>
      <numFmt numFmtId="164" formatCode="_-* #,##0_-;\-* #,##0_-;_-* &quot;-&quot;??_-;_-@_-"/>
    </dxf>
  </rfmt>
  <rfmt sheetId="1" sqref="AU636" start="0" length="0">
    <dxf>
      <font>
        <sz val="11"/>
        <color theme="1"/>
        <name val="Calibri"/>
        <scheme val="none"/>
      </font>
    </dxf>
  </rfmt>
  <rfmt sheetId="1" sqref="AV636" start="0" length="0">
    <dxf>
      <font>
        <sz val="11"/>
        <color theme="1"/>
        <name val="Calibri"/>
        <scheme val="none"/>
      </font>
    </dxf>
  </rfmt>
  <rfmt sheetId="1" sqref="AW636" start="0" length="0">
    <dxf>
      <font>
        <sz val="11"/>
        <color theme="1"/>
        <name val="Calibri"/>
        <scheme val="none"/>
      </font>
    </dxf>
  </rfmt>
  <rfmt sheetId="1" sqref="AX636" start="0" length="0">
    <dxf>
      <font>
        <sz val="11"/>
        <color theme="1"/>
        <name val="Calibri"/>
        <scheme val="none"/>
      </font>
    </dxf>
  </rfmt>
  <rfmt sheetId="1" sqref="AY636" start="0" length="0">
    <dxf>
      <font>
        <sz val="11"/>
        <color theme="1"/>
        <name val="Calibri"/>
        <scheme val="none"/>
      </font>
    </dxf>
  </rfmt>
  <rfmt sheetId="1" sqref="A636:XFD636" start="0" length="0">
    <dxf>
      <font>
        <sz val="11"/>
        <color theme="1"/>
        <name val="Calibri"/>
        <scheme val="none"/>
      </font>
    </dxf>
  </rfmt>
  <rfmt sheetId="1" sqref="A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3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3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3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3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37" start="0" length="0">
    <dxf>
      <font>
        <sz val="11"/>
        <color theme="1"/>
        <name val="Calibri"/>
        <scheme val="none"/>
      </font>
    </dxf>
  </rfmt>
  <rfmt sheetId="1" sqref="AM637" start="0" length="0">
    <dxf>
      <font>
        <sz val="11"/>
        <color theme="1"/>
        <name val="Calibri"/>
        <scheme val="none"/>
      </font>
      <numFmt numFmtId="1" formatCode="0"/>
    </dxf>
  </rfmt>
  <rfmt sheetId="1" sqref="AN637" start="0" length="0">
    <dxf>
      <font>
        <sz val="11"/>
        <color theme="1"/>
        <name val="Calibri"/>
        <scheme val="none"/>
      </font>
      <numFmt numFmtId="1" formatCode="0"/>
    </dxf>
  </rfmt>
  <rfmt sheetId="1" sqref="AO637" start="0" length="0">
    <dxf>
      <font>
        <sz val="11"/>
        <color theme="1"/>
        <name val="Calibri"/>
        <scheme val="none"/>
      </font>
    </dxf>
  </rfmt>
  <rfmt sheetId="1" sqref="AP637" start="0" length="0">
    <dxf>
      <font>
        <sz val="11"/>
        <color theme="1"/>
        <name val="Calibri"/>
        <scheme val="none"/>
      </font>
    </dxf>
  </rfmt>
  <rfmt sheetId="1" sqref="AQ637" start="0" length="0">
    <dxf>
      <font>
        <sz val="11"/>
        <color theme="1"/>
        <name val="Calibri"/>
        <scheme val="none"/>
      </font>
      <numFmt numFmtId="164" formatCode="_-* #,##0_-;\-* #,##0_-;_-* &quot;-&quot;??_-;_-@_-"/>
    </dxf>
  </rfmt>
  <rfmt sheetId="1" sqref="AR637" start="0" length="0">
    <dxf>
      <font>
        <sz val="11"/>
        <color theme="1"/>
        <name val="Calibri"/>
        <scheme val="none"/>
      </font>
      <numFmt numFmtId="164" formatCode="_-* #,##0_-;\-* #,##0_-;_-* &quot;-&quot;??_-;_-@_-"/>
    </dxf>
  </rfmt>
  <rfmt sheetId="1" sqref="AS637" start="0" length="0">
    <dxf>
      <font>
        <sz val="11"/>
        <color theme="1"/>
        <name val="Calibri"/>
        <scheme val="none"/>
      </font>
      <numFmt numFmtId="164" formatCode="_-* #,##0_-;\-* #,##0_-;_-* &quot;-&quot;??_-;_-@_-"/>
    </dxf>
  </rfmt>
  <rfmt sheetId="1" sqref="AT637" start="0" length="0">
    <dxf>
      <font>
        <sz val="11"/>
        <color theme="1"/>
        <name val="Calibri"/>
        <scheme val="none"/>
      </font>
      <numFmt numFmtId="164" formatCode="_-* #,##0_-;\-* #,##0_-;_-* &quot;-&quot;??_-;_-@_-"/>
    </dxf>
  </rfmt>
  <rfmt sheetId="1" sqref="AU637" start="0" length="0">
    <dxf>
      <font>
        <sz val="11"/>
        <color theme="1"/>
        <name val="Calibri"/>
        <scheme val="none"/>
      </font>
    </dxf>
  </rfmt>
  <rfmt sheetId="1" sqref="AV637" start="0" length="0">
    <dxf>
      <font>
        <sz val="11"/>
        <color theme="1"/>
        <name val="Calibri"/>
        <scheme val="none"/>
      </font>
    </dxf>
  </rfmt>
  <rfmt sheetId="1" sqref="AW637" start="0" length="0">
    <dxf>
      <font>
        <sz val="11"/>
        <color theme="1"/>
        <name val="Calibri"/>
        <scheme val="none"/>
      </font>
    </dxf>
  </rfmt>
  <rfmt sheetId="1" sqref="AX637" start="0" length="0">
    <dxf>
      <font>
        <sz val="11"/>
        <color theme="1"/>
        <name val="Calibri"/>
        <scheme val="none"/>
      </font>
    </dxf>
  </rfmt>
  <rfmt sheetId="1" sqref="AY637" start="0" length="0">
    <dxf>
      <font>
        <sz val="11"/>
        <color theme="1"/>
        <name val="Calibri"/>
        <scheme val="none"/>
      </font>
    </dxf>
  </rfmt>
  <rfmt sheetId="1" sqref="A637:XFD637" start="0" length="0">
    <dxf>
      <font>
        <sz val="11"/>
        <color theme="1"/>
        <name val="Calibri"/>
        <scheme val="none"/>
      </font>
    </dxf>
  </rfmt>
  <rfmt sheetId="1" sqref="A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3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3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3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3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38" start="0" length="0">
    <dxf>
      <font>
        <sz val="11"/>
        <color theme="1"/>
        <name val="Calibri"/>
        <scheme val="none"/>
      </font>
    </dxf>
  </rfmt>
  <rfmt sheetId="1" sqref="AM638" start="0" length="0">
    <dxf>
      <font>
        <sz val="11"/>
        <color theme="1"/>
        <name val="Calibri"/>
        <scheme val="none"/>
      </font>
      <numFmt numFmtId="1" formatCode="0"/>
    </dxf>
  </rfmt>
  <rfmt sheetId="1" sqref="AN638" start="0" length="0">
    <dxf>
      <font>
        <sz val="11"/>
        <color theme="1"/>
        <name val="Calibri"/>
        <scheme val="none"/>
      </font>
      <numFmt numFmtId="1" formatCode="0"/>
    </dxf>
  </rfmt>
  <rfmt sheetId="1" sqref="AO638" start="0" length="0">
    <dxf>
      <font>
        <sz val="11"/>
        <color theme="1"/>
        <name val="Calibri"/>
        <scheme val="none"/>
      </font>
    </dxf>
  </rfmt>
  <rfmt sheetId="1" sqref="AP638" start="0" length="0">
    <dxf>
      <font>
        <sz val="11"/>
        <color theme="1"/>
        <name val="Calibri"/>
        <scheme val="none"/>
      </font>
    </dxf>
  </rfmt>
  <rfmt sheetId="1" sqref="AQ638" start="0" length="0">
    <dxf>
      <font>
        <sz val="11"/>
        <color theme="1"/>
        <name val="Calibri"/>
        <scheme val="none"/>
      </font>
      <numFmt numFmtId="164" formatCode="_-* #,##0_-;\-* #,##0_-;_-* &quot;-&quot;??_-;_-@_-"/>
    </dxf>
  </rfmt>
  <rfmt sheetId="1" sqref="AR638" start="0" length="0">
    <dxf>
      <font>
        <sz val="11"/>
        <color theme="1"/>
        <name val="Calibri"/>
        <scheme val="none"/>
      </font>
      <numFmt numFmtId="164" formatCode="_-* #,##0_-;\-* #,##0_-;_-* &quot;-&quot;??_-;_-@_-"/>
    </dxf>
  </rfmt>
  <rfmt sheetId="1" sqref="AS638" start="0" length="0">
    <dxf>
      <font>
        <sz val="11"/>
        <color theme="1"/>
        <name val="Calibri"/>
        <scheme val="none"/>
      </font>
      <numFmt numFmtId="164" formatCode="_-* #,##0_-;\-* #,##0_-;_-* &quot;-&quot;??_-;_-@_-"/>
    </dxf>
  </rfmt>
  <rfmt sheetId="1" sqref="AT638" start="0" length="0">
    <dxf>
      <font>
        <sz val="11"/>
        <color theme="1"/>
        <name val="Calibri"/>
        <scheme val="none"/>
      </font>
      <numFmt numFmtId="164" formatCode="_-* #,##0_-;\-* #,##0_-;_-* &quot;-&quot;??_-;_-@_-"/>
    </dxf>
  </rfmt>
  <rfmt sheetId="1" sqref="AU638" start="0" length="0">
    <dxf>
      <font>
        <sz val="11"/>
        <color theme="1"/>
        <name val="Calibri"/>
        <scheme val="none"/>
      </font>
    </dxf>
  </rfmt>
  <rfmt sheetId="1" sqref="AV638" start="0" length="0">
    <dxf>
      <font>
        <sz val="11"/>
        <color theme="1"/>
        <name val="Calibri"/>
        <scheme val="none"/>
      </font>
    </dxf>
  </rfmt>
  <rfmt sheetId="1" sqref="AW638" start="0" length="0">
    <dxf>
      <font>
        <sz val="11"/>
        <color theme="1"/>
        <name val="Calibri"/>
        <scheme val="none"/>
      </font>
    </dxf>
  </rfmt>
  <rfmt sheetId="1" sqref="AX638" start="0" length="0">
    <dxf>
      <font>
        <sz val="11"/>
        <color theme="1"/>
        <name val="Calibri"/>
        <scheme val="none"/>
      </font>
    </dxf>
  </rfmt>
  <rfmt sheetId="1" sqref="AY638" start="0" length="0">
    <dxf>
      <font>
        <sz val="11"/>
        <color theme="1"/>
        <name val="Calibri"/>
        <scheme val="none"/>
      </font>
    </dxf>
  </rfmt>
  <rfmt sheetId="1" sqref="A638:XFD638" start="0" length="0">
    <dxf>
      <font>
        <sz val="11"/>
        <color theme="1"/>
        <name val="Calibri"/>
        <scheme val="none"/>
      </font>
    </dxf>
  </rfmt>
  <rfmt sheetId="1" sqref="A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3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3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3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3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39" start="0" length="0">
    <dxf>
      <font>
        <sz val="11"/>
        <color theme="1"/>
        <name val="Calibri"/>
        <scheme val="none"/>
      </font>
    </dxf>
  </rfmt>
  <rfmt sheetId="1" sqref="AM639" start="0" length="0">
    <dxf>
      <font>
        <sz val="11"/>
        <color theme="1"/>
        <name val="Calibri"/>
        <scheme val="none"/>
      </font>
      <numFmt numFmtId="1" formatCode="0"/>
    </dxf>
  </rfmt>
  <rfmt sheetId="1" sqref="AN639" start="0" length="0">
    <dxf>
      <font>
        <sz val="11"/>
        <color theme="1"/>
        <name val="Calibri"/>
        <scheme val="none"/>
      </font>
      <numFmt numFmtId="1" formatCode="0"/>
    </dxf>
  </rfmt>
  <rfmt sheetId="1" sqref="AO639" start="0" length="0">
    <dxf>
      <font>
        <sz val="11"/>
        <color theme="1"/>
        <name val="Calibri"/>
        <scheme val="none"/>
      </font>
    </dxf>
  </rfmt>
  <rfmt sheetId="1" sqref="AP639" start="0" length="0">
    <dxf>
      <font>
        <sz val="11"/>
        <color theme="1"/>
        <name val="Calibri"/>
        <scheme val="none"/>
      </font>
    </dxf>
  </rfmt>
  <rfmt sheetId="1" sqref="AQ639" start="0" length="0">
    <dxf>
      <font>
        <sz val="11"/>
        <color theme="1"/>
        <name val="Calibri"/>
        <scheme val="none"/>
      </font>
      <numFmt numFmtId="164" formatCode="_-* #,##0_-;\-* #,##0_-;_-* &quot;-&quot;??_-;_-@_-"/>
    </dxf>
  </rfmt>
  <rfmt sheetId="1" sqref="AR639" start="0" length="0">
    <dxf>
      <font>
        <sz val="11"/>
        <color theme="1"/>
        <name val="Calibri"/>
        <scheme val="none"/>
      </font>
      <numFmt numFmtId="164" formatCode="_-* #,##0_-;\-* #,##0_-;_-* &quot;-&quot;??_-;_-@_-"/>
    </dxf>
  </rfmt>
  <rfmt sheetId="1" sqref="AS639" start="0" length="0">
    <dxf>
      <font>
        <sz val="11"/>
        <color theme="1"/>
        <name val="Calibri"/>
        <scheme val="none"/>
      </font>
      <numFmt numFmtId="164" formatCode="_-* #,##0_-;\-* #,##0_-;_-* &quot;-&quot;??_-;_-@_-"/>
    </dxf>
  </rfmt>
  <rfmt sheetId="1" sqref="AT639" start="0" length="0">
    <dxf>
      <font>
        <sz val="11"/>
        <color theme="1"/>
        <name val="Calibri"/>
        <scheme val="none"/>
      </font>
      <numFmt numFmtId="164" formatCode="_-* #,##0_-;\-* #,##0_-;_-* &quot;-&quot;??_-;_-@_-"/>
    </dxf>
  </rfmt>
  <rfmt sheetId="1" sqref="AU639" start="0" length="0">
    <dxf>
      <font>
        <sz val="11"/>
        <color theme="1"/>
        <name val="Calibri"/>
        <scheme val="none"/>
      </font>
    </dxf>
  </rfmt>
  <rfmt sheetId="1" sqref="AV639" start="0" length="0">
    <dxf>
      <font>
        <sz val="11"/>
        <color theme="1"/>
        <name val="Calibri"/>
        <scheme val="none"/>
      </font>
    </dxf>
  </rfmt>
  <rfmt sheetId="1" sqref="AW639" start="0" length="0">
    <dxf>
      <font>
        <sz val="11"/>
        <color theme="1"/>
        <name val="Calibri"/>
        <scheme val="none"/>
      </font>
    </dxf>
  </rfmt>
  <rfmt sheetId="1" sqref="AX639" start="0" length="0">
    <dxf>
      <font>
        <sz val="11"/>
        <color theme="1"/>
        <name val="Calibri"/>
        <scheme val="none"/>
      </font>
    </dxf>
  </rfmt>
  <rfmt sheetId="1" sqref="AY639" start="0" length="0">
    <dxf>
      <font>
        <sz val="11"/>
        <color theme="1"/>
        <name val="Calibri"/>
        <scheme val="none"/>
      </font>
    </dxf>
  </rfmt>
  <rfmt sheetId="1" sqref="A639:XFD639" start="0" length="0">
    <dxf>
      <font>
        <sz val="11"/>
        <color theme="1"/>
        <name val="Calibri"/>
        <scheme val="none"/>
      </font>
    </dxf>
  </rfmt>
  <rfmt sheetId="1" sqref="A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4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4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4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4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40" start="0" length="0">
    <dxf>
      <font>
        <sz val="11"/>
        <color theme="1"/>
        <name val="Calibri"/>
        <scheme val="none"/>
      </font>
    </dxf>
  </rfmt>
  <rfmt sheetId="1" sqref="AM640" start="0" length="0">
    <dxf>
      <font>
        <sz val="11"/>
        <color theme="1"/>
        <name val="Calibri"/>
        <scheme val="none"/>
      </font>
      <numFmt numFmtId="1" formatCode="0"/>
    </dxf>
  </rfmt>
  <rfmt sheetId="1" sqref="AN640" start="0" length="0">
    <dxf>
      <font>
        <sz val="11"/>
        <color theme="1"/>
        <name val="Calibri"/>
        <scheme val="none"/>
      </font>
      <numFmt numFmtId="1" formatCode="0"/>
    </dxf>
  </rfmt>
  <rfmt sheetId="1" sqref="AO640" start="0" length="0">
    <dxf>
      <font>
        <sz val="11"/>
        <color theme="1"/>
        <name val="Calibri"/>
        <scheme val="none"/>
      </font>
    </dxf>
  </rfmt>
  <rfmt sheetId="1" sqref="AP640" start="0" length="0">
    <dxf>
      <font>
        <sz val="11"/>
        <color theme="1"/>
        <name val="Calibri"/>
        <scheme val="none"/>
      </font>
    </dxf>
  </rfmt>
  <rfmt sheetId="1" sqref="AQ640" start="0" length="0">
    <dxf>
      <font>
        <sz val="11"/>
        <color theme="1"/>
        <name val="Calibri"/>
        <scheme val="none"/>
      </font>
      <numFmt numFmtId="164" formatCode="_-* #,##0_-;\-* #,##0_-;_-* &quot;-&quot;??_-;_-@_-"/>
    </dxf>
  </rfmt>
  <rfmt sheetId="1" sqref="AR640" start="0" length="0">
    <dxf>
      <font>
        <sz val="11"/>
        <color theme="1"/>
        <name val="Calibri"/>
        <scheme val="none"/>
      </font>
      <numFmt numFmtId="164" formatCode="_-* #,##0_-;\-* #,##0_-;_-* &quot;-&quot;??_-;_-@_-"/>
    </dxf>
  </rfmt>
  <rfmt sheetId="1" sqref="AS640" start="0" length="0">
    <dxf>
      <font>
        <sz val="11"/>
        <color theme="1"/>
        <name val="Calibri"/>
        <scheme val="none"/>
      </font>
      <numFmt numFmtId="164" formatCode="_-* #,##0_-;\-* #,##0_-;_-* &quot;-&quot;??_-;_-@_-"/>
    </dxf>
  </rfmt>
  <rfmt sheetId="1" sqref="AT640" start="0" length="0">
    <dxf>
      <font>
        <sz val="11"/>
        <color theme="1"/>
        <name val="Calibri"/>
        <scheme val="none"/>
      </font>
      <numFmt numFmtId="164" formatCode="_-* #,##0_-;\-* #,##0_-;_-* &quot;-&quot;??_-;_-@_-"/>
    </dxf>
  </rfmt>
  <rfmt sheetId="1" sqref="AU640" start="0" length="0">
    <dxf>
      <font>
        <sz val="11"/>
        <color theme="1"/>
        <name val="Calibri"/>
        <scheme val="none"/>
      </font>
    </dxf>
  </rfmt>
  <rfmt sheetId="1" sqref="AV640" start="0" length="0">
    <dxf>
      <font>
        <sz val="11"/>
        <color theme="1"/>
        <name val="Calibri"/>
        <scheme val="none"/>
      </font>
    </dxf>
  </rfmt>
  <rfmt sheetId="1" sqref="AW640" start="0" length="0">
    <dxf>
      <font>
        <sz val="11"/>
        <color theme="1"/>
        <name val="Calibri"/>
        <scheme val="none"/>
      </font>
    </dxf>
  </rfmt>
  <rfmt sheetId="1" sqref="AX640" start="0" length="0">
    <dxf>
      <font>
        <sz val="11"/>
        <color theme="1"/>
        <name val="Calibri"/>
        <scheme val="none"/>
      </font>
    </dxf>
  </rfmt>
  <rfmt sheetId="1" sqref="AY640" start="0" length="0">
    <dxf>
      <font>
        <sz val="11"/>
        <color theme="1"/>
        <name val="Calibri"/>
        <scheme val="none"/>
      </font>
    </dxf>
  </rfmt>
  <rfmt sheetId="1" sqref="A640:XFD640" start="0" length="0">
    <dxf>
      <font>
        <sz val="11"/>
        <color theme="1"/>
        <name val="Calibri"/>
        <scheme val="none"/>
      </font>
    </dxf>
  </rfmt>
  <rfmt sheetId="1" sqref="A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4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4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4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4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41" start="0" length="0">
    <dxf>
      <font>
        <sz val="11"/>
        <color theme="1"/>
        <name val="Calibri"/>
        <scheme val="none"/>
      </font>
    </dxf>
  </rfmt>
  <rfmt sheetId="1" sqref="AM641" start="0" length="0">
    <dxf>
      <font>
        <sz val="11"/>
        <color theme="1"/>
        <name val="Calibri"/>
        <scheme val="none"/>
      </font>
      <numFmt numFmtId="1" formatCode="0"/>
    </dxf>
  </rfmt>
  <rfmt sheetId="1" sqref="AN641" start="0" length="0">
    <dxf>
      <font>
        <sz val="11"/>
        <color theme="1"/>
        <name val="Calibri"/>
        <scheme val="none"/>
      </font>
      <numFmt numFmtId="1" formatCode="0"/>
    </dxf>
  </rfmt>
  <rfmt sheetId="1" sqref="AO641" start="0" length="0">
    <dxf>
      <font>
        <sz val="11"/>
        <color theme="1"/>
        <name val="Calibri"/>
        <scheme val="none"/>
      </font>
    </dxf>
  </rfmt>
  <rfmt sheetId="1" sqref="AP641" start="0" length="0">
    <dxf>
      <font>
        <sz val="11"/>
        <color theme="1"/>
        <name val="Calibri"/>
        <scheme val="none"/>
      </font>
    </dxf>
  </rfmt>
  <rfmt sheetId="1" sqref="AQ641" start="0" length="0">
    <dxf>
      <font>
        <sz val="11"/>
        <color theme="1"/>
        <name val="Calibri"/>
        <scheme val="none"/>
      </font>
      <numFmt numFmtId="164" formatCode="_-* #,##0_-;\-* #,##0_-;_-* &quot;-&quot;??_-;_-@_-"/>
    </dxf>
  </rfmt>
  <rfmt sheetId="1" sqref="AR641" start="0" length="0">
    <dxf>
      <font>
        <sz val="11"/>
        <color theme="1"/>
        <name val="Calibri"/>
        <scheme val="none"/>
      </font>
      <numFmt numFmtId="164" formatCode="_-* #,##0_-;\-* #,##0_-;_-* &quot;-&quot;??_-;_-@_-"/>
    </dxf>
  </rfmt>
  <rfmt sheetId="1" sqref="AS641" start="0" length="0">
    <dxf>
      <font>
        <sz val="11"/>
        <color theme="1"/>
        <name val="Calibri"/>
        <scheme val="none"/>
      </font>
      <numFmt numFmtId="164" formatCode="_-* #,##0_-;\-* #,##0_-;_-* &quot;-&quot;??_-;_-@_-"/>
    </dxf>
  </rfmt>
  <rfmt sheetId="1" sqref="AT641" start="0" length="0">
    <dxf>
      <font>
        <sz val="11"/>
        <color theme="1"/>
        <name val="Calibri"/>
        <scheme val="none"/>
      </font>
      <numFmt numFmtId="164" formatCode="_-* #,##0_-;\-* #,##0_-;_-* &quot;-&quot;??_-;_-@_-"/>
    </dxf>
  </rfmt>
  <rfmt sheetId="1" sqref="AU641" start="0" length="0">
    <dxf>
      <font>
        <sz val="11"/>
        <color theme="1"/>
        <name val="Calibri"/>
        <scheme val="none"/>
      </font>
    </dxf>
  </rfmt>
  <rfmt sheetId="1" sqref="AV641" start="0" length="0">
    <dxf>
      <font>
        <sz val="11"/>
        <color theme="1"/>
        <name val="Calibri"/>
        <scheme val="none"/>
      </font>
    </dxf>
  </rfmt>
  <rfmt sheetId="1" sqref="AW641" start="0" length="0">
    <dxf>
      <font>
        <sz val="11"/>
        <color theme="1"/>
        <name val="Calibri"/>
        <scheme val="none"/>
      </font>
    </dxf>
  </rfmt>
  <rfmt sheetId="1" sqref="AX641" start="0" length="0">
    <dxf>
      <font>
        <sz val="11"/>
        <color theme="1"/>
        <name val="Calibri"/>
        <scheme val="none"/>
      </font>
    </dxf>
  </rfmt>
  <rfmt sheetId="1" sqref="AY641" start="0" length="0">
    <dxf>
      <font>
        <sz val="11"/>
        <color theme="1"/>
        <name val="Calibri"/>
        <scheme val="none"/>
      </font>
    </dxf>
  </rfmt>
  <rfmt sheetId="1" sqref="A641:XFD641" start="0" length="0">
    <dxf>
      <font>
        <sz val="11"/>
        <color theme="1"/>
        <name val="Calibri"/>
        <scheme val="none"/>
      </font>
    </dxf>
  </rfmt>
  <rfmt sheetId="1" sqref="A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4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4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4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4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42" start="0" length="0">
    <dxf>
      <font>
        <sz val="11"/>
        <color theme="1"/>
        <name val="Calibri"/>
        <scheme val="none"/>
      </font>
    </dxf>
  </rfmt>
  <rfmt sheetId="1" sqref="AM642" start="0" length="0">
    <dxf>
      <font>
        <sz val="11"/>
        <color theme="1"/>
        <name val="Calibri"/>
        <scheme val="none"/>
      </font>
      <numFmt numFmtId="1" formatCode="0"/>
    </dxf>
  </rfmt>
  <rfmt sheetId="1" sqref="AN642" start="0" length="0">
    <dxf>
      <font>
        <sz val="11"/>
        <color theme="1"/>
        <name val="Calibri"/>
        <scheme val="none"/>
      </font>
      <numFmt numFmtId="1" formatCode="0"/>
    </dxf>
  </rfmt>
  <rfmt sheetId="1" sqref="AO642" start="0" length="0">
    <dxf>
      <font>
        <sz val="11"/>
        <color theme="1"/>
        <name val="Calibri"/>
        <scheme val="none"/>
      </font>
    </dxf>
  </rfmt>
  <rfmt sheetId="1" sqref="AP642" start="0" length="0">
    <dxf>
      <font>
        <sz val="11"/>
        <color theme="1"/>
        <name val="Calibri"/>
        <scheme val="none"/>
      </font>
    </dxf>
  </rfmt>
  <rfmt sheetId="1" sqref="AQ642" start="0" length="0">
    <dxf>
      <font>
        <sz val="11"/>
        <color theme="1"/>
        <name val="Calibri"/>
        <scheme val="none"/>
      </font>
      <numFmt numFmtId="164" formatCode="_-* #,##0_-;\-* #,##0_-;_-* &quot;-&quot;??_-;_-@_-"/>
    </dxf>
  </rfmt>
  <rfmt sheetId="1" sqref="AR642" start="0" length="0">
    <dxf>
      <font>
        <sz val="11"/>
        <color theme="1"/>
        <name val="Calibri"/>
        <scheme val="none"/>
      </font>
      <numFmt numFmtId="164" formatCode="_-* #,##0_-;\-* #,##0_-;_-* &quot;-&quot;??_-;_-@_-"/>
    </dxf>
  </rfmt>
  <rfmt sheetId="1" sqref="AS642" start="0" length="0">
    <dxf>
      <font>
        <sz val="11"/>
        <color theme="1"/>
        <name val="Calibri"/>
        <scheme val="none"/>
      </font>
      <numFmt numFmtId="164" formatCode="_-* #,##0_-;\-* #,##0_-;_-* &quot;-&quot;??_-;_-@_-"/>
    </dxf>
  </rfmt>
  <rfmt sheetId="1" sqref="AT642" start="0" length="0">
    <dxf>
      <font>
        <sz val="11"/>
        <color theme="1"/>
        <name val="Calibri"/>
        <scheme val="none"/>
      </font>
      <numFmt numFmtId="164" formatCode="_-* #,##0_-;\-* #,##0_-;_-* &quot;-&quot;??_-;_-@_-"/>
    </dxf>
  </rfmt>
  <rfmt sheetId="1" sqref="AU642" start="0" length="0">
    <dxf>
      <font>
        <sz val="11"/>
        <color theme="1"/>
        <name val="Calibri"/>
        <scheme val="none"/>
      </font>
    </dxf>
  </rfmt>
  <rfmt sheetId="1" sqref="AV642" start="0" length="0">
    <dxf>
      <font>
        <sz val="11"/>
        <color theme="1"/>
        <name val="Calibri"/>
        <scheme val="none"/>
      </font>
    </dxf>
  </rfmt>
  <rfmt sheetId="1" sqref="AW642" start="0" length="0">
    <dxf>
      <font>
        <sz val="11"/>
        <color theme="1"/>
        <name val="Calibri"/>
        <scheme val="none"/>
      </font>
    </dxf>
  </rfmt>
  <rfmt sheetId="1" sqref="AX642" start="0" length="0">
    <dxf>
      <font>
        <sz val="11"/>
        <color theme="1"/>
        <name val="Calibri"/>
        <scheme val="none"/>
      </font>
    </dxf>
  </rfmt>
  <rfmt sheetId="1" sqref="AY642" start="0" length="0">
    <dxf>
      <font>
        <sz val="11"/>
        <color theme="1"/>
        <name val="Calibri"/>
        <scheme val="none"/>
      </font>
    </dxf>
  </rfmt>
  <rfmt sheetId="1" sqref="A642:XFD642" start="0" length="0">
    <dxf>
      <font>
        <sz val="11"/>
        <color theme="1"/>
        <name val="Calibri"/>
        <scheme val="none"/>
      </font>
    </dxf>
  </rfmt>
  <rfmt sheetId="1" sqref="A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4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4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4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4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43" start="0" length="0">
    <dxf>
      <font>
        <sz val="11"/>
        <color theme="1"/>
        <name val="Calibri"/>
        <scheme val="none"/>
      </font>
    </dxf>
  </rfmt>
  <rfmt sheetId="1" sqref="AM643" start="0" length="0">
    <dxf>
      <font>
        <sz val="11"/>
        <color theme="1"/>
        <name val="Calibri"/>
        <scheme val="none"/>
      </font>
      <numFmt numFmtId="1" formatCode="0"/>
    </dxf>
  </rfmt>
  <rfmt sheetId="1" sqref="AN643" start="0" length="0">
    <dxf>
      <font>
        <sz val="11"/>
        <color theme="1"/>
        <name val="Calibri"/>
        <scheme val="none"/>
      </font>
      <numFmt numFmtId="1" formatCode="0"/>
    </dxf>
  </rfmt>
  <rfmt sheetId="1" sqref="AO643" start="0" length="0">
    <dxf>
      <font>
        <sz val="11"/>
        <color theme="1"/>
        <name val="Calibri"/>
        <scheme val="none"/>
      </font>
    </dxf>
  </rfmt>
  <rfmt sheetId="1" sqref="AP643" start="0" length="0">
    <dxf>
      <font>
        <sz val="11"/>
        <color theme="1"/>
        <name val="Calibri"/>
        <scheme val="none"/>
      </font>
    </dxf>
  </rfmt>
  <rfmt sheetId="1" sqref="AQ643" start="0" length="0">
    <dxf>
      <font>
        <sz val="11"/>
        <color theme="1"/>
        <name val="Calibri"/>
        <scheme val="none"/>
      </font>
      <numFmt numFmtId="164" formatCode="_-* #,##0_-;\-* #,##0_-;_-* &quot;-&quot;??_-;_-@_-"/>
    </dxf>
  </rfmt>
  <rfmt sheetId="1" sqref="AR643" start="0" length="0">
    <dxf>
      <font>
        <sz val="11"/>
        <color theme="1"/>
        <name val="Calibri"/>
        <scheme val="none"/>
      </font>
      <numFmt numFmtId="164" formatCode="_-* #,##0_-;\-* #,##0_-;_-* &quot;-&quot;??_-;_-@_-"/>
    </dxf>
  </rfmt>
  <rfmt sheetId="1" sqref="AS643" start="0" length="0">
    <dxf>
      <font>
        <sz val="11"/>
        <color theme="1"/>
        <name val="Calibri"/>
        <scheme val="none"/>
      </font>
      <numFmt numFmtId="164" formatCode="_-* #,##0_-;\-* #,##0_-;_-* &quot;-&quot;??_-;_-@_-"/>
    </dxf>
  </rfmt>
  <rfmt sheetId="1" sqref="AT643" start="0" length="0">
    <dxf>
      <font>
        <sz val="11"/>
        <color theme="1"/>
        <name val="Calibri"/>
        <scheme val="none"/>
      </font>
      <numFmt numFmtId="164" formatCode="_-* #,##0_-;\-* #,##0_-;_-* &quot;-&quot;??_-;_-@_-"/>
    </dxf>
  </rfmt>
  <rfmt sheetId="1" sqref="AU643" start="0" length="0">
    <dxf>
      <font>
        <sz val="11"/>
        <color theme="1"/>
        <name val="Calibri"/>
        <scheme val="none"/>
      </font>
    </dxf>
  </rfmt>
  <rfmt sheetId="1" sqref="AV643" start="0" length="0">
    <dxf>
      <font>
        <sz val="11"/>
        <color theme="1"/>
        <name val="Calibri"/>
        <scheme val="none"/>
      </font>
    </dxf>
  </rfmt>
  <rfmt sheetId="1" sqref="AW643" start="0" length="0">
    <dxf>
      <font>
        <sz val="11"/>
        <color theme="1"/>
        <name val="Calibri"/>
        <scheme val="none"/>
      </font>
    </dxf>
  </rfmt>
  <rfmt sheetId="1" sqref="AX643" start="0" length="0">
    <dxf>
      <font>
        <sz val="11"/>
        <color theme="1"/>
        <name val="Calibri"/>
        <scheme val="none"/>
      </font>
    </dxf>
  </rfmt>
  <rfmt sheetId="1" sqref="AY643" start="0" length="0">
    <dxf>
      <font>
        <sz val="11"/>
        <color theme="1"/>
        <name val="Calibri"/>
        <scheme val="none"/>
      </font>
    </dxf>
  </rfmt>
  <rfmt sheetId="1" sqref="A643:XFD643" start="0" length="0">
    <dxf>
      <font>
        <sz val="11"/>
        <color theme="1"/>
        <name val="Calibri"/>
        <scheme val="none"/>
      </font>
    </dxf>
  </rfmt>
  <rfmt sheetId="1" sqref="A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4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4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4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4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44" start="0" length="0">
    <dxf>
      <font>
        <sz val="11"/>
        <color theme="1"/>
        <name val="Calibri"/>
        <scheme val="none"/>
      </font>
    </dxf>
  </rfmt>
  <rfmt sheetId="1" sqref="AM644" start="0" length="0">
    <dxf>
      <font>
        <sz val="11"/>
        <color theme="1"/>
        <name val="Calibri"/>
        <scheme val="none"/>
      </font>
      <numFmt numFmtId="1" formatCode="0"/>
    </dxf>
  </rfmt>
  <rfmt sheetId="1" sqref="AN644" start="0" length="0">
    <dxf>
      <font>
        <sz val="11"/>
        <color theme="1"/>
        <name val="Calibri"/>
        <scheme val="none"/>
      </font>
      <numFmt numFmtId="1" formatCode="0"/>
    </dxf>
  </rfmt>
  <rfmt sheetId="1" sqref="AO644" start="0" length="0">
    <dxf>
      <font>
        <sz val="11"/>
        <color theme="1"/>
        <name val="Calibri"/>
        <scheme val="none"/>
      </font>
    </dxf>
  </rfmt>
  <rfmt sheetId="1" sqref="AP644" start="0" length="0">
    <dxf>
      <font>
        <sz val="11"/>
        <color theme="1"/>
        <name val="Calibri"/>
        <scheme val="none"/>
      </font>
    </dxf>
  </rfmt>
  <rfmt sheetId="1" sqref="AQ644" start="0" length="0">
    <dxf>
      <font>
        <sz val="11"/>
        <color theme="1"/>
        <name val="Calibri"/>
        <scheme val="none"/>
      </font>
      <numFmt numFmtId="164" formatCode="_-* #,##0_-;\-* #,##0_-;_-* &quot;-&quot;??_-;_-@_-"/>
    </dxf>
  </rfmt>
  <rfmt sheetId="1" sqref="AR644" start="0" length="0">
    <dxf>
      <font>
        <sz val="11"/>
        <color theme="1"/>
        <name val="Calibri"/>
        <scheme val="none"/>
      </font>
      <numFmt numFmtId="164" formatCode="_-* #,##0_-;\-* #,##0_-;_-* &quot;-&quot;??_-;_-@_-"/>
    </dxf>
  </rfmt>
  <rfmt sheetId="1" sqref="AS644" start="0" length="0">
    <dxf>
      <font>
        <sz val="11"/>
        <color theme="1"/>
        <name val="Calibri"/>
        <scheme val="none"/>
      </font>
      <numFmt numFmtId="164" formatCode="_-* #,##0_-;\-* #,##0_-;_-* &quot;-&quot;??_-;_-@_-"/>
    </dxf>
  </rfmt>
  <rfmt sheetId="1" sqref="AT644" start="0" length="0">
    <dxf>
      <font>
        <sz val="11"/>
        <color theme="1"/>
        <name val="Calibri"/>
        <scheme val="none"/>
      </font>
      <numFmt numFmtId="164" formatCode="_-* #,##0_-;\-* #,##0_-;_-* &quot;-&quot;??_-;_-@_-"/>
    </dxf>
  </rfmt>
  <rfmt sheetId="1" sqref="AU644" start="0" length="0">
    <dxf>
      <font>
        <sz val="11"/>
        <color theme="1"/>
        <name val="Calibri"/>
        <scheme val="none"/>
      </font>
    </dxf>
  </rfmt>
  <rfmt sheetId="1" sqref="AV644" start="0" length="0">
    <dxf>
      <font>
        <sz val="11"/>
        <color theme="1"/>
        <name val="Calibri"/>
        <scheme val="none"/>
      </font>
    </dxf>
  </rfmt>
  <rfmt sheetId="1" sqref="AW644" start="0" length="0">
    <dxf>
      <font>
        <sz val="11"/>
        <color theme="1"/>
        <name val="Calibri"/>
        <scheme val="none"/>
      </font>
    </dxf>
  </rfmt>
  <rfmt sheetId="1" sqref="AX644" start="0" length="0">
    <dxf>
      <font>
        <sz val="11"/>
        <color theme="1"/>
        <name val="Calibri"/>
        <scheme val="none"/>
      </font>
    </dxf>
  </rfmt>
  <rfmt sheetId="1" sqref="AY644" start="0" length="0">
    <dxf>
      <font>
        <sz val="11"/>
        <color theme="1"/>
        <name val="Calibri"/>
        <scheme val="none"/>
      </font>
    </dxf>
  </rfmt>
  <rfmt sheetId="1" sqref="A644:XFD644" start="0" length="0">
    <dxf>
      <font>
        <sz val="11"/>
        <color theme="1"/>
        <name val="Calibri"/>
        <scheme val="none"/>
      </font>
    </dxf>
  </rfmt>
  <rfmt sheetId="1" sqref="A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4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4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4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4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45" start="0" length="0">
    <dxf>
      <font>
        <sz val="11"/>
        <color theme="1"/>
        <name val="Calibri"/>
        <scheme val="none"/>
      </font>
    </dxf>
  </rfmt>
  <rfmt sheetId="1" sqref="AM645" start="0" length="0">
    <dxf>
      <font>
        <sz val="11"/>
        <color theme="1"/>
        <name val="Calibri"/>
        <scheme val="none"/>
      </font>
      <numFmt numFmtId="1" formatCode="0"/>
    </dxf>
  </rfmt>
  <rfmt sheetId="1" sqref="AN645" start="0" length="0">
    <dxf>
      <font>
        <sz val="11"/>
        <color theme="1"/>
        <name val="Calibri"/>
        <scheme val="none"/>
      </font>
      <numFmt numFmtId="1" formatCode="0"/>
    </dxf>
  </rfmt>
  <rfmt sheetId="1" sqref="AO645" start="0" length="0">
    <dxf>
      <font>
        <sz val="11"/>
        <color theme="1"/>
        <name val="Calibri"/>
        <scheme val="none"/>
      </font>
    </dxf>
  </rfmt>
  <rfmt sheetId="1" sqref="AP645" start="0" length="0">
    <dxf>
      <font>
        <sz val="11"/>
        <color theme="1"/>
        <name val="Calibri"/>
        <scheme val="none"/>
      </font>
    </dxf>
  </rfmt>
  <rfmt sheetId="1" sqref="AQ645" start="0" length="0">
    <dxf>
      <font>
        <sz val="11"/>
        <color theme="1"/>
        <name val="Calibri"/>
        <scheme val="none"/>
      </font>
      <numFmt numFmtId="164" formatCode="_-* #,##0_-;\-* #,##0_-;_-* &quot;-&quot;??_-;_-@_-"/>
    </dxf>
  </rfmt>
  <rfmt sheetId="1" sqref="AR645" start="0" length="0">
    <dxf>
      <font>
        <sz val="11"/>
        <color theme="1"/>
        <name val="Calibri"/>
        <scheme val="none"/>
      </font>
      <numFmt numFmtId="164" formatCode="_-* #,##0_-;\-* #,##0_-;_-* &quot;-&quot;??_-;_-@_-"/>
    </dxf>
  </rfmt>
  <rfmt sheetId="1" sqref="AS645" start="0" length="0">
    <dxf>
      <font>
        <sz val="11"/>
        <color theme="1"/>
        <name val="Calibri"/>
        <scheme val="none"/>
      </font>
      <numFmt numFmtId="164" formatCode="_-* #,##0_-;\-* #,##0_-;_-* &quot;-&quot;??_-;_-@_-"/>
    </dxf>
  </rfmt>
  <rfmt sheetId="1" sqref="AT645" start="0" length="0">
    <dxf>
      <font>
        <sz val="11"/>
        <color theme="1"/>
        <name val="Calibri"/>
        <scheme val="none"/>
      </font>
      <numFmt numFmtId="164" formatCode="_-* #,##0_-;\-* #,##0_-;_-* &quot;-&quot;??_-;_-@_-"/>
    </dxf>
  </rfmt>
  <rfmt sheetId="1" sqref="AU645" start="0" length="0">
    <dxf>
      <font>
        <sz val="11"/>
        <color theme="1"/>
        <name val="Calibri"/>
        <scheme val="none"/>
      </font>
    </dxf>
  </rfmt>
  <rfmt sheetId="1" sqref="AV645" start="0" length="0">
    <dxf>
      <font>
        <sz val="11"/>
        <color theme="1"/>
        <name val="Calibri"/>
        <scheme val="none"/>
      </font>
    </dxf>
  </rfmt>
  <rfmt sheetId="1" sqref="AW645" start="0" length="0">
    <dxf>
      <font>
        <sz val="11"/>
        <color theme="1"/>
        <name val="Calibri"/>
        <scheme val="none"/>
      </font>
    </dxf>
  </rfmt>
  <rfmt sheetId="1" sqref="AX645" start="0" length="0">
    <dxf>
      <font>
        <sz val="11"/>
        <color theme="1"/>
        <name val="Calibri"/>
        <scheme val="none"/>
      </font>
    </dxf>
  </rfmt>
  <rfmt sheetId="1" sqref="AY645" start="0" length="0">
    <dxf>
      <font>
        <sz val="11"/>
        <color theme="1"/>
        <name val="Calibri"/>
        <scheme val="none"/>
      </font>
    </dxf>
  </rfmt>
  <rfmt sheetId="1" sqref="A645:XFD645" start="0" length="0">
    <dxf>
      <font>
        <sz val="11"/>
        <color theme="1"/>
        <name val="Calibri"/>
        <scheme val="none"/>
      </font>
    </dxf>
  </rfmt>
  <rfmt sheetId="1" sqref="A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4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4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4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4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46" start="0" length="0">
    <dxf>
      <font>
        <sz val="11"/>
        <color theme="1"/>
        <name val="Calibri"/>
        <scheme val="none"/>
      </font>
    </dxf>
  </rfmt>
  <rfmt sheetId="1" sqref="AM646" start="0" length="0">
    <dxf>
      <font>
        <sz val="11"/>
        <color theme="1"/>
        <name val="Calibri"/>
        <scheme val="none"/>
      </font>
      <numFmt numFmtId="1" formatCode="0"/>
    </dxf>
  </rfmt>
  <rfmt sheetId="1" sqref="AN646" start="0" length="0">
    <dxf>
      <font>
        <sz val="11"/>
        <color theme="1"/>
        <name val="Calibri"/>
        <scheme val="none"/>
      </font>
      <numFmt numFmtId="1" formatCode="0"/>
    </dxf>
  </rfmt>
  <rfmt sheetId="1" sqref="AO646" start="0" length="0">
    <dxf>
      <font>
        <sz val="11"/>
        <color theme="1"/>
        <name val="Calibri"/>
        <scheme val="none"/>
      </font>
    </dxf>
  </rfmt>
  <rfmt sheetId="1" sqref="AP646" start="0" length="0">
    <dxf>
      <font>
        <sz val="11"/>
        <color theme="1"/>
        <name val="Calibri"/>
        <scheme val="none"/>
      </font>
    </dxf>
  </rfmt>
  <rfmt sheetId="1" sqref="AQ646" start="0" length="0">
    <dxf>
      <font>
        <sz val="11"/>
        <color theme="1"/>
        <name val="Calibri"/>
        <scheme val="none"/>
      </font>
      <numFmt numFmtId="164" formatCode="_-* #,##0_-;\-* #,##0_-;_-* &quot;-&quot;??_-;_-@_-"/>
    </dxf>
  </rfmt>
  <rfmt sheetId="1" sqref="AR646" start="0" length="0">
    <dxf>
      <font>
        <sz val="11"/>
        <color theme="1"/>
        <name val="Calibri"/>
        <scheme val="none"/>
      </font>
      <numFmt numFmtId="164" formatCode="_-* #,##0_-;\-* #,##0_-;_-* &quot;-&quot;??_-;_-@_-"/>
    </dxf>
  </rfmt>
  <rfmt sheetId="1" sqref="AS646" start="0" length="0">
    <dxf>
      <font>
        <sz val="11"/>
        <color theme="1"/>
        <name val="Calibri"/>
        <scheme val="none"/>
      </font>
      <numFmt numFmtId="164" formatCode="_-* #,##0_-;\-* #,##0_-;_-* &quot;-&quot;??_-;_-@_-"/>
    </dxf>
  </rfmt>
  <rfmt sheetId="1" sqref="AT646" start="0" length="0">
    <dxf>
      <font>
        <sz val="11"/>
        <color theme="1"/>
        <name val="Calibri"/>
        <scheme val="none"/>
      </font>
      <numFmt numFmtId="164" formatCode="_-* #,##0_-;\-* #,##0_-;_-* &quot;-&quot;??_-;_-@_-"/>
    </dxf>
  </rfmt>
  <rfmt sheetId="1" sqref="AU646" start="0" length="0">
    <dxf>
      <font>
        <sz val="11"/>
        <color theme="1"/>
        <name val="Calibri"/>
        <scheme val="none"/>
      </font>
    </dxf>
  </rfmt>
  <rfmt sheetId="1" sqref="AV646" start="0" length="0">
    <dxf>
      <font>
        <sz val="11"/>
        <color theme="1"/>
        <name val="Calibri"/>
        <scheme val="none"/>
      </font>
    </dxf>
  </rfmt>
  <rfmt sheetId="1" sqref="AW646" start="0" length="0">
    <dxf>
      <font>
        <sz val="11"/>
        <color theme="1"/>
        <name val="Calibri"/>
        <scheme val="none"/>
      </font>
    </dxf>
  </rfmt>
  <rfmt sheetId="1" sqref="AX646" start="0" length="0">
    <dxf>
      <font>
        <sz val="11"/>
        <color theme="1"/>
        <name val="Calibri"/>
        <scheme val="none"/>
      </font>
    </dxf>
  </rfmt>
  <rfmt sheetId="1" sqref="AY646" start="0" length="0">
    <dxf>
      <font>
        <sz val="11"/>
        <color theme="1"/>
        <name val="Calibri"/>
        <scheme val="none"/>
      </font>
    </dxf>
  </rfmt>
  <rfmt sheetId="1" sqref="A646:XFD646" start="0" length="0">
    <dxf>
      <font>
        <sz val="11"/>
        <color theme="1"/>
        <name val="Calibri"/>
        <scheme val="none"/>
      </font>
    </dxf>
  </rfmt>
  <rfmt sheetId="1" sqref="A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4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4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4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4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47" start="0" length="0">
    <dxf>
      <font>
        <sz val="11"/>
        <color theme="1"/>
        <name val="Calibri"/>
        <scheme val="none"/>
      </font>
    </dxf>
  </rfmt>
  <rfmt sheetId="1" sqref="AM647" start="0" length="0">
    <dxf>
      <font>
        <sz val="11"/>
        <color theme="1"/>
        <name val="Calibri"/>
        <scheme val="none"/>
      </font>
      <numFmt numFmtId="1" formatCode="0"/>
    </dxf>
  </rfmt>
  <rfmt sheetId="1" sqref="AN647" start="0" length="0">
    <dxf>
      <font>
        <sz val="11"/>
        <color theme="1"/>
        <name val="Calibri"/>
        <scheme val="none"/>
      </font>
      <numFmt numFmtId="1" formatCode="0"/>
    </dxf>
  </rfmt>
  <rfmt sheetId="1" sqref="AO647" start="0" length="0">
    <dxf>
      <font>
        <sz val="11"/>
        <color theme="1"/>
        <name val="Calibri"/>
        <scheme val="none"/>
      </font>
    </dxf>
  </rfmt>
  <rfmt sheetId="1" sqref="AP647" start="0" length="0">
    <dxf>
      <font>
        <sz val="11"/>
        <color theme="1"/>
        <name val="Calibri"/>
        <scheme val="none"/>
      </font>
    </dxf>
  </rfmt>
  <rfmt sheetId="1" sqref="AQ647" start="0" length="0">
    <dxf>
      <font>
        <sz val="11"/>
        <color theme="1"/>
        <name val="Calibri"/>
        <scheme val="none"/>
      </font>
      <numFmt numFmtId="164" formatCode="_-* #,##0_-;\-* #,##0_-;_-* &quot;-&quot;??_-;_-@_-"/>
    </dxf>
  </rfmt>
  <rfmt sheetId="1" sqref="AR647" start="0" length="0">
    <dxf>
      <font>
        <sz val="11"/>
        <color theme="1"/>
        <name val="Calibri"/>
        <scheme val="none"/>
      </font>
      <numFmt numFmtId="164" formatCode="_-* #,##0_-;\-* #,##0_-;_-* &quot;-&quot;??_-;_-@_-"/>
    </dxf>
  </rfmt>
  <rfmt sheetId="1" sqref="AS647" start="0" length="0">
    <dxf>
      <font>
        <sz val="11"/>
        <color theme="1"/>
        <name val="Calibri"/>
        <scheme val="none"/>
      </font>
      <numFmt numFmtId="164" formatCode="_-* #,##0_-;\-* #,##0_-;_-* &quot;-&quot;??_-;_-@_-"/>
    </dxf>
  </rfmt>
  <rfmt sheetId="1" sqref="AT647" start="0" length="0">
    <dxf>
      <font>
        <sz val="11"/>
        <color theme="1"/>
        <name val="Calibri"/>
        <scheme val="none"/>
      </font>
      <numFmt numFmtId="164" formatCode="_-* #,##0_-;\-* #,##0_-;_-* &quot;-&quot;??_-;_-@_-"/>
    </dxf>
  </rfmt>
  <rfmt sheetId="1" sqref="AU647" start="0" length="0">
    <dxf>
      <font>
        <sz val="11"/>
        <color theme="1"/>
        <name val="Calibri"/>
        <scheme val="none"/>
      </font>
    </dxf>
  </rfmt>
  <rfmt sheetId="1" sqref="AV647" start="0" length="0">
    <dxf>
      <font>
        <sz val="11"/>
        <color theme="1"/>
        <name val="Calibri"/>
        <scheme val="none"/>
      </font>
    </dxf>
  </rfmt>
  <rfmt sheetId="1" sqref="AW647" start="0" length="0">
    <dxf>
      <font>
        <sz val="11"/>
        <color theme="1"/>
        <name val="Calibri"/>
        <scheme val="none"/>
      </font>
    </dxf>
  </rfmt>
  <rfmt sheetId="1" sqref="AX647" start="0" length="0">
    <dxf>
      <font>
        <sz val="11"/>
        <color theme="1"/>
        <name val="Calibri"/>
        <scheme val="none"/>
      </font>
    </dxf>
  </rfmt>
  <rfmt sheetId="1" sqref="AY647" start="0" length="0">
    <dxf>
      <font>
        <sz val="11"/>
        <color theme="1"/>
        <name val="Calibri"/>
        <scheme val="none"/>
      </font>
    </dxf>
  </rfmt>
  <rfmt sheetId="1" sqref="A647:XFD647" start="0" length="0">
    <dxf>
      <font>
        <sz val="11"/>
        <color theme="1"/>
        <name val="Calibri"/>
        <scheme val="none"/>
      </font>
    </dxf>
  </rfmt>
  <rfmt sheetId="1" sqref="A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4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4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4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4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48" start="0" length="0">
    <dxf>
      <font>
        <sz val="11"/>
        <color theme="1"/>
        <name val="Calibri"/>
        <scheme val="none"/>
      </font>
    </dxf>
  </rfmt>
  <rfmt sheetId="1" sqref="AM648" start="0" length="0">
    <dxf>
      <font>
        <sz val="11"/>
        <color theme="1"/>
        <name val="Calibri"/>
        <scheme val="none"/>
      </font>
      <numFmt numFmtId="1" formatCode="0"/>
    </dxf>
  </rfmt>
  <rfmt sheetId="1" sqref="AN648" start="0" length="0">
    <dxf>
      <font>
        <sz val="11"/>
        <color theme="1"/>
        <name val="Calibri"/>
        <scheme val="none"/>
      </font>
      <numFmt numFmtId="1" formatCode="0"/>
    </dxf>
  </rfmt>
  <rfmt sheetId="1" sqref="AO648" start="0" length="0">
    <dxf>
      <font>
        <sz val="11"/>
        <color theme="1"/>
        <name val="Calibri"/>
        <scheme val="none"/>
      </font>
    </dxf>
  </rfmt>
  <rfmt sheetId="1" sqref="AP648" start="0" length="0">
    <dxf>
      <font>
        <sz val="11"/>
        <color theme="1"/>
        <name val="Calibri"/>
        <scheme val="none"/>
      </font>
    </dxf>
  </rfmt>
  <rfmt sheetId="1" sqref="AQ648" start="0" length="0">
    <dxf>
      <font>
        <sz val="11"/>
        <color theme="1"/>
        <name val="Calibri"/>
        <scheme val="none"/>
      </font>
      <numFmt numFmtId="164" formatCode="_-* #,##0_-;\-* #,##0_-;_-* &quot;-&quot;??_-;_-@_-"/>
    </dxf>
  </rfmt>
  <rfmt sheetId="1" sqref="AR648" start="0" length="0">
    <dxf>
      <font>
        <sz val="11"/>
        <color theme="1"/>
        <name val="Calibri"/>
        <scheme val="none"/>
      </font>
      <numFmt numFmtId="164" formatCode="_-* #,##0_-;\-* #,##0_-;_-* &quot;-&quot;??_-;_-@_-"/>
    </dxf>
  </rfmt>
  <rfmt sheetId="1" sqref="AS648" start="0" length="0">
    <dxf>
      <font>
        <sz val="11"/>
        <color theme="1"/>
        <name val="Calibri"/>
        <scheme val="none"/>
      </font>
      <numFmt numFmtId="164" formatCode="_-* #,##0_-;\-* #,##0_-;_-* &quot;-&quot;??_-;_-@_-"/>
    </dxf>
  </rfmt>
  <rfmt sheetId="1" sqref="AT648" start="0" length="0">
    <dxf>
      <font>
        <sz val="11"/>
        <color theme="1"/>
        <name val="Calibri"/>
        <scheme val="none"/>
      </font>
      <numFmt numFmtId="164" formatCode="_-* #,##0_-;\-* #,##0_-;_-* &quot;-&quot;??_-;_-@_-"/>
    </dxf>
  </rfmt>
  <rfmt sheetId="1" sqref="AU648" start="0" length="0">
    <dxf>
      <font>
        <sz val="11"/>
        <color theme="1"/>
        <name val="Calibri"/>
        <scheme val="none"/>
      </font>
    </dxf>
  </rfmt>
  <rfmt sheetId="1" sqref="AV648" start="0" length="0">
    <dxf>
      <font>
        <sz val="11"/>
        <color theme="1"/>
        <name val="Calibri"/>
        <scheme val="none"/>
      </font>
    </dxf>
  </rfmt>
  <rfmt sheetId="1" sqref="AW648" start="0" length="0">
    <dxf>
      <font>
        <sz val="11"/>
        <color theme="1"/>
        <name val="Calibri"/>
        <scheme val="none"/>
      </font>
    </dxf>
  </rfmt>
  <rfmt sheetId="1" sqref="AX648" start="0" length="0">
    <dxf>
      <font>
        <sz val="11"/>
        <color theme="1"/>
        <name val="Calibri"/>
        <scheme val="none"/>
      </font>
    </dxf>
  </rfmt>
  <rfmt sheetId="1" sqref="AY648" start="0" length="0">
    <dxf>
      <font>
        <sz val="11"/>
        <color theme="1"/>
        <name val="Calibri"/>
        <scheme val="none"/>
      </font>
    </dxf>
  </rfmt>
  <rfmt sheetId="1" sqref="A648:XFD648" start="0" length="0">
    <dxf>
      <font>
        <sz val="11"/>
        <color theme="1"/>
        <name val="Calibri"/>
        <scheme val="none"/>
      </font>
    </dxf>
  </rfmt>
  <rfmt sheetId="1" sqref="A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4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4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4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4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49" start="0" length="0">
    <dxf>
      <font>
        <sz val="11"/>
        <color theme="1"/>
        <name val="Calibri"/>
        <scheme val="none"/>
      </font>
    </dxf>
  </rfmt>
  <rfmt sheetId="1" sqref="AM649" start="0" length="0">
    <dxf>
      <font>
        <sz val="11"/>
        <color theme="1"/>
        <name val="Calibri"/>
        <scheme val="none"/>
      </font>
      <numFmt numFmtId="1" formatCode="0"/>
    </dxf>
  </rfmt>
  <rfmt sheetId="1" sqref="AN649" start="0" length="0">
    <dxf>
      <font>
        <sz val="11"/>
        <color theme="1"/>
        <name val="Calibri"/>
        <scheme val="none"/>
      </font>
      <numFmt numFmtId="1" formatCode="0"/>
    </dxf>
  </rfmt>
  <rfmt sheetId="1" sqref="AO649" start="0" length="0">
    <dxf>
      <font>
        <sz val="11"/>
        <color theme="1"/>
        <name val="Calibri"/>
        <scheme val="none"/>
      </font>
    </dxf>
  </rfmt>
  <rfmt sheetId="1" sqref="AP649" start="0" length="0">
    <dxf>
      <font>
        <sz val="11"/>
        <color theme="1"/>
        <name val="Calibri"/>
        <scheme val="none"/>
      </font>
    </dxf>
  </rfmt>
  <rfmt sheetId="1" sqref="AQ649" start="0" length="0">
    <dxf>
      <font>
        <sz val="11"/>
        <color theme="1"/>
        <name val="Calibri"/>
        <scheme val="none"/>
      </font>
      <numFmt numFmtId="164" formatCode="_-* #,##0_-;\-* #,##0_-;_-* &quot;-&quot;??_-;_-@_-"/>
    </dxf>
  </rfmt>
  <rfmt sheetId="1" sqref="AR649" start="0" length="0">
    <dxf>
      <font>
        <sz val="11"/>
        <color theme="1"/>
        <name val="Calibri"/>
        <scheme val="none"/>
      </font>
      <numFmt numFmtId="164" formatCode="_-* #,##0_-;\-* #,##0_-;_-* &quot;-&quot;??_-;_-@_-"/>
    </dxf>
  </rfmt>
  <rfmt sheetId="1" sqref="AS649" start="0" length="0">
    <dxf>
      <font>
        <sz val="11"/>
        <color theme="1"/>
        <name val="Calibri"/>
        <scheme val="none"/>
      </font>
      <numFmt numFmtId="164" formatCode="_-* #,##0_-;\-* #,##0_-;_-* &quot;-&quot;??_-;_-@_-"/>
    </dxf>
  </rfmt>
  <rfmt sheetId="1" sqref="AT649" start="0" length="0">
    <dxf>
      <font>
        <sz val="11"/>
        <color theme="1"/>
        <name val="Calibri"/>
        <scheme val="none"/>
      </font>
      <numFmt numFmtId="164" formatCode="_-* #,##0_-;\-* #,##0_-;_-* &quot;-&quot;??_-;_-@_-"/>
    </dxf>
  </rfmt>
  <rfmt sheetId="1" sqref="AU649" start="0" length="0">
    <dxf>
      <font>
        <sz val="11"/>
        <color theme="1"/>
        <name val="Calibri"/>
        <scheme val="none"/>
      </font>
    </dxf>
  </rfmt>
  <rfmt sheetId="1" sqref="AV649" start="0" length="0">
    <dxf>
      <font>
        <sz val="11"/>
        <color theme="1"/>
        <name val="Calibri"/>
        <scheme val="none"/>
      </font>
    </dxf>
  </rfmt>
  <rfmt sheetId="1" sqref="AW649" start="0" length="0">
    <dxf>
      <font>
        <sz val="11"/>
        <color theme="1"/>
        <name val="Calibri"/>
        <scheme val="none"/>
      </font>
    </dxf>
  </rfmt>
  <rfmt sheetId="1" sqref="AX649" start="0" length="0">
    <dxf>
      <font>
        <sz val="11"/>
        <color theme="1"/>
        <name val="Calibri"/>
        <scheme val="none"/>
      </font>
    </dxf>
  </rfmt>
  <rfmt sheetId="1" sqref="AY649" start="0" length="0">
    <dxf>
      <font>
        <sz val="11"/>
        <color theme="1"/>
        <name val="Calibri"/>
        <scheme val="none"/>
      </font>
    </dxf>
  </rfmt>
  <rfmt sheetId="1" sqref="A649:XFD649" start="0" length="0">
    <dxf>
      <font>
        <sz val="11"/>
        <color theme="1"/>
        <name val="Calibri"/>
        <scheme val="none"/>
      </font>
    </dxf>
  </rfmt>
  <rfmt sheetId="1" sqref="A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5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5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5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5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50" start="0" length="0">
    <dxf>
      <font>
        <sz val="11"/>
        <color theme="1"/>
        <name val="Calibri"/>
        <scheme val="none"/>
      </font>
    </dxf>
  </rfmt>
  <rfmt sheetId="1" sqref="AM650" start="0" length="0">
    <dxf>
      <font>
        <sz val="11"/>
        <color theme="1"/>
        <name val="Calibri"/>
        <scheme val="none"/>
      </font>
      <numFmt numFmtId="1" formatCode="0"/>
    </dxf>
  </rfmt>
  <rfmt sheetId="1" sqref="AN650" start="0" length="0">
    <dxf>
      <font>
        <sz val="11"/>
        <color theme="1"/>
        <name val="Calibri"/>
        <scheme val="none"/>
      </font>
      <numFmt numFmtId="1" formatCode="0"/>
    </dxf>
  </rfmt>
  <rfmt sheetId="1" sqref="AO650" start="0" length="0">
    <dxf>
      <font>
        <sz val="11"/>
        <color theme="1"/>
        <name val="Calibri"/>
        <scheme val="none"/>
      </font>
    </dxf>
  </rfmt>
  <rfmt sheetId="1" sqref="AP650" start="0" length="0">
    <dxf>
      <font>
        <sz val="11"/>
        <color theme="1"/>
        <name val="Calibri"/>
        <scheme val="none"/>
      </font>
    </dxf>
  </rfmt>
  <rfmt sheetId="1" sqref="AQ650" start="0" length="0">
    <dxf>
      <font>
        <sz val="11"/>
        <color theme="1"/>
        <name val="Calibri"/>
        <scheme val="none"/>
      </font>
      <numFmt numFmtId="164" formatCode="_-* #,##0_-;\-* #,##0_-;_-* &quot;-&quot;??_-;_-@_-"/>
    </dxf>
  </rfmt>
  <rfmt sheetId="1" sqref="AR650" start="0" length="0">
    <dxf>
      <font>
        <sz val="11"/>
        <color theme="1"/>
        <name val="Calibri"/>
        <scheme val="none"/>
      </font>
      <numFmt numFmtId="164" formatCode="_-* #,##0_-;\-* #,##0_-;_-* &quot;-&quot;??_-;_-@_-"/>
    </dxf>
  </rfmt>
  <rfmt sheetId="1" sqref="AS650" start="0" length="0">
    <dxf>
      <font>
        <sz val="11"/>
        <color theme="1"/>
        <name val="Calibri"/>
        <scheme val="none"/>
      </font>
      <numFmt numFmtId="164" formatCode="_-* #,##0_-;\-* #,##0_-;_-* &quot;-&quot;??_-;_-@_-"/>
    </dxf>
  </rfmt>
  <rfmt sheetId="1" sqref="AT650" start="0" length="0">
    <dxf>
      <font>
        <sz val="11"/>
        <color theme="1"/>
        <name val="Calibri"/>
        <scheme val="none"/>
      </font>
      <numFmt numFmtId="164" formatCode="_-* #,##0_-;\-* #,##0_-;_-* &quot;-&quot;??_-;_-@_-"/>
    </dxf>
  </rfmt>
  <rfmt sheetId="1" sqref="AU650" start="0" length="0">
    <dxf>
      <font>
        <sz val="11"/>
        <color theme="1"/>
        <name val="Calibri"/>
        <scheme val="none"/>
      </font>
    </dxf>
  </rfmt>
  <rfmt sheetId="1" sqref="AV650" start="0" length="0">
    <dxf>
      <font>
        <sz val="11"/>
        <color theme="1"/>
        <name val="Calibri"/>
        <scheme val="none"/>
      </font>
    </dxf>
  </rfmt>
  <rfmt sheetId="1" sqref="AW650" start="0" length="0">
    <dxf>
      <font>
        <sz val="11"/>
        <color theme="1"/>
        <name val="Calibri"/>
        <scheme val="none"/>
      </font>
    </dxf>
  </rfmt>
  <rfmt sheetId="1" sqref="AX650" start="0" length="0">
    <dxf>
      <font>
        <sz val="11"/>
        <color theme="1"/>
        <name val="Calibri"/>
        <scheme val="none"/>
      </font>
    </dxf>
  </rfmt>
  <rfmt sheetId="1" sqref="AY650" start="0" length="0">
    <dxf>
      <font>
        <sz val="11"/>
        <color theme="1"/>
        <name val="Calibri"/>
        <scheme val="none"/>
      </font>
    </dxf>
  </rfmt>
  <rfmt sheetId="1" sqref="A650:XFD650" start="0" length="0">
    <dxf>
      <font>
        <sz val="11"/>
        <color theme="1"/>
        <name val="Calibri"/>
        <scheme val="none"/>
      </font>
    </dxf>
  </rfmt>
  <rfmt sheetId="1" sqref="A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5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5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5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5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51" start="0" length="0">
    <dxf>
      <font>
        <sz val="11"/>
        <color theme="1"/>
        <name val="Calibri"/>
        <scheme val="none"/>
      </font>
    </dxf>
  </rfmt>
  <rfmt sheetId="1" sqref="AM651" start="0" length="0">
    <dxf>
      <font>
        <sz val="11"/>
        <color theme="1"/>
        <name val="Calibri"/>
        <scheme val="none"/>
      </font>
      <numFmt numFmtId="1" formatCode="0"/>
    </dxf>
  </rfmt>
  <rfmt sheetId="1" sqref="AN651" start="0" length="0">
    <dxf>
      <font>
        <sz val="11"/>
        <color theme="1"/>
        <name val="Calibri"/>
        <scheme val="none"/>
      </font>
      <numFmt numFmtId="1" formatCode="0"/>
    </dxf>
  </rfmt>
  <rfmt sheetId="1" sqref="AO651" start="0" length="0">
    <dxf>
      <font>
        <sz val="11"/>
        <color theme="1"/>
        <name val="Calibri"/>
        <scheme val="none"/>
      </font>
    </dxf>
  </rfmt>
  <rfmt sheetId="1" sqref="AP651" start="0" length="0">
    <dxf>
      <font>
        <sz val="11"/>
        <color theme="1"/>
        <name val="Calibri"/>
        <scheme val="none"/>
      </font>
    </dxf>
  </rfmt>
  <rfmt sheetId="1" sqref="AQ651" start="0" length="0">
    <dxf>
      <font>
        <sz val="11"/>
        <color theme="1"/>
        <name val="Calibri"/>
        <scheme val="none"/>
      </font>
      <numFmt numFmtId="164" formatCode="_-* #,##0_-;\-* #,##0_-;_-* &quot;-&quot;??_-;_-@_-"/>
    </dxf>
  </rfmt>
  <rfmt sheetId="1" sqref="AR651" start="0" length="0">
    <dxf>
      <font>
        <sz val="11"/>
        <color theme="1"/>
        <name val="Calibri"/>
        <scheme val="none"/>
      </font>
      <numFmt numFmtId="164" formatCode="_-* #,##0_-;\-* #,##0_-;_-* &quot;-&quot;??_-;_-@_-"/>
    </dxf>
  </rfmt>
  <rfmt sheetId="1" sqref="AS651" start="0" length="0">
    <dxf>
      <font>
        <sz val="11"/>
        <color theme="1"/>
        <name val="Calibri"/>
        <scheme val="none"/>
      </font>
      <numFmt numFmtId="164" formatCode="_-* #,##0_-;\-* #,##0_-;_-* &quot;-&quot;??_-;_-@_-"/>
    </dxf>
  </rfmt>
  <rfmt sheetId="1" sqref="AT651" start="0" length="0">
    <dxf>
      <font>
        <sz val="11"/>
        <color theme="1"/>
        <name val="Calibri"/>
        <scheme val="none"/>
      </font>
      <numFmt numFmtId="164" formatCode="_-* #,##0_-;\-* #,##0_-;_-* &quot;-&quot;??_-;_-@_-"/>
    </dxf>
  </rfmt>
  <rfmt sheetId="1" sqref="AU651" start="0" length="0">
    <dxf>
      <font>
        <sz val="11"/>
        <color theme="1"/>
        <name val="Calibri"/>
        <scheme val="none"/>
      </font>
    </dxf>
  </rfmt>
  <rfmt sheetId="1" sqref="AV651" start="0" length="0">
    <dxf>
      <font>
        <sz val="11"/>
        <color theme="1"/>
        <name val="Calibri"/>
        <scheme val="none"/>
      </font>
    </dxf>
  </rfmt>
  <rfmt sheetId="1" sqref="AW651" start="0" length="0">
    <dxf>
      <font>
        <sz val="11"/>
        <color theme="1"/>
        <name val="Calibri"/>
        <scheme val="none"/>
      </font>
    </dxf>
  </rfmt>
  <rfmt sheetId="1" sqref="AX651" start="0" length="0">
    <dxf>
      <font>
        <sz val="11"/>
        <color theme="1"/>
        <name val="Calibri"/>
        <scheme val="none"/>
      </font>
    </dxf>
  </rfmt>
  <rfmt sheetId="1" sqref="AY651" start="0" length="0">
    <dxf>
      <font>
        <sz val="11"/>
        <color theme="1"/>
        <name val="Calibri"/>
        <scheme val="none"/>
      </font>
    </dxf>
  </rfmt>
  <rfmt sheetId="1" sqref="A651:XFD651" start="0" length="0">
    <dxf>
      <font>
        <sz val="11"/>
        <color theme="1"/>
        <name val="Calibri"/>
        <scheme val="none"/>
      </font>
    </dxf>
  </rfmt>
  <rfmt sheetId="1" sqref="A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5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5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5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5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52" start="0" length="0">
    <dxf>
      <font>
        <sz val="11"/>
        <color theme="1"/>
        <name val="Calibri"/>
        <scheme val="none"/>
      </font>
    </dxf>
  </rfmt>
  <rfmt sheetId="1" sqref="AM652" start="0" length="0">
    <dxf>
      <font>
        <sz val="11"/>
        <color theme="1"/>
        <name val="Calibri"/>
        <scheme val="none"/>
      </font>
      <numFmt numFmtId="1" formatCode="0"/>
    </dxf>
  </rfmt>
  <rfmt sheetId="1" sqref="AN652" start="0" length="0">
    <dxf>
      <font>
        <sz val="11"/>
        <color theme="1"/>
        <name val="Calibri"/>
        <scheme val="none"/>
      </font>
      <numFmt numFmtId="1" formatCode="0"/>
    </dxf>
  </rfmt>
  <rfmt sheetId="1" sqref="AO652" start="0" length="0">
    <dxf>
      <font>
        <sz val="11"/>
        <color theme="1"/>
        <name val="Calibri"/>
        <scheme val="none"/>
      </font>
    </dxf>
  </rfmt>
  <rfmt sheetId="1" sqref="AP652" start="0" length="0">
    <dxf>
      <font>
        <sz val="11"/>
        <color theme="1"/>
        <name val="Calibri"/>
        <scheme val="none"/>
      </font>
    </dxf>
  </rfmt>
  <rfmt sheetId="1" sqref="AQ652" start="0" length="0">
    <dxf>
      <font>
        <sz val="11"/>
        <color theme="1"/>
        <name val="Calibri"/>
        <scheme val="none"/>
      </font>
      <numFmt numFmtId="164" formatCode="_-* #,##0_-;\-* #,##0_-;_-* &quot;-&quot;??_-;_-@_-"/>
    </dxf>
  </rfmt>
  <rfmt sheetId="1" sqref="AR652" start="0" length="0">
    <dxf>
      <font>
        <sz val="11"/>
        <color theme="1"/>
        <name val="Calibri"/>
        <scheme val="none"/>
      </font>
      <numFmt numFmtId="164" formatCode="_-* #,##0_-;\-* #,##0_-;_-* &quot;-&quot;??_-;_-@_-"/>
    </dxf>
  </rfmt>
  <rfmt sheetId="1" sqref="AS652" start="0" length="0">
    <dxf>
      <font>
        <sz val="11"/>
        <color theme="1"/>
        <name val="Calibri"/>
        <scheme val="none"/>
      </font>
      <numFmt numFmtId="164" formatCode="_-* #,##0_-;\-* #,##0_-;_-* &quot;-&quot;??_-;_-@_-"/>
    </dxf>
  </rfmt>
  <rfmt sheetId="1" sqref="AT652" start="0" length="0">
    <dxf>
      <font>
        <sz val="11"/>
        <color theme="1"/>
        <name val="Calibri"/>
        <scheme val="none"/>
      </font>
      <numFmt numFmtId="164" formatCode="_-* #,##0_-;\-* #,##0_-;_-* &quot;-&quot;??_-;_-@_-"/>
    </dxf>
  </rfmt>
  <rfmt sheetId="1" sqref="AU652" start="0" length="0">
    <dxf>
      <font>
        <sz val="11"/>
        <color theme="1"/>
        <name val="Calibri"/>
        <scheme val="none"/>
      </font>
    </dxf>
  </rfmt>
  <rfmt sheetId="1" sqref="AV652" start="0" length="0">
    <dxf>
      <font>
        <sz val="11"/>
        <color theme="1"/>
        <name val="Calibri"/>
        <scheme val="none"/>
      </font>
    </dxf>
  </rfmt>
  <rfmt sheetId="1" sqref="AW652" start="0" length="0">
    <dxf>
      <font>
        <sz val="11"/>
        <color theme="1"/>
        <name val="Calibri"/>
        <scheme val="none"/>
      </font>
    </dxf>
  </rfmt>
  <rfmt sheetId="1" sqref="AX652" start="0" length="0">
    <dxf>
      <font>
        <sz val="11"/>
        <color theme="1"/>
        <name val="Calibri"/>
        <scheme val="none"/>
      </font>
    </dxf>
  </rfmt>
  <rfmt sheetId="1" sqref="AY652" start="0" length="0">
    <dxf>
      <font>
        <sz val="11"/>
        <color theme="1"/>
        <name val="Calibri"/>
        <scheme val="none"/>
      </font>
    </dxf>
  </rfmt>
  <rfmt sheetId="1" sqref="A652:XFD652" start="0" length="0">
    <dxf>
      <font>
        <sz val="11"/>
        <color theme="1"/>
        <name val="Calibri"/>
        <scheme val="none"/>
      </font>
    </dxf>
  </rfmt>
  <rfmt sheetId="1" sqref="A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5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5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5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5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53" start="0" length="0">
    <dxf>
      <font>
        <sz val="11"/>
        <color theme="1"/>
        <name val="Calibri"/>
        <scheme val="none"/>
      </font>
    </dxf>
  </rfmt>
  <rfmt sheetId="1" sqref="AM653" start="0" length="0">
    <dxf>
      <font>
        <sz val="11"/>
        <color theme="1"/>
        <name val="Calibri"/>
        <scheme val="none"/>
      </font>
      <numFmt numFmtId="1" formatCode="0"/>
    </dxf>
  </rfmt>
  <rfmt sheetId="1" sqref="AN653" start="0" length="0">
    <dxf>
      <font>
        <sz val="11"/>
        <color theme="1"/>
        <name val="Calibri"/>
        <scheme val="none"/>
      </font>
      <numFmt numFmtId="1" formatCode="0"/>
    </dxf>
  </rfmt>
  <rfmt sheetId="1" sqref="AO653" start="0" length="0">
    <dxf>
      <font>
        <sz val="11"/>
        <color theme="1"/>
        <name val="Calibri"/>
        <scheme val="none"/>
      </font>
    </dxf>
  </rfmt>
  <rfmt sheetId="1" sqref="AP653" start="0" length="0">
    <dxf>
      <font>
        <sz val="11"/>
        <color theme="1"/>
        <name val="Calibri"/>
        <scheme val="none"/>
      </font>
    </dxf>
  </rfmt>
  <rfmt sheetId="1" sqref="AQ653" start="0" length="0">
    <dxf>
      <font>
        <sz val="11"/>
        <color theme="1"/>
        <name val="Calibri"/>
        <scheme val="none"/>
      </font>
      <numFmt numFmtId="164" formatCode="_-* #,##0_-;\-* #,##0_-;_-* &quot;-&quot;??_-;_-@_-"/>
    </dxf>
  </rfmt>
  <rfmt sheetId="1" sqref="AR653" start="0" length="0">
    <dxf>
      <font>
        <sz val="11"/>
        <color theme="1"/>
        <name val="Calibri"/>
        <scheme val="none"/>
      </font>
      <numFmt numFmtId="164" formatCode="_-* #,##0_-;\-* #,##0_-;_-* &quot;-&quot;??_-;_-@_-"/>
    </dxf>
  </rfmt>
  <rfmt sheetId="1" sqref="AS653" start="0" length="0">
    <dxf>
      <font>
        <sz val="11"/>
        <color theme="1"/>
        <name val="Calibri"/>
        <scheme val="none"/>
      </font>
      <numFmt numFmtId="164" formatCode="_-* #,##0_-;\-* #,##0_-;_-* &quot;-&quot;??_-;_-@_-"/>
    </dxf>
  </rfmt>
  <rfmt sheetId="1" sqref="AT653" start="0" length="0">
    <dxf>
      <font>
        <sz val="11"/>
        <color theme="1"/>
        <name val="Calibri"/>
        <scheme val="none"/>
      </font>
      <numFmt numFmtId="164" formatCode="_-* #,##0_-;\-* #,##0_-;_-* &quot;-&quot;??_-;_-@_-"/>
    </dxf>
  </rfmt>
  <rfmt sheetId="1" sqref="AU653" start="0" length="0">
    <dxf>
      <font>
        <sz val="11"/>
        <color theme="1"/>
        <name val="Calibri"/>
        <scheme val="none"/>
      </font>
    </dxf>
  </rfmt>
  <rfmt sheetId="1" sqref="AV653" start="0" length="0">
    <dxf>
      <font>
        <sz val="11"/>
        <color theme="1"/>
        <name val="Calibri"/>
        <scheme val="none"/>
      </font>
    </dxf>
  </rfmt>
  <rfmt sheetId="1" sqref="AW653" start="0" length="0">
    <dxf>
      <font>
        <sz val="11"/>
        <color theme="1"/>
        <name val="Calibri"/>
        <scheme val="none"/>
      </font>
    </dxf>
  </rfmt>
  <rfmt sheetId="1" sqref="AX653" start="0" length="0">
    <dxf>
      <font>
        <sz val="11"/>
        <color theme="1"/>
        <name val="Calibri"/>
        <scheme val="none"/>
      </font>
    </dxf>
  </rfmt>
  <rfmt sheetId="1" sqref="AY653" start="0" length="0">
    <dxf>
      <font>
        <sz val="11"/>
        <color theme="1"/>
        <name val="Calibri"/>
        <scheme val="none"/>
      </font>
    </dxf>
  </rfmt>
  <rfmt sheetId="1" sqref="A653:XFD653" start="0" length="0">
    <dxf>
      <font>
        <sz val="11"/>
        <color theme="1"/>
        <name val="Calibri"/>
        <scheme val="none"/>
      </font>
    </dxf>
  </rfmt>
  <rfmt sheetId="1" sqref="A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5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5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5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5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54" start="0" length="0">
    <dxf>
      <font>
        <sz val="11"/>
        <color theme="1"/>
        <name val="Calibri"/>
        <scheme val="none"/>
      </font>
    </dxf>
  </rfmt>
  <rfmt sheetId="1" sqref="AM654" start="0" length="0">
    <dxf>
      <font>
        <sz val="11"/>
        <color theme="1"/>
        <name val="Calibri"/>
        <scheme val="none"/>
      </font>
      <numFmt numFmtId="1" formatCode="0"/>
    </dxf>
  </rfmt>
  <rfmt sheetId="1" sqref="AN654" start="0" length="0">
    <dxf>
      <font>
        <sz val="11"/>
        <color theme="1"/>
        <name val="Calibri"/>
        <scheme val="none"/>
      </font>
      <numFmt numFmtId="1" formatCode="0"/>
    </dxf>
  </rfmt>
  <rfmt sheetId="1" sqref="AO654" start="0" length="0">
    <dxf>
      <font>
        <sz val="11"/>
        <color theme="1"/>
        <name val="Calibri"/>
        <scheme val="none"/>
      </font>
    </dxf>
  </rfmt>
  <rfmt sheetId="1" sqref="AP654" start="0" length="0">
    <dxf>
      <font>
        <sz val="11"/>
        <color theme="1"/>
        <name val="Calibri"/>
        <scheme val="none"/>
      </font>
    </dxf>
  </rfmt>
  <rfmt sheetId="1" sqref="AQ654" start="0" length="0">
    <dxf>
      <font>
        <sz val="11"/>
        <color theme="1"/>
        <name val="Calibri"/>
        <scheme val="none"/>
      </font>
      <numFmt numFmtId="164" formatCode="_-* #,##0_-;\-* #,##0_-;_-* &quot;-&quot;??_-;_-@_-"/>
    </dxf>
  </rfmt>
  <rfmt sheetId="1" sqref="AR654" start="0" length="0">
    <dxf>
      <font>
        <sz val="11"/>
        <color theme="1"/>
        <name val="Calibri"/>
        <scheme val="none"/>
      </font>
      <numFmt numFmtId="164" formatCode="_-* #,##0_-;\-* #,##0_-;_-* &quot;-&quot;??_-;_-@_-"/>
    </dxf>
  </rfmt>
  <rfmt sheetId="1" sqref="AS654" start="0" length="0">
    <dxf>
      <font>
        <sz val="11"/>
        <color theme="1"/>
        <name val="Calibri"/>
        <scheme val="none"/>
      </font>
      <numFmt numFmtId="164" formatCode="_-* #,##0_-;\-* #,##0_-;_-* &quot;-&quot;??_-;_-@_-"/>
    </dxf>
  </rfmt>
  <rfmt sheetId="1" sqref="AT654" start="0" length="0">
    <dxf>
      <font>
        <sz val="11"/>
        <color theme="1"/>
        <name val="Calibri"/>
        <scheme val="none"/>
      </font>
      <numFmt numFmtId="164" formatCode="_-* #,##0_-;\-* #,##0_-;_-* &quot;-&quot;??_-;_-@_-"/>
    </dxf>
  </rfmt>
  <rfmt sheetId="1" sqref="AU654" start="0" length="0">
    <dxf>
      <font>
        <sz val="11"/>
        <color theme="1"/>
        <name val="Calibri"/>
        <scheme val="none"/>
      </font>
    </dxf>
  </rfmt>
  <rfmt sheetId="1" sqref="AV654" start="0" length="0">
    <dxf>
      <font>
        <sz val="11"/>
        <color theme="1"/>
        <name val="Calibri"/>
        <scheme val="none"/>
      </font>
    </dxf>
  </rfmt>
  <rfmt sheetId="1" sqref="AW654" start="0" length="0">
    <dxf>
      <font>
        <sz val="11"/>
        <color theme="1"/>
        <name val="Calibri"/>
        <scheme val="none"/>
      </font>
    </dxf>
  </rfmt>
  <rfmt sheetId="1" sqref="AX654" start="0" length="0">
    <dxf>
      <font>
        <sz val="11"/>
        <color theme="1"/>
        <name val="Calibri"/>
        <scheme val="none"/>
      </font>
    </dxf>
  </rfmt>
  <rfmt sheetId="1" sqref="AY654" start="0" length="0">
    <dxf>
      <font>
        <sz val="11"/>
        <color theme="1"/>
        <name val="Calibri"/>
        <scheme val="none"/>
      </font>
    </dxf>
  </rfmt>
  <rfmt sheetId="1" sqref="A654:XFD654" start="0" length="0">
    <dxf>
      <font>
        <sz val="11"/>
        <color theme="1"/>
        <name val="Calibri"/>
        <scheme val="none"/>
      </font>
    </dxf>
  </rfmt>
  <rfmt sheetId="1" sqref="A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5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5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5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5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55" start="0" length="0">
    <dxf>
      <font>
        <sz val="11"/>
        <color theme="1"/>
        <name val="Calibri"/>
        <scheme val="none"/>
      </font>
    </dxf>
  </rfmt>
  <rfmt sheetId="1" sqref="AM655" start="0" length="0">
    <dxf>
      <font>
        <sz val="11"/>
        <color theme="1"/>
        <name val="Calibri"/>
        <scheme val="none"/>
      </font>
      <numFmt numFmtId="1" formatCode="0"/>
    </dxf>
  </rfmt>
  <rfmt sheetId="1" sqref="AN655" start="0" length="0">
    <dxf>
      <font>
        <sz val="11"/>
        <color theme="1"/>
        <name val="Calibri"/>
        <scheme val="none"/>
      </font>
      <numFmt numFmtId="1" formatCode="0"/>
    </dxf>
  </rfmt>
  <rfmt sheetId="1" sqref="AO655" start="0" length="0">
    <dxf>
      <font>
        <sz val="11"/>
        <color theme="1"/>
        <name val="Calibri"/>
        <scheme val="none"/>
      </font>
    </dxf>
  </rfmt>
  <rfmt sheetId="1" sqref="AP655" start="0" length="0">
    <dxf>
      <font>
        <sz val="11"/>
        <color theme="1"/>
        <name val="Calibri"/>
        <scheme val="none"/>
      </font>
    </dxf>
  </rfmt>
  <rfmt sheetId="1" sqref="AQ655" start="0" length="0">
    <dxf>
      <font>
        <sz val="11"/>
        <color theme="1"/>
        <name val="Calibri"/>
        <scheme val="none"/>
      </font>
      <numFmt numFmtId="164" formatCode="_-* #,##0_-;\-* #,##0_-;_-* &quot;-&quot;??_-;_-@_-"/>
    </dxf>
  </rfmt>
  <rfmt sheetId="1" sqref="AR655" start="0" length="0">
    <dxf>
      <font>
        <sz val="11"/>
        <color theme="1"/>
        <name val="Calibri"/>
        <scheme val="none"/>
      </font>
      <numFmt numFmtId="164" formatCode="_-* #,##0_-;\-* #,##0_-;_-* &quot;-&quot;??_-;_-@_-"/>
    </dxf>
  </rfmt>
  <rfmt sheetId="1" sqref="AS655" start="0" length="0">
    <dxf>
      <font>
        <sz val="11"/>
        <color theme="1"/>
        <name val="Calibri"/>
        <scheme val="none"/>
      </font>
      <numFmt numFmtId="164" formatCode="_-* #,##0_-;\-* #,##0_-;_-* &quot;-&quot;??_-;_-@_-"/>
    </dxf>
  </rfmt>
  <rfmt sheetId="1" sqref="AT655" start="0" length="0">
    <dxf>
      <font>
        <sz val="11"/>
        <color theme="1"/>
        <name val="Calibri"/>
        <scheme val="none"/>
      </font>
      <numFmt numFmtId="164" formatCode="_-* #,##0_-;\-* #,##0_-;_-* &quot;-&quot;??_-;_-@_-"/>
    </dxf>
  </rfmt>
  <rfmt sheetId="1" sqref="AU655" start="0" length="0">
    <dxf>
      <font>
        <sz val="11"/>
        <color theme="1"/>
        <name val="Calibri"/>
        <scheme val="none"/>
      </font>
    </dxf>
  </rfmt>
  <rfmt sheetId="1" sqref="AV655" start="0" length="0">
    <dxf>
      <font>
        <sz val="11"/>
        <color theme="1"/>
        <name val="Calibri"/>
        <scheme val="none"/>
      </font>
    </dxf>
  </rfmt>
  <rfmt sheetId="1" sqref="AW655" start="0" length="0">
    <dxf>
      <font>
        <sz val="11"/>
        <color theme="1"/>
        <name val="Calibri"/>
        <scheme val="none"/>
      </font>
    </dxf>
  </rfmt>
  <rfmt sheetId="1" sqref="AX655" start="0" length="0">
    <dxf>
      <font>
        <sz val="11"/>
        <color theme="1"/>
        <name val="Calibri"/>
        <scheme val="none"/>
      </font>
    </dxf>
  </rfmt>
  <rfmt sheetId="1" sqref="AY655" start="0" length="0">
    <dxf>
      <font>
        <sz val="11"/>
        <color theme="1"/>
        <name val="Calibri"/>
        <scheme val="none"/>
      </font>
    </dxf>
  </rfmt>
  <rfmt sheetId="1" sqref="A655:XFD655" start="0" length="0">
    <dxf>
      <font>
        <sz val="11"/>
        <color theme="1"/>
        <name val="Calibri"/>
        <scheme val="none"/>
      </font>
    </dxf>
  </rfmt>
  <rfmt sheetId="1" sqref="A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5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5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5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5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56" start="0" length="0">
    <dxf>
      <font>
        <sz val="11"/>
        <color theme="1"/>
        <name val="Calibri"/>
        <scheme val="none"/>
      </font>
    </dxf>
  </rfmt>
  <rfmt sheetId="1" sqref="AM656" start="0" length="0">
    <dxf>
      <font>
        <sz val="11"/>
        <color theme="1"/>
        <name val="Calibri"/>
        <scheme val="none"/>
      </font>
      <numFmt numFmtId="1" formatCode="0"/>
    </dxf>
  </rfmt>
  <rfmt sheetId="1" sqref="AN656" start="0" length="0">
    <dxf>
      <font>
        <sz val="11"/>
        <color theme="1"/>
        <name val="Calibri"/>
        <scheme val="none"/>
      </font>
      <numFmt numFmtId="1" formatCode="0"/>
    </dxf>
  </rfmt>
  <rfmt sheetId="1" sqref="AO656" start="0" length="0">
    <dxf>
      <font>
        <sz val="11"/>
        <color theme="1"/>
        <name val="Calibri"/>
        <scheme val="none"/>
      </font>
    </dxf>
  </rfmt>
  <rfmt sheetId="1" sqref="AP656" start="0" length="0">
    <dxf>
      <font>
        <sz val="11"/>
        <color theme="1"/>
        <name val="Calibri"/>
        <scheme val="none"/>
      </font>
    </dxf>
  </rfmt>
  <rfmt sheetId="1" sqref="AQ656" start="0" length="0">
    <dxf>
      <font>
        <sz val="11"/>
        <color theme="1"/>
        <name val="Calibri"/>
        <scheme val="none"/>
      </font>
      <numFmt numFmtId="164" formatCode="_-* #,##0_-;\-* #,##0_-;_-* &quot;-&quot;??_-;_-@_-"/>
    </dxf>
  </rfmt>
  <rfmt sheetId="1" sqref="AR656" start="0" length="0">
    <dxf>
      <font>
        <sz val="11"/>
        <color theme="1"/>
        <name val="Calibri"/>
        <scheme val="none"/>
      </font>
      <numFmt numFmtId="164" formatCode="_-* #,##0_-;\-* #,##0_-;_-* &quot;-&quot;??_-;_-@_-"/>
    </dxf>
  </rfmt>
  <rfmt sheetId="1" sqref="AS656" start="0" length="0">
    <dxf>
      <font>
        <sz val="11"/>
        <color theme="1"/>
        <name val="Calibri"/>
        <scheme val="none"/>
      </font>
      <numFmt numFmtId="164" formatCode="_-* #,##0_-;\-* #,##0_-;_-* &quot;-&quot;??_-;_-@_-"/>
    </dxf>
  </rfmt>
  <rfmt sheetId="1" sqref="AT656" start="0" length="0">
    <dxf>
      <font>
        <sz val="11"/>
        <color theme="1"/>
        <name val="Calibri"/>
        <scheme val="none"/>
      </font>
      <numFmt numFmtId="164" formatCode="_-* #,##0_-;\-* #,##0_-;_-* &quot;-&quot;??_-;_-@_-"/>
    </dxf>
  </rfmt>
  <rfmt sheetId="1" sqref="AU656" start="0" length="0">
    <dxf>
      <font>
        <sz val="11"/>
        <color theme="1"/>
        <name val="Calibri"/>
        <scheme val="none"/>
      </font>
    </dxf>
  </rfmt>
  <rfmt sheetId="1" sqref="AV656" start="0" length="0">
    <dxf>
      <font>
        <sz val="11"/>
        <color theme="1"/>
        <name val="Calibri"/>
        <scheme val="none"/>
      </font>
    </dxf>
  </rfmt>
  <rfmt sheetId="1" sqref="AW656" start="0" length="0">
    <dxf>
      <font>
        <sz val="11"/>
        <color theme="1"/>
        <name val="Calibri"/>
        <scheme val="none"/>
      </font>
    </dxf>
  </rfmt>
  <rfmt sheetId="1" sqref="AX656" start="0" length="0">
    <dxf>
      <font>
        <sz val="11"/>
        <color theme="1"/>
        <name val="Calibri"/>
        <scheme val="none"/>
      </font>
    </dxf>
  </rfmt>
  <rfmt sheetId="1" sqref="AY656" start="0" length="0">
    <dxf>
      <font>
        <sz val="11"/>
        <color theme="1"/>
        <name val="Calibri"/>
        <scheme val="none"/>
      </font>
    </dxf>
  </rfmt>
  <rfmt sheetId="1" sqref="A656:XFD656" start="0" length="0">
    <dxf>
      <font>
        <sz val="11"/>
        <color theme="1"/>
        <name val="Calibri"/>
        <scheme val="none"/>
      </font>
    </dxf>
  </rfmt>
  <rfmt sheetId="1" sqref="A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5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5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5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5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57" start="0" length="0">
    <dxf>
      <font>
        <sz val="11"/>
        <color theme="1"/>
        <name val="Calibri"/>
        <scheme val="none"/>
      </font>
    </dxf>
  </rfmt>
  <rfmt sheetId="1" sqref="AM657" start="0" length="0">
    <dxf>
      <font>
        <sz val="11"/>
        <color theme="1"/>
        <name val="Calibri"/>
        <scheme val="none"/>
      </font>
      <numFmt numFmtId="1" formatCode="0"/>
    </dxf>
  </rfmt>
  <rfmt sheetId="1" sqref="AN657" start="0" length="0">
    <dxf>
      <font>
        <sz val="11"/>
        <color theme="1"/>
        <name val="Calibri"/>
        <scheme val="none"/>
      </font>
      <numFmt numFmtId="1" formatCode="0"/>
    </dxf>
  </rfmt>
  <rfmt sheetId="1" sqref="AO657" start="0" length="0">
    <dxf>
      <font>
        <sz val="11"/>
        <color theme="1"/>
        <name val="Calibri"/>
        <scheme val="none"/>
      </font>
    </dxf>
  </rfmt>
  <rfmt sheetId="1" sqref="AP657" start="0" length="0">
    <dxf>
      <font>
        <sz val="11"/>
        <color theme="1"/>
        <name val="Calibri"/>
        <scheme val="none"/>
      </font>
    </dxf>
  </rfmt>
  <rfmt sheetId="1" sqref="AQ657" start="0" length="0">
    <dxf>
      <font>
        <sz val="11"/>
        <color theme="1"/>
        <name val="Calibri"/>
        <scheme val="none"/>
      </font>
      <numFmt numFmtId="164" formatCode="_-* #,##0_-;\-* #,##0_-;_-* &quot;-&quot;??_-;_-@_-"/>
    </dxf>
  </rfmt>
  <rfmt sheetId="1" sqref="AR657" start="0" length="0">
    <dxf>
      <font>
        <sz val="11"/>
        <color theme="1"/>
        <name val="Calibri"/>
        <scheme val="none"/>
      </font>
      <numFmt numFmtId="164" formatCode="_-* #,##0_-;\-* #,##0_-;_-* &quot;-&quot;??_-;_-@_-"/>
    </dxf>
  </rfmt>
  <rfmt sheetId="1" sqref="AS657" start="0" length="0">
    <dxf>
      <font>
        <sz val="11"/>
        <color theme="1"/>
        <name val="Calibri"/>
        <scheme val="none"/>
      </font>
      <numFmt numFmtId="164" formatCode="_-* #,##0_-;\-* #,##0_-;_-* &quot;-&quot;??_-;_-@_-"/>
    </dxf>
  </rfmt>
  <rfmt sheetId="1" sqref="AT657" start="0" length="0">
    <dxf>
      <font>
        <sz val="11"/>
        <color theme="1"/>
        <name val="Calibri"/>
        <scheme val="none"/>
      </font>
      <numFmt numFmtId="164" formatCode="_-* #,##0_-;\-* #,##0_-;_-* &quot;-&quot;??_-;_-@_-"/>
    </dxf>
  </rfmt>
  <rfmt sheetId="1" sqref="AU657" start="0" length="0">
    <dxf>
      <font>
        <sz val="11"/>
        <color theme="1"/>
        <name val="Calibri"/>
        <scheme val="none"/>
      </font>
    </dxf>
  </rfmt>
  <rfmt sheetId="1" sqref="AV657" start="0" length="0">
    <dxf>
      <font>
        <sz val="11"/>
        <color theme="1"/>
        <name val="Calibri"/>
        <scheme val="none"/>
      </font>
    </dxf>
  </rfmt>
  <rfmt sheetId="1" sqref="AW657" start="0" length="0">
    <dxf>
      <font>
        <sz val="11"/>
        <color theme="1"/>
        <name val="Calibri"/>
        <scheme val="none"/>
      </font>
    </dxf>
  </rfmt>
  <rfmt sheetId="1" sqref="AX657" start="0" length="0">
    <dxf>
      <font>
        <sz val="11"/>
        <color theme="1"/>
        <name val="Calibri"/>
        <scheme val="none"/>
      </font>
    </dxf>
  </rfmt>
  <rfmt sheetId="1" sqref="AY657" start="0" length="0">
    <dxf>
      <font>
        <sz val="11"/>
        <color theme="1"/>
        <name val="Calibri"/>
        <scheme val="none"/>
      </font>
    </dxf>
  </rfmt>
  <rfmt sheetId="1" sqref="A657:XFD657" start="0" length="0">
    <dxf>
      <font>
        <sz val="11"/>
        <color theme="1"/>
        <name val="Calibri"/>
        <scheme val="none"/>
      </font>
    </dxf>
  </rfmt>
  <rfmt sheetId="1" sqref="A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5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5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5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5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58" start="0" length="0">
    <dxf>
      <font>
        <sz val="11"/>
        <color theme="1"/>
        <name val="Calibri"/>
        <scheme val="none"/>
      </font>
    </dxf>
  </rfmt>
  <rfmt sheetId="1" sqref="AM658" start="0" length="0">
    <dxf>
      <font>
        <sz val="11"/>
        <color theme="1"/>
        <name val="Calibri"/>
        <scheme val="none"/>
      </font>
      <numFmt numFmtId="1" formatCode="0"/>
    </dxf>
  </rfmt>
  <rfmt sheetId="1" sqref="AN658" start="0" length="0">
    <dxf>
      <font>
        <sz val="11"/>
        <color theme="1"/>
        <name val="Calibri"/>
        <scheme val="none"/>
      </font>
      <numFmt numFmtId="1" formatCode="0"/>
    </dxf>
  </rfmt>
  <rfmt sheetId="1" sqref="AO658" start="0" length="0">
    <dxf>
      <font>
        <sz val="11"/>
        <color theme="1"/>
        <name val="Calibri"/>
        <scheme val="none"/>
      </font>
    </dxf>
  </rfmt>
  <rfmt sheetId="1" sqref="AP658" start="0" length="0">
    <dxf>
      <font>
        <sz val="11"/>
        <color theme="1"/>
        <name val="Calibri"/>
        <scheme val="none"/>
      </font>
    </dxf>
  </rfmt>
  <rfmt sheetId="1" sqref="AQ658" start="0" length="0">
    <dxf>
      <font>
        <sz val="11"/>
        <color theme="1"/>
        <name val="Calibri"/>
        <scheme val="none"/>
      </font>
      <numFmt numFmtId="164" formatCode="_-* #,##0_-;\-* #,##0_-;_-* &quot;-&quot;??_-;_-@_-"/>
    </dxf>
  </rfmt>
  <rfmt sheetId="1" sqref="AR658" start="0" length="0">
    <dxf>
      <font>
        <sz val="11"/>
        <color theme="1"/>
        <name val="Calibri"/>
        <scheme val="none"/>
      </font>
      <numFmt numFmtId="164" formatCode="_-* #,##0_-;\-* #,##0_-;_-* &quot;-&quot;??_-;_-@_-"/>
    </dxf>
  </rfmt>
  <rfmt sheetId="1" sqref="AS658" start="0" length="0">
    <dxf>
      <font>
        <sz val="11"/>
        <color theme="1"/>
        <name val="Calibri"/>
        <scheme val="none"/>
      </font>
      <numFmt numFmtId="164" formatCode="_-* #,##0_-;\-* #,##0_-;_-* &quot;-&quot;??_-;_-@_-"/>
    </dxf>
  </rfmt>
  <rfmt sheetId="1" sqref="AT658" start="0" length="0">
    <dxf>
      <font>
        <sz val="11"/>
        <color theme="1"/>
        <name val="Calibri"/>
        <scheme val="none"/>
      </font>
      <numFmt numFmtId="164" formatCode="_-* #,##0_-;\-* #,##0_-;_-* &quot;-&quot;??_-;_-@_-"/>
    </dxf>
  </rfmt>
  <rfmt sheetId="1" sqref="AU658" start="0" length="0">
    <dxf>
      <font>
        <sz val="11"/>
        <color theme="1"/>
        <name val="Calibri"/>
        <scheme val="none"/>
      </font>
    </dxf>
  </rfmt>
  <rfmt sheetId="1" sqref="AV658" start="0" length="0">
    <dxf>
      <font>
        <sz val="11"/>
        <color theme="1"/>
        <name val="Calibri"/>
        <scheme val="none"/>
      </font>
    </dxf>
  </rfmt>
  <rfmt sheetId="1" sqref="AW658" start="0" length="0">
    <dxf>
      <font>
        <sz val="11"/>
        <color theme="1"/>
        <name val="Calibri"/>
        <scheme val="none"/>
      </font>
    </dxf>
  </rfmt>
  <rfmt sheetId="1" sqref="AX658" start="0" length="0">
    <dxf>
      <font>
        <sz val="11"/>
        <color theme="1"/>
        <name val="Calibri"/>
        <scheme val="none"/>
      </font>
    </dxf>
  </rfmt>
  <rfmt sheetId="1" sqref="AY658" start="0" length="0">
    <dxf>
      <font>
        <sz val="11"/>
        <color theme="1"/>
        <name val="Calibri"/>
        <scheme val="none"/>
      </font>
    </dxf>
  </rfmt>
  <rfmt sheetId="1" sqref="A658:XFD658" start="0" length="0">
    <dxf>
      <font>
        <sz val="11"/>
        <color theme="1"/>
        <name val="Calibri"/>
        <scheme val="none"/>
      </font>
    </dxf>
  </rfmt>
  <rfmt sheetId="1" sqref="A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5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5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5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5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59" start="0" length="0">
    <dxf>
      <font>
        <sz val="11"/>
        <color theme="1"/>
        <name val="Calibri"/>
        <scheme val="none"/>
      </font>
    </dxf>
  </rfmt>
  <rfmt sheetId="1" sqref="AM659" start="0" length="0">
    <dxf>
      <font>
        <sz val="11"/>
        <color theme="1"/>
        <name val="Calibri"/>
        <scheme val="none"/>
      </font>
      <numFmt numFmtId="1" formatCode="0"/>
    </dxf>
  </rfmt>
  <rfmt sheetId="1" sqref="AN659" start="0" length="0">
    <dxf>
      <font>
        <sz val="11"/>
        <color theme="1"/>
        <name val="Calibri"/>
        <scheme val="none"/>
      </font>
      <numFmt numFmtId="1" formatCode="0"/>
    </dxf>
  </rfmt>
  <rfmt sheetId="1" sqref="AO659" start="0" length="0">
    <dxf>
      <font>
        <sz val="11"/>
        <color theme="1"/>
        <name val="Calibri"/>
        <scheme val="none"/>
      </font>
    </dxf>
  </rfmt>
  <rfmt sheetId="1" sqref="AP659" start="0" length="0">
    <dxf>
      <font>
        <sz val="11"/>
        <color theme="1"/>
        <name val="Calibri"/>
        <scheme val="none"/>
      </font>
    </dxf>
  </rfmt>
  <rfmt sheetId="1" sqref="AQ659" start="0" length="0">
    <dxf>
      <font>
        <sz val="11"/>
        <color theme="1"/>
        <name val="Calibri"/>
        <scheme val="none"/>
      </font>
      <numFmt numFmtId="164" formatCode="_-* #,##0_-;\-* #,##0_-;_-* &quot;-&quot;??_-;_-@_-"/>
    </dxf>
  </rfmt>
  <rfmt sheetId="1" sqref="AR659" start="0" length="0">
    <dxf>
      <font>
        <sz val="11"/>
        <color theme="1"/>
        <name val="Calibri"/>
        <scheme val="none"/>
      </font>
      <numFmt numFmtId="164" formatCode="_-* #,##0_-;\-* #,##0_-;_-* &quot;-&quot;??_-;_-@_-"/>
    </dxf>
  </rfmt>
  <rfmt sheetId="1" sqref="AS659" start="0" length="0">
    <dxf>
      <font>
        <sz val="11"/>
        <color theme="1"/>
        <name val="Calibri"/>
        <scheme val="none"/>
      </font>
      <numFmt numFmtId="164" formatCode="_-* #,##0_-;\-* #,##0_-;_-* &quot;-&quot;??_-;_-@_-"/>
    </dxf>
  </rfmt>
  <rfmt sheetId="1" sqref="AT659" start="0" length="0">
    <dxf>
      <font>
        <sz val="11"/>
        <color theme="1"/>
        <name val="Calibri"/>
        <scheme val="none"/>
      </font>
      <numFmt numFmtId="164" formatCode="_-* #,##0_-;\-* #,##0_-;_-* &quot;-&quot;??_-;_-@_-"/>
    </dxf>
  </rfmt>
  <rfmt sheetId="1" sqref="AU659" start="0" length="0">
    <dxf>
      <font>
        <sz val="11"/>
        <color theme="1"/>
        <name val="Calibri"/>
        <scheme val="none"/>
      </font>
    </dxf>
  </rfmt>
  <rfmt sheetId="1" sqref="AV659" start="0" length="0">
    <dxf>
      <font>
        <sz val="11"/>
        <color theme="1"/>
        <name val="Calibri"/>
        <scheme val="none"/>
      </font>
    </dxf>
  </rfmt>
  <rfmt sheetId="1" sqref="AW659" start="0" length="0">
    <dxf>
      <font>
        <sz val="11"/>
        <color theme="1"/>
        <name val="Calibri"/>
        <scheme val="none"/>
      </font>
    </dxf>
  </rfmt>
  <rfmt sheetId="1" sqref="AX659" start="0" length="0">
    <dxf>
      <font>
        <sz val="11"/>
        <color theme="1"/>
        <name val="Calibri"/>
        <scheme val="none"/>
      </font>
    </dxf>
  </rfmt>
  <rfmt sheetId="1" sqref="AY659" start="0" length="0">
    <dxf>
      <font>
        <sz val="11"/>
        <color theme="1"/>
        <name val="Calibri"/>
        <scheme val="none"/>
      </font>
    </dxf>
  </rfmt>
  <rfmt sheetId="1" sqref="A659:XFD659" start="0" length="0">
    <dxf>
      <font>
        <sz val="11"/>
        <color theme="1"/>
        <name val="Calibri"/>
        <scheme val="none"/>
      </font>
    </dxf>
  </rfmt>
  <rfmt sheetId="1" sqref="A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6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6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6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6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60" start="0" length="0">
    <dxf>
      <font>
        <sz val="11"/>
        <color theme="1"/>
        <name val="Calibri"/>
        <scheme val="none"/>
      </font>
    </dxf>
  </rfmt>
  <rfmt sheetId="1" sqref="AM660" start="0" length="0">
    <dxf>
      <font>
        <sz val="11"/>
        <color theme="1"/>
        <name val="Calibri"/>
        <scheme val="none"/>
      </font>
      <numFmt numFmtId="1" formatCode="0"/>
    </dxf>
  </rfmt>
  <rfmt sheetId="1" sqref="AN660" start="0" length="0">
    <dxf>
      <font>
        <sz val="11"/>
        <color theme="1"/>
        <name val="Calibri"/>
        <scheme val="none"/>
      </font>
      <numFmt numFmtId="1" formatCode="0"/>
    </dxf>
  </rfmt>
  <rfmt sheetId="1" sqref="AO660" start="0" length="0">
    <dxf>
      <font>
        <sz val="11"/>
        <color theme="1"/>
        <name val="Calibri"/>
        <scheme val="none"/>
      </font>
    </dxf>
  </rfmt>
  <rfmt sheetId="1" sqref="AP660" start="0" length="0">
    <dxf>
      <font>
        <sz val="11"/>
        <color theme="1"/>
        <name val="Calibri"/>
        <scheme val="none"/>
      </font>
    </dxf>
  </rfmt>
  <rfmt sheetId="1" sqref="AQ660" start="0" length="0">
    <dxf>
      <font>
        <sz val="11"/>
        <color theme="1"/>
        <name val="Calibri"/>
        <scheme val="none"/>
      </font>
      <numFmt numFmtId="164" formatCode="_-* #,##0_-;\-* #,##0_-;_-* &quot;-&quot;??_-;_-@_-"/>
    </dxf>
  </rfmt>
  <rfmt sheetId="1" sqref="AR660" start="0" length="0">
    <dxf>
      <font>
        <sz val="11"/>
        <color theme="1"/>
        <name val="Calibri"/>
        <scheme val="none"/>
      </font>
      <numFmt numFmtId="164" formatCode="_-* #,##0_-;\-* #,##0_-;_-* &quot;-&quot;??_-;_-@_-"/>
    </dxf>
  </rfmt>
  <rfmt sheetId="1" sqref="AS660" start="0" length="0">
    <dxf>
      <font>
        <sz val="11"/>
        <color theme="1"/>
        <name val="Calibri"/>
        <scheme val="none"/>
      </font>
      <numFmt numFmtId="164" formatCode="_-* #,##0_-;\-* #,##0_-;_-* &quot;-&quot;??_-;_-@_-"/>
    </dxf>
  </rfmt>
  <rfmt sheetId="1" sqref="AT660" start="0" length="0">
    <dxf>
      <font>
        <sz val="11"/>
        <color theme="1"/>
        <name val="Calibri"/>
        <scheme val="none"/>
      </font>
      <numFmt numFmtId="164" formatCode="_-* #,##0_-;\-* #,##0_-;_-* &quot;-&quot;??_-;_-@_-"/>
    </dxf>
  </rfmt>
  <rfmt sheetId="1" sqref="AU660" start="0" length="0">
    <dxf>
      <font>
        <sz val="11"/>
        <color theme="1"/>
        <name val="Calibri"/>
        <scheme val="none"/>
      </font>
    </dxf>
  </rfmt>
  <rfmt sheetId="1" sqref="AV660" start="0" length="0">
    <dxf>
      <font>
        <sz val="11"/>
        <color theme="1"/>
        <name val="Calibri"/>
        <scheme val="none"/>
      </font>
    </dxf>
  </rfmt>
  <rfmt sheetId="1" sqref="AW660" start="0" length="0">
    <dxf>
      <font>
        <sz val="11"/>
        <color theme="1"/>
        <name val="Calibri"/>
        <scheme val="none"/>
      </font>
    </dxf>
  </rfmt>
  <rfmt sheetId="1" sqref="AX660" start="0" length="0">
    <dxf>
      <font>
        <sz val="11"/>
        <color theme="1"/>
        <name val="Calibri"/>
        <scheme val="none"/>
      </font>
    </dxf>
  </rfmt>
  <rfmt sheetId="1" sqref="AY660" start="0" length="0">
    <dxf>
      <font>
        <sz val="11"/>
        <color theme="1"/>
        <name val="Calibri"/>
        <scheme val="none"/>
      </font>
    </dxf>
  </rfmt>
  <rfmt sheetId="1" sqref="A660:XFD660" start="0" length="0">
    <dxf>
      <font>
        <sz val="11"/>
        <color theme="1"/>
        <name val="Calibri"/>
        <scheme val="none"/>
      </font>
    </dxf>
  </rfmt>
  <rfmt sheetId="1" sqref="A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6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6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6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6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61" start="0" length="0">
    <dxf>
      <font>
        <sz val="11"/>
        <color theme="1"/>
        <name val="Calibri"/>
        <scheme val="none"/>
      </font>
    </dxf>
  </rfmt>
  <rfmt sheetId="1" sqref="AM661" start="0" length="0">
    <dxf>
      <font>
        <sz val="11"/>
        <color theme="1"/>
        <name val="Calibri"/>
        <scheme val="none"/>
      </font>
      <numFmt numFmtId="1" formatCode="0"/>
    </dxf>
  </rfmt>
  <rfmt sheetId="1" sqref="AN661" start="0" length="0">
    <dxf>
      <font>
        <sz val="11"/>
        <color theme="1"/>
        <name val="Calibri"/>
        <scheme val="none"/>
      </font>
      <numFmt numFmtId="1" formatCode="0"/>
    </dxf>
  </rfmt>
  <rfmt sheetId="1" sqref="AO661" start="0" length="0">
    <dxf>
      <font>
        <sz val="11"/>
        <color theme="1"/>
        <name val="Calibri"/>
        <scheme val="none"/>
      </font>
    </dxf>
  </rfmt>
  <rfmt sheetId="1" sqref="AP661" start="0" length="0">
    <dxf>
      <font>
        <sz val="11"/>
        <color theme="1"/>
        <name val="Calibri"/>
        <scheme val="none"/>
      </font>
    </dxf>
  </rfmt>
  <rfmt sheetId="1" sqref="AQ661" start="0" length="0">
    <dxf>
      <font>
        <sz val="11"/>
        <color theme="1"/>
        <name val="Calibri"/>
        <scheme val="none"/>
      </font>
      <numFmt numFmtId="164" formatCode="_-* #,##0_-;\-* #,##0_-;_-* &quot;-&quot;??_-;_-@_-"/>
    </dxf>
  </rfmt>
  <rfmt sheetId="1" sqref="AR661" start="0" length="0">
    <dxf>
      <font>
        <sz val="11"/>
        <color theme="1"/>
        <name val="Calibri"/>
        <scheme val="none"/>
      </font>
      <numFmt numFmtId="164" formatCode="_-* #,##0_-;\-* #,##0_-;_-* &quot;-&quot;??_-;_-@_-"/>
    </dxf>
  </rfmt>
  <rfmt sheetId="1" sqref="AS661" start="0" length="0">
    <dxf>
      <font>
        <sz val="11"/>
        <color theme="1"/>
        <name val="Calibri"/>
        <scheme val="none"/>
      </font>
      <numFmt numFmtId="164" formatCode="_-* #,##0_-;\-* #,##0_-;_-* &quot;-&quot;??_-;_-@_-"/>
    </dxf>
  </rfmt>
  <rfmt sheetId="1" sqref="AT661" start="0" length="0">
    <dxf>
      <font>
        <sz val="11"/>
        <color theme="1"/>
        <name val="Calibri"/>
        <scheme val="none"/>
      </font>
      <numFmt numFmtId="164" formatCode="_-* #,##0_-;\-* #,##0_-;_-* &quot;-&quot;??_-;_-@_-"/>
    </dxf>
  </rfmt>
  <rfmt sheetId="1" sqref="AU661" start="0" length="0">
    <dxf>
      <font>
        <sz val="11"/>
        <color theme="1"/>
        <name val="Calibri"/>
        <scheme val="none"/>
      </font>
    </dxf>
  </rfmt>
  <rfmt sheetId="1" sqref="AV661" start="0" length="0">
    <dxf>
      <font>
        <sz val="11"/>
        <color theme="1"/>
        <name val="Calibri"/>
        <scheme val="none"/>
      </font>
    </dxf>
  </rfmt>
  <rfmt sheetId="1" sqref="AW661" start="0" length="0">
    <dxf>
      <font>
        <sz val="11"/>
        <color theme="1"/>
        <name val="Calibri"/>
        <scheme val="none"/>
      </font>
    </dxf>
  </rfmt>
  <rfmt sheetId="1" sqref="AX661" start="0" length="0">
    <dxf>
      <font>
        <sz val="11"/>
        <color theme="1"/>
        <name val="Calibri"/>
        <scheme val="none"/>
      </font>
    </dxf>
  </rfmt>
  <rfmt sheetId="1" sqref="AY661" start="0" length="0">
    <dxf>
      <font>
        <sz val="11"/>
        <color theme="1"/>
        <name val="Calibri"/>
        <scheme val="none"/>
      </font>
    </dxf>
  </rfmt>
  <rfmt sheetId="1" sqref="A661:XFD661" start="0" length="0">
    <dxf>
      <font>
        <sz val="11"/>
        <color theme="1"/>
        <name val="Calibri"/>
        <scheme val="none"/>
      </font>
    </dxf>
  </rfmt>
  <rfmt sheetId="1" sqref="A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6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6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6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6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62" start="0" length="0">
    <dxf>
      <font>
        <sz val="11"/>
        <color theme="1"/>
        <name val="Calibri"/>
        <scheme val="none"/>
      </font>
    </dxf>
  </rfmt>
  <rfmt sheetId="1" sqref="AM662" start="0" length="0">
    <dxf>
      <font>
        <sz val="11"/>
        <color theme="1"/>
        <name val="Calibri"/>
        <scheme val="none"/>
      </font>
      <numFmt numFmtId="1" formatCode="0"/>
    </dxf>
  </rfmt>
  <rfmt sheetId="1" sqref="AN662" start="0" length="0">
    <dxf>
      <font>
        <sz val="11"/>
        <color theme="1"/>
        <name val="Calibri"/>
        <scheme val="none"/>
      </font>
      <numFmt numFmtId="1" formatCode="0"/>
    </dxf>
  </rfmt>
  <rfmt sheetId="1" sqref="AO662" start="0" length="0">
    <dxf>
      <font>
        <sz val="11"/>
        <color theme="1"/>
        <name val="Calibri"/>
        <scheme val="none"/>
      </font>
    </dxf>
  </rfmt>
  <rfmt sheetId="1" sqref="AP662" start="0" length="0">
    <dxf>
      <font>
        <sz val="11"/>
        <color theme="1"/>
        <name val="Calibri"/>
        <scheme val="none"/>
      </font>
    </dxf>
  </rfmt>
  <rfmt sheetId="1" sqref="AQ662" start="0" length="0">
    <dxf>
      <font>
        <sz val="11"/>
        <color theme="1"/>
        <name val="Calibri"/>
        <scheme val="none"/>
      </font>
      <numFmt numFmtId="164" formatCode="_-* #,##0_-;\-* #,##0_-;_-* &quot;-&quot;??_-;_-@_-"/>
    </dxf>
  </rfmt>
  <rfmt sheetId="1" sqref="AR662" start="0" length="0">
    <dxf>
      <font>
        <sz val="11"/>
        <color theme="1"/>
        <name val="Calibri"/>
        <scheme val="none"/>
      </font>
      <numFmt numFmtId="164" formatCode="_-* #,##0_-;\-* #,##0_-;_-* &quot;-&quot;??_-;_-@_-"/>
    </dxf>
  </rfmt>
  <rfmt sheetId="1" sqref="AS662" start="0" length="0">
    <dxf>
      <font>
        <sz val="11"/>
        <color theme="1"/>
        <name val="Calibri"/>
        <scheme val="none"/>
      </font>
      <numFmt numFmtId="164" formatCode="_-* #,##0_-;\-* #,##0_-;_-* &quot;-&quot;??_-;_-@_-"/>
    </dxf>
  </rfmt>
  <rfmt sheetId="1" sqref="AT662" start="0" length="0">
    <dxf>
      <font>
        <sz val="11"/>
        <color theme="1"/>
        <name val="Calibri"/>
        <scheme val="none"/>
      </font>
      <numFmt numFmtId="164" formatCode="_-* #,##0_-;\-* #,##0_-;_-* &quot;-&quot;??_-;_-@_-"/>
    </dxf>
  </rfmt>
  <rfmt sheetId="1" sqref="AU662" start="0" length="0">
    <dxf>
      <font>
        <sz val="11"/>
        <color theme="1"/>
        <name val="Calibri"/>
        <scheme val="none"/>
      </font>
    </dxf>
  </rfmt>
  <rfmt sheetId="1" sqref="AV662" start="0" length="0">
    <dxf>
      <font>
        <sz val="11"/>
        <color theme="1"/>
        <name val="Calibri"/>
        <scheme val="none"/>
      </font>
    </dxf>
  </rfmt>
  <rfmt sheetId="1" sqref="AW662" start="0" length="0">
    <dxf>
      <font>
        <sz val="11"/>
        <color theme="1"/>
        <name val="Calibri"/>
        <scheme val="none"/>
      </font>
    </dxf>
  </rfmt>
  <rfmt sheetId="1" sqref="AX662" start="0" length="0">
    <dxf>
      <font>
        <sz val="11"/>
        <color theme="1"/>
        <name val="Calibri"/>
        <scheme val="none"/>
      </font>
    </dxf>
  </rfmt>
  <rfmt sheetId="1" sqref="AY662" start="0" length="0">
    <dxf>
      <font>
        <sz val="11"/>
        <color theme="1"/>
        <name val="Calibri"/>
        <scheme val="none"/>
      </font>
    </dxf>
  </rfmt>
  <rfmt sheetId="1" sqref="A662:XFD662" start="0" length="0">
    <dxf>
      <font>
        <sz val="11"/>
        <color theme="1"/>
        <name val="Calibri"/>
        <scheme val="none"/>
      </font>
    </dxf>
  </rfmt>
  <rfmt sheetId="1" sqref="A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6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6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6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6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63" start="0" length="0">
    <dxf>
      <font>
        <sz val="11"/>
        <color theme="1"/>
        <name val="Calibri"/>
        <scheme val="none"/>
      </font>
    </dxf>
  </rfmt>
  <rfmt sheetId="1" sqref="AM663" start="0" length="0">
    <dxf>
      <font>
        <sz val="11"/>
        <color theme="1"/>
        <name val="Calibri"/>
        <scheme val="none"/>
      </font>
      <numFmt numFmtId="1" formatCode="0"/>
    </dxf>
  </rfmt>
  <rfmt sheetId="1" sqref="AN663" start="0" length="0">
    <dxf>
      <font>
        <sz val="11"/>
        <color theme="1"/>
        <name val="Calibri"/>
        <scheme val="none"/>
      </font>
      <numFmt numFmtId="1" formatCode="0"/>
    </dxf>
  </rfmt>
  <rfmt sheetId="1" sqref="AO663" start="0" length="0">
    <dxf>
      <font>
        <sz val="11"/>
        <color theme="1"/>
        <name val="Calibri"/>
        <scheme val="none"/>
      </font>
    </dxf>
  </rfmt>
  <rfmt sheetId="1" sqref="AP663" start="0" length="0">
    <dxf>
      <font>
        <sz val="11"/>
        <color theme="1"/>
        <name val="Calibri"/>
        <scheme val="none"/>
      </font>
    </dxf>
  </rfmt>
  <rfmt sheetId="1" sqref="AQ663" start="0" length="0">
    <dxf>
      <font>
        <sz val="11"/>
        <color theme="1"/>
        <name val="Calibri"/>
        <scheme val="none"/>
      </font>
      <numFmt numFmtId="164" formatCode="_-* #,##0_-;\-* #,##0_-;_-* &quot;-&quot;??_-;_-@_-"/>
    </dxf>
  </rfmt>
  <rfmt sheetId="1" sqref="AR663" start="0" length="0">
    <dxf>
      <font>
        <sz val="11"/>
        <color theme="1"/>
        <name val="Calibri"/>
        <scheme val="none"/>
      </font>
      <numFmt numFmtId="164" formatCode="_-* #,##0_-;\-* #,##0_-;_-* &quot;-&quot;??_-;_-@_-"/>
    </dxf>
  </rfmt>
  <rfmt sheetId="1" sqref="AS663" start="0" length="0">
    <dxf>
      <font>
        <sz val="11"/>
        <color theme="1"/>
        <name val="Calibri"/>
        <scheme val="none"/>
      </font>
      <numFmt numFmtId="164" formatCode="_-* #,##0_-;\-* #,##0_-;_-* &quot;-&quot;??_-;_-@_-"/>
    </dxf>
  </rfmt>
  <rfmt sheetId="1" sqref="AT663" start="0" length="0">
    <dxf>
      <font>
        <sz val="11"/>
        <color theme="1"/>
        <name val="Calibri"/>
        <scheme val="none"/>
      </font>
      <numFmt numFmtId="164" formatCode="_-* #,##0_-;\-* #,##0_-;_-* &quot;-&quot;??_-;_-@_-"/>
    </dxf>
  </rfmt>
  <rfmt sheetId="1" sqref="AU663" start="0" length="0">
    <dxf>
      <font>
        <sz val="11"/>
        <color theme="1"/>
        <name val="Calibri"/>
        <scheme val="none"/>
      </font>
    </dxf>
  </rfmt>
  <rfmt sheetId="1" sqref="AV663" start="0" length="0">
    <dxf>
      <font>
        <sz val="11"/>
        <color theme="1"/>
        <name val="Calibri"/>
        <scheme val="none"/>
      </font>
    </dxf>
  </rfmt>
  <rfmt sheetId="1" sqref="AW663" start="0" length="0">
    <dxf>
      <font>
        <sz val="11"/>
        <color theme="1"/>
        <name val="Calibri"/>
        <scheme val="none"/>
      </font>
    </dxf>
  </rfmt>
  <rfmt sheetId="1" sqref="AX663" start="0" length="0">
    <dxf>
      <font>
        <sz val="11"/>
        <color theme="1"/>
        <name val="Calibri"/>
        <scheme val="none"/>
      </font>
    </dxf>
  </rfmt>
  <rfmt sheetId="1" sqref="AY663" start="0" length="0">
    <dxf>
      <font>
        <sz val="11"/>
        <color theme="1"/>
        <name val="Calibri"/>
        <scheme val="none"/>
      </font>
    </dxf>
  </rfmt>
  <rfmt sheetId="1" sqref="A663:XFD663" start="0" length="0">
    <dxf>
      <font>
        <sz val="11"/>
        <color theme="1"/>
        <name val="Calibri"/>
        <scheme val="none"/>
      </font>
    </dxf>
  </rfmt>
  <rfmt sheetId="1" sqref="A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6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6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6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6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64" start="0" length="0">
    <dxf>
      <font>
        <sz val="11"/>
        <color theme="1"/>
        <name val="Calibri"/>
        <scheme val="none"/>
      </font>
    </dxf>
  </rfmt>
  <rfmt sheetId="1" sqref="AM664" start="0" length="0">
    <dxf>
      <font>
        <sz val="11"/>
        <color theme="1"/>
        <name val="Calibri"/>
        <scheme val="none"/>
      </font>
      <numFmt numFmtId="1" formatCode="0"/>
    </dxf>
  </rfmt>
  <rfmt sheetId="1" sqref="AN664" start="0" length="0">
    <dxf>
      <font>
        <sz val="11"/>
        <color theme="1"/>
        <name val="Calibri"/>
        <scheme val="none"/>
      </font>
      <numFmt numFmtId="1" formatCode="0"/>
    </dxf>
  </rfmt>
  <rfmt sheetId="1" sqref="AO664" start="0" length="0">
    <dxf>
      <font>
        <sz val="11"/>
        <color theme="1"/>
        <name val="Calibri"/>
        <scheme val="none"/>
      </font>
    </dxf>
  </rfmt>
  <rfmt sheetId="1" sqref="AP664" start="0" length="0">
    <dxf>
      <font>
        <sz val="11"/>
        <color theme="1"/>
        <name val="Calibri"/>
        <scheme val="none"/>
      </font>
    </dxf>
  </rfmt>
  <rfmt sheetId="1" sqref="AQ664" start="0" length="0">
    <dxf>
      <font>
        <sz val="11"/>
        <color theme="1"/>
        <name val="Calibri"/>
        <scheme val="none"/>
      </font>
      <numFmt numFmtId="164" formatCode="_-* #,##0_-;\-* #,##0_-;_-* &quot;-&quot;??_-;_-@_-"/>
    </dxf>
  </rfmt>
  <rfmt sheetId="1" sqref="AR664" start="0" length="0">
    <dxf>
      <font>
        <sz val="11"/>
        <color theme="1"/>
        <name val="Calibri"/>
        <scheme val="none"/>
      </font>
      <numFmt numFmtId="164" formatCode="_-* #,##0_-;\-* #,##0_-;_-* &quot;-&quot;??_-;_-@_-"/>
    </dxf>
  </rfmt>
  <rfmt sheetId="1" sqref="AS664" start="0" length="0">
    <dxf>
      <font>
        <sz val="11"/>
        <color theme="1"/>
        <name val="Calibri"/>
        <scheme val="none"/>
      </font>
      <numFmt numFmtId="164" formatCode="_-* #,##0_-;\-* #,##0_-;_-* &quot;-&quot;??_-;_-@_-"/>
    </dxf>
  </rfmt>
  <rfmt sheetId="1" sqref="AT664" start="0" length="0">
    <dxf>
      <font>
        <sz val="11"/>
        <color theme="1"/>
        <name val="Calibri"/>
        <scheme val="none"/>
      </font>
      <numFmt numFmtId="164" formatCode="_-* #,##0_-;\-* #,##0_-;_-* &quot;-&quot;??_-;_-@_-"/>
    </dxf>
  </rfmt>
  <rfmt sheetId="1" sqref="AU664" start="0" length="0">
    <dxf>
      <font>
        <sz val="11"/>
        <color theme="1"/>
        <name val="Calibri"/>
        <scheme val="none"/>
      </font>
    </dxf>
  </rfmt>
  <rfmt sheetId="1" sqref="AV664" start="0" length="0">
    <dxf>
      <font>
        <sz val="11"/>
        <color theme="1"/>
        <name val="Calibri"/>
        <scheme val="none"/>
      </font>
    </dxf>
  </rfmt>
  <rfmt sheetId="1" sqref="AW664" start="0" length="0">
    <dxf>
      <font>
        <sz val="11"/>
        <color theme="1"/>
        <name val="Calibri"/>
        <scheme val="none"/>
      </font>
    </dxf>
  </rfmt>
  <rfmt sheetId="1" sqref="AX664" start="0" length="0">
    <dxf>
      <font>
        <sz val="11"/>
        <color theme="1"/>
        <name val="Calibri"/>
        <scheme val="none"/>
      </font>
    </dxf>
  </rfmt>
  <rfmt sheetId="1" sqref="AY664" start="0" length="0">
    <dxf>
      <font>
        <sz val="11"/>
        <color theme="1"/>
        <name val="Calibri"/>
        <scheme val="none"/>
      </font>
    </dxf>
  </rfmt>
  <rfmt sheetId="1" sqref="A664:XFD664" start="0" length="0">
    <dxf>
      <font>
        <sz val="11"/>
        <color theme="1"/>
        <name val="Calibri"/>
        <scheme val="none"/>
      </font>
    </dxf>
  </rfmt>
  <rfmt sheetId="1" sqref="A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65"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6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65"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65"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65" start="0" length="0">
    <dxf>
      <font>
        <sz val="11"/>
        <color theme="1"/>
        <name val="Calibri"/>
        <scheme val="none"/>
      </font>
    </dxf>
  </rfmt>
  <rfmt sheetId="1" sqref="AM665" start="0" length="0">
    <dxf>
      <font>
        <sz val="11"/>
        <color theme="1"/>
        <name val="Calibri"/>
        <scheme val="none"/>
      </font>
      <numFmt numFmtId="1" formatCode="0"/>
    </dxf>
  </rfmt>
  <rfmt sheetId="1" sqref="AN665" start="0" length="0">
    <dxf>
      <font>
        <sz val="11"/>
        <color theme="1"/>
        <name val="Calibri"/>
        <scheme val="none"/>
      </font>
      <numFmt numFmtId="1" formatCode="0"/>
    </dxf>
  </rfmt>
  <rfmt sheetId="1" sqref="AO665" start="0" length="0">
    <dxf>
      <font>
        <sz val="11"/>
        <color theme="1"/>
        <name val="Calibri"/>
        <scheme val="none"/>
      </font>
    </dxf>
  </rfmt>
  <rfmt sheetId="1" sqref="AP665" start="0" length="0">
    <dxf>
      <font>
        <sz val="11"/>
        <color theme="1"/>
        <name val="Calibri"/>
        <scheme val="none"/>
      </font>
    </dxf>
  </rfmt>
  <rfmt sheetId="1" sqref="AQ665" start="0" length="0">
    <dxf>
      <font>
        <sz val="11"/>
        <color theme="1"/>
        <name val="Calibri"/>
        <scheme val="none"/>
      </font>
      <numFmt numFmtId="164" formatCode="_-* #,##0_-;\-* #,##0_-;_-* &quot;-&quot;??_-;_-@_-"/>
    </dxf>
  </rfmt>
  <rfmt sheetId="1" sqref="AR665" start="0" length="0">
    <dxf>
      <font>
        <sz val="11"/>
        <color theme="1"/>
        <name val="Calibri"/>
        <scheme val="none"/>
      </font>
      <numFmt numFmtId="164" formatCode="_-* #,##0_-;\-* #,##0_-;_-* &quot;-&quot;??_-;_-@_-"/>
    </dxf>
  </rfmt>
  <rfmt sheetId="1" sqref="AS665" start="0" length="0">
    <dxf>
      <font>
        <sz val="11"/>
        <color theme="1"/>
        <name val="Calibri"/>
        <scheme val="none"/>
      </font>
      <numFmt numFmtId="164" formatCode="_-* #,##0_-;\-* #,##0_-;_-* &quot;-&quot;??_-;_-@_-"/>
    </dxf>
  </rfmt>
  <rfmt sheetId="1" sqref="AT665" start="0" length="0">
    <dxf>
      <font>
        <sz val="11"/>
        <color theme="1"/>
        <name val="Calibri"/>
        <scheme val="none"/>
      </font>
      <numFmt numFmtId="164" formatCode="_-* #,##0_-;\-* #,##0_-;_-* &quot;-&quot;??_-;_-@_-"/>
    </dxf>
  </rfmt>
  <rfmt sheetId="1" sqref="AU665" start="0" length="0">
    <dxf>
      <font>
        <sz val="11"/>
        <color theme="1"/>
        <name val="Calibri"/>
        <scheme val="none"/>
      </font>
    </dxf>
  </rfmt>
  <rfmt sheetId="1" sqref="AV665" start="0" length="0">
    <dxf>
      <font>
        <sz val="11"/>
        <color theme="1"/>
        <name val="Calibri"/>
        <scheme val="none"/>
      </font>
    </dxf>
  </rfmt>
  <rfmt sheetId="1" sqref="AW665" start="0" length="0">
    <dxf>
      <font>
        <sz val="11"/>
        <color theme="1"/>
        <name val="Calibri"/>
        <scheme val="none"/>
      </font>
    </dxf>
  </rfmt>
  <rfmt sheetId="1" sqref="AX665" start="0" length="0">
    <dxf>
      <font>
        <sz val="11"/>
        <color theme="1"/>
        <name val="Calibri"/>
        <scheme val="none"/>
      </font>
    </dxf>
  </rfmt>
  <rfmt sheetId="1" sqref="AY665" start="0" length="0">
    <dxf>
      <font>
        <sz val="11"/>
        <color theme="1"/>
        <name val="Calibri"/>
        <scheme val="none"/>
      </font>
    </dxf>
  </rfmt>
  <rfmt sheetId="1" sqref="A665:XFD665" start="0" length="0">
    <dxf>
      <font>
        <sz val="11"/>
        <color theme="1"/>
        <name val="Calibri"/>
        <scheme val="none"/>
      </font>
    </dxf>
  </rfmt>
  <rfmt sheetId="1" sqref="A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66"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6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66"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66"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66" start="0" length="0">
    <dxf>
      <font>
        <sz val="11"/>
        <color theme="1"/>
        <name val="Calibri"/>
        <scheme val="none"/>
      </font>
    </dxf>
  </rfmt>
  <rfmt sheetId="1" sqref="AM666" start="0" length="0">
    <dxf>
      <font>
        <sz val="11"/>
        <color theme="1"/>
        <name val="Calibri"/>
        <scheme val="none"/>
      </font>
      <numFmt numFmtId="1" formatCode="0"/>
    </dxf>
  </rfmt>
  <rfmt sheetId="1" sqref="AN666" start="0" length="0">
    <dxf>
      <font>
        <sz val="11"/>
        <color theme="1"/>
        <name val="Calibri"/>
        <scheme val="none"/>
      </font>
      <numFmt numFmtId="1" formatCode="0"/>
    </dxf>
  </rfmt>
  <rfmt sheetId="1" sqref="AO666" start="0" length="0">
    <dxf>
      <font>
        <sz val="11"/>
        <color theme="1"/>
        <name val="Calibri"/>
        <scheme val="none"/>
      </font>
    </dxf>
  </rfmt>
  <rfmt sheetId="1" sqref="AP666" start="0" length="0">
    <dxf>
      <font>
        <sz val="11"/>
        <color theme="1"/>
        <name val="Calibri"/>
        <scheme val="none"/>
      </font>
    </dxf>
  </rfmt>
  <rfmt sheetId="1" sqref="AQ666" start="0" length="0">
    <dxf>
      <font>
        <sz val="11"/>
        <color theme="1"/>
        <name val="Calibri"/>
        <scheme val="none"/>
      </font>
      <numFmt numFmtId="164" formatCode="_-* #,##0_-;\-* #,##0_-;_-* &quot;-&quot;??_-;_-@_-"/>
    </dxf>
  </rfmt>
  <rfmt sheetId="1" sqref="AR666" start="0" length="0">
    <dxf>
      <font>
        <sz val="11"/>
        <color theme="1"/>
        <name val="Calibri"/>
        <scheme val="none"/>
      </font>
      <numFmt numFmtId="164" formatCode="_-* #,##0_-;\-* #,##0_-;_-* &quot;-&quot;??_-;_-@_-"/>
    </dxf>
  </rfmt>
  <rfmt sheetId="1" sqref="AS666" start="0" length="0">
    <dxf>
      <font>
        <sz val="11"/>
        <color theme="1"/>
        <name val="Calibri"/>
        <scheme val="none"/>
      </font>
      <numFmt numFmtId="164" formatCode="_-* #,##0_-;\-* #,##0_-;_-* &quot;-&quot;??_-;_-@_-"/>
    </dxf>
  </rfmt>
  <rfmt sheetId="1" sqref="AT666" start="0" length="0">
    <dxf>
      <font>
        <sz val="11"/>
        <color theme="1"/>
        <name val="Calibri"/>
        <scheme val="none"/>
      </font>
      <numFmt numFmtId="164" formatCode="_-* #,##0_-;\-* #,##0_-;_-* &quot;-&quot;??_-;_-@_-"/>
    </dxf>
  </rfmt>
  <rfmt sheetId="1" sqref="AU666" start="0" length="0">
    <dxf>
      <font>
        <sz val="11"/>
        <color theme="1"/>
        <name val="Calibri"/>
        <scheme val="none"/>
      </font>
    </dxf>
  </rfmt>
  <rfmt sheetId="1" sqref="AV666" start="0" length="0">
    <dxf>
      <font>
        <sz val="11"/>
        <color theme="1"/>
        <name val="Calibri"/>
        <scheme val="none"/>
      </font>
    </dxf>
  </rfmt>
  <rfmt sheetId="1" sqref="AW666" start="0" length="0">
    <dxf>
      <font>
        <sz val="11"/>
        <color theme="1"/>
        <name val="Calibri"/>
        <scheme val="none"/>
      </font>
    </dxf>
  </rfmt>
  <rfmt sheetId="1" sqref="AX666" start="0" length="0">
    <dxf>
      <font>
        <sz val="11"/>
        <color theme="1"/>
        <name val="Calibri"/>
        <scheme val="none"/>
      </font>
    </dxf>
  </rfmt>
  <rfmt sheetId="1" sqref="AY666" start="0" length="0">
    <dxf>
      <font>
        <sz val="11"/>
        <color theme="1"/>
        <name val="Calibri"/>
        <scheme val="none"/>
      </font>
    </dxf>
  </rfmt>
  <rfmt sheetId="1" sqref="A666:XFD666" start="0" length="0">
    <dxf>
      <font>
        <sz val="11"/>
        <color theme="1"/>
        <name val="Calibri"/>
        <scheme val="none"/>
      </font>
    </dxf>
  </rfmt>
  <rfmt sheetId="1" sqref="A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67"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6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67"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67"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67" start="0" length="0">
    <dxf>
      <font>
        <sz val="11"/>
        <color theme="1"/>
        <name val="Calibri"/>
        <scheme val="none"/>
      </font>
    </dxf>
  </rfmt>
  <rfmt sheetId="1" sqref="AM667" start="0" length="0">
    <dxf>
      <font>
        <sz val="11"/>
        <color theme="1"/>
        <name val="Calibri"/>
        <scheme val="none"/>
      </font>
      <numFmt numFmtId="1" formatCode="0"/>
    </dxf>
  </rfmt>
  <rfmt sheetId="1" sqref="AN667" start="0" length="0">
    <dxf>
      <font>
        <sz val="11"/>
        <color theme="1"/>
        <name val="Calibri"/>
        <scheme val="none"/>
      </font>
      <numFmt numFmtId="1" formatCode="0"/>
    </dxf>
  </rfmt>
  <rfmt sheetId="1" sqref="AO667" start="0" length="0">
    <dxf>
      <font>
        <sz val="11"/>
        <color theme="1"/>
        <name val="Calibri"/>
        <scheme val="none"/>
      </font>
    </dxf>
  </rfmt>
  <rfmt sheetId="1" sqref="AP667" start="0" length="0">
    <dxf>
      <font>
        <sz val="11"/>
        <color theme="1"/>
        <name val="Calibri"/>
        <scheme val="none"/>
      </font>
    </dxf>
  </rfmt>
  <rfmt sheetId="1" sqref="AQ667" start="0" length="0">
    <dxf>
      <font>
        <sz val="11"/>
        <color theme="1"/>
        <name val="Calibri"/>
        <scheme val="none"/>
      </font>
      <numFmt numFmtId="164" formatCode="_-* #,##0_-;\-* #,##0_-;_-* &quot;-&quot;??_-;_-@_-"/>
    </dxf>
  </rfmt>
  <rfmt sheetId="1" sqref="AR667" start="0" length="0">
    <dxf>
      <font>
        <sz val="11"/>
        <color theme="1"/>
        <name val="Calibri"/>
        <scheme val="none"/>
      </font>
      <numFmt numFmtId="164" formatCode="_-* #,##0_-;\-* #,##0_-;_-* &quot;-&quot;??_-;_-@_-"/>
    </dxf>
  </rfmt>
  <rfmt sheetId="1" sqref="AS667" start="0" length="0">
    <dxf>
      <font>
        <sz val="11"/>
        <color theme="1"/>
        <name val="Calibri"/>
        <scheme val="none"/>
      </font>
      <numFmt numFmtId="164" formatCode="_-* #,##0_-;\-* #,##0_-;_-* &quot;-&quot;??_-;_-@_-"/>
    </dxf>
  </rfmt>
  <rfmt sheetId="1" sqref="AT667" start="0" length="0">
    <dxf>
      <font>
        <sz val="11"/>
        <color theme="1"/>
        <name val="Calibri"/>
        <scheme val="none"/>
      </font>
      <numFmt numFmtId="164" formatCode="_-* #,##0_-;\-* #,##0_-;_-* &quot;-&quot;??_-;_-@_-"/>
    </dxf>
  </rfmt>
  <rfmt sheetId="1" sqref="AU667" start="0" length="0">
    <dxf>
      <font>
        <sz val="11"/>
        <color theme="1"/>
        <name val="Calibri"/>
        <scheme val="none"/>
      </font>
    </dxf>
  </rfmt>
  <rfmt sheetId="1" sqref="AV667" start="0" length="0">
    <dxf>
      <font>
        <sz val="11"/>
        <color theme="1"/>
        <name val="Calibri"/>
        <scheme val="none"/>
      </font>
    </dxf>
  </rfmt>
  <rfmt sheetId="1" sqref="AW667" start="0" length="0">
    <dxf>
      <font>
        <sz val="11"/>
        <color theme="1"/>
        <name val="Calibri"/>
        <scheme val="none"/>
      </font>
    </dxf>
  </rfmt>
  <rfmt sheetId="1" sqref="AX667" start="0" length="0">
    <dxf>
      <font>
        <sz val="11"/>
        <color theme="1"/>
        <name val="Calibri"/>
        <scheme val="none"/>
      </font>
    </dxf>
  </rfmt>
  <rfmt sheetId="1" sqref="AY667" start="0" length="0">
    <dxf>
      <font>
        <sz val="11"/>
        <color theme="1"/>
        <name val="Calibri"/>
        <scheme val="none"/>
      </font>
    </dxf>
  </rfmt>
  <rfmt sheetId="1" sqref="A667:XFD667" start="0" length="0">
    <dxf>
      <font>
        <sz val="11"/>
        <color theme="1"/>
        <name val="Calibri"/>
        <scheme val="none"/>
      </font>
    </dxf>
  </rfmt>
  <rfmt sheetId="1" sqref="A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68"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6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68"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68"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68" start="0" length="0">
    <dxf>
      <font>
        <sz val="11"/>
        <color theme="1"/>
        <name val="Calibri"/>
        <scheme val="none"/>
      </font>
    </dxf>
  </rfmt>
  <rfmt sheetId="1" sqref="AM668" start="0" length="0">
    <dxf>
      <font>
        <sz val="11"/>
        <color theme="1"/>
        <name val="Calibri"/>
        <scheme val="none"/>
      </font>
      <numFmt numFmtId="1" formatCode="0"/>
    </dxf>
  </rfmt>
  <rfmt sheetId="1" sqref="AN668" start="0" length="0">
    <dxf>
      <font>
        <sz val="11"/>
        <color theme="1"/>
        <name val="Calibri"/>
        <scheme val="none"/>
      </font>
      <numFmt numFmtId="1" formatCode="0"/>
    </dxf>
  </rfmt>
  <rfmt sheetId="1" sqref="AO668" start="0" length="0">
    <dxf>
      <font>
        <sz val="11"/>
        <color theme="1"/>
        <name val="Calibri"/>
        <scheme val="none"/>
      </font>
    </dxf>
  </rfmt>
  <rfmt sheetId="1" sqref="AP668" start="0" length="0">
    <dxf>
      <font>
        <sz val="11"/>
        <color theme="1"/>
        <name val="Calibri"/>
        <scheme val="none"/>
      </font>
    </dxf>
  </rfmt>
  <rfmt sheetId="1" sqref="AQ668" start="0" length="0">
    <dxf>
      <font>
        <sz val="11"/>
        <color theme="1"/>
        <name val="Calibri"/>
        <scheme val="none"/>
      </font>
      <numFmt numFmtId="164" formatCode="_-* #,##0_-;\-* #,##0_-;_-* &quot;-&quot;??_-;_-@_-"/>
    </dxf>
  </rfmt>
  <rfmt sheetId="1" sqref="AR668" start="0" length="0">
    <dxf>
      <font>
        <sz val="11"/>
        <color theme="1"/>
        <name val="Calibri"/>
        <scheme val="none"/>
      </font>
      <numFmt numFmtId="164" formatCode="_-* #,##0_-;\-* #,##0_-;_-* &quot;-&quot;??_-;_-@_-"/>
    </dxf>
  </rfmt>
  <rfmt sheetId="1" sqref="AS668" start="0" length="0">
    <dxf>
      <font>
        <sz val="11"/>
        <color theme="1"/>
        <name val="Calibri"/>
        <scheme val="none"/>
      </font>
      <numFmt numFmtId="164" formatCode="_-* #,##0_-;\-* #,##0_-;_-* &quot;-&quot;??_-;_-@_-"/>
    </dxf>
  </rfmt>
  <rfmt sheetId="1" sqref="AT668" start="0" length="0">
    <dxf>
      <font>
        <sz val="11"/>
        <color theme="1"/>
        <name val="Calibri"/>
        <scheme val="none"/>
      </font>
      <numFmt numFmtId="164" formatCode="_-* #,##0_-;\-* #,##0_-;_-* &quot;-&quot;??_-;_-@_-"/>
    </dxf>
  </rfmt>
  <rfmt sheetId="1" sqref="AU668" start="0" length="0">
    <dxf>
      <font>
        <sz val="11"/>
        <color theme="1"/>
        <name val="Calibri"/>
        <scheme val="none"/>
      </font>
    </dxf>
  </rfmt>
  <rfmt sheetId="1" sqref="AV668" start="0" length="0">
    <dxf>
      <font>
        <sz val="11"/>
        <color theme="1"/>
        <name val="Calibri"/>
        <scheme val="none"/>
      </font>
    </dxf>
  </rfmt>
  <rfmt sheetId="1" sqref="AW668" start="0" length="0">
    <dxf>
      <font>
        <sz val="11"/>
        <color theme="1"/>
        <name val="Calibri"/>
        <scheme val="none"/>
      </font>
    </dxf>
  </rfmt>
  <rfmt sheetId="1" sqref="AX668" start="0" length="0">
    <dxf>
      <font>
        <sz val="11"/>
        <color theme="1"/>
        <name val="Calibri"/>
        <scheme val="none"/>
      </font>
    </dxf>
  </rfmt>
  <rfmt sheetId="1" sqref="AY668" start="0" length="0">
    <dxf>
      <font>
        <sz val="11"/>
        <color theme="1"/>
        <name val="Calibri"/>
        <scheme val="none"/>
      </font>
    </dxf>
  </rfmt>
  <rfmt sheetId="1" sqref="A668:XFD668" start="0" length="0">
    <dxf>
      <font>
        <sz val="11"/>
        <color theme="1"/>
        <name val="Calibri"/>
        <scheme val="none"/>
      </font>
    </dxf>
  </rfmt>
  <rfmt sheetId="1" sqref="A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69"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6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69"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69"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69" start="0" length="0">
    <dxf>
      <font>
        <sz val="11"/>
        <color theme="1"/>
        <name val="Calibri"/>
        <scheme val="none"/>
      </font>
    </dxf>
  </rfmt>
  <rfmt sheetId="1" sqref="AM669" start="0" length="0">
    <dxf>
      <font>
        <sz val="11"/>
        <color theme="1"/>
        <name val="Calibri"/>
        <scheme val="none"/>
      </font>
      <numFmt numFmtId="1" formatCode="0"/>
    </dxf>
  </rfmt>
  <rfmt sheetId="1" sqref="AN669" start="0" length="0">
    <dxf>
      <font>
        <sz val="11"/>
        <color theme="1"/>
        <name val="Calibri"/>
        <scheme val="none"/>
      </font>
      <numFmt numFmtId="1" formatCode="0"/>
    </dxf>
  </rfmt>
  <rfmt sheetId="1" sqref="AO669" start="0" length="0">
    <dxf>
      <font>
        <sz val="11"/>
        <color theme="1"/>
        <name val="Calibri"/>
        <scheme val="none"/>
      </font>
    </dxf>
  </rfmt>
  <rfmt sheetId="1" sqref="AP669" start="0" length="0">
    <dxf>
      <font>
        <sz val="11"/>
        <color theme="1"/>
        <name val="Calibri"/>
        <scheme val="none"/>
      </font>
    </dxf>
  </rfmt>
  <rfmt sheetId="1" sqref="AQ669" start="0" length="0">
    <dxf>
      <font>
        <sz val="11"/>
        <color theme="1"/>
        <name val="Calibri"/>
        <scheme val="none"/>
      </font>
      <numFmt numFmtId="164" formatCode="_-* #,##0_-;\-* #,##0_-;_-* &quot;-&quot;??_-;_-@_-"/>
    </dxf>
  </rfmt>
  <rfmt sheetId="1" sqref="AR669" start="0" length="0">
    <dxf>
      <font>
        <sz val="11"/>
        <color theme="1"/>
        <name val="Calibri"/>
        <scheme val="none"/>
      </font>
      <numFmt numFmtId="164" formatCode="_-* #,##0_-;\-* #,##0_-;_-* &quot;-&quot;??_-;_-@_-"/>
    </dxf>
  </rfmt>
  <rfmt sheetId="1" sqref="AS669" start="0" length="0">
    <dxf>
      <font>
        <sz val="11"/>
        <color theme="1"/>
        <name val="Calibri"/>
        <scheme val="none"/>
      </font>
      <numFmt numFmtId="164" formatCode="_-* #,##0_-;\-* #,##0_-;_-* &quot;-&quot;??_-;_-@_-"/>
    </dxf>
  </rfmt>
  <rfmt sheetId="1" sqref="AT669" start="0" length="0">
    <dxf>
      <font>
        <sz val="11"/>
        <color theme="1"/>
        <name val="Calibri"/>
        <scheme val="none"/>
      </font>
      <numFmt numFmtId="164" formatCode="_-* #,##0_-;\-* #,##0_-;_-* &quot;-&quot;??_-;_-@_-"/>
    </dxf>
  </rfmt>
  <rfmt sheetId="1" sqref="AU669" start="0" length="0">
    <dxf>
      <font>
        <sz val="11"/>
        <color theme="1"/>
        <name val="Calibri"/>
        <scheme val="none"/>
      </font>
    </dxf>
  </rfmt>
  <rfmt sheetId="1" sqref="AV669" start="0" length="0">
    <dxf>
      <font>
        <sz val="11"/>
        <color theme="1"/>
        <name val="Calibri"/>
        <scheme val="none"/>
      </font>
    </dxf>
  </rfmt>
  <rfmt sheetId="1" sqref="AW669" start="0" length="0">
    <dxf>
      <font>
        <sz val="11"/>
        <color theme="1"/>
        <name val="Calibri"/>
        <scheme val="none"/>
      </font>
    </dxf>
  </rfmt>
  <rfmt sheetId="1" sqref="AX669" start="0" length="0">
    <dxf>
      <font>
        <sz val="11"/>
        <color theme="1"/>
        <name val="Calibri"/>
        <scheme val="none"/>
      </font>
    </dxf>
  </rfmt>
  <rfmt sheetId="1" sqref="AY669" start="0" length="0">
    <dxf>
      <font>
        <sz val="11"/>
        <color theme="1"/>
        <name val="Calibri"/>
        <scheme val="none"/>
      </font>
    </dxf>
  </rfmt>
  <rfmt sheetId="1" sqref="A669:XFD669" start="0" length="0">
    <dxf>
      <font>
        <sz val="11"/>
        <color theme="1"/>
        <name val="Calibri"/>
        <scheme val="none"/>
      </font>
    </dxf>
  </rfmt>
  <rfmt sheetId="1" sqref="A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70"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7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70"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70"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70" start="0" length="0">
    <dxf>
      <font>
        <sz val="11"/>
        <color theme="1"/>
        <name val="Calibri"/>
        <scheme val="none"/>
      </font>
    </dxf>
  </rfmt>
  <rfmt sheetId="1" sqref="AM670" start="0" length="0">
    <dxf>
      <font>
        <sz val="11"/>
        <color theme="1"/>
        <name val="Calibri"/>
        <scheme val="none"/>
      </font>
      <numFmt numFmtId="1" formatCode="0"/>
    </dxf>
  </rfmt>
  <rfmt sheetId="1" sqref="AN670" start="0" length="0">
    <dxf>
      <font>
        <sz val="11"/>
        <color theme="1"/>
        <name val="Calibri"/>
        <scheme val="none"/>
      </font>
      <numFmt numFmtId="1" formatCode="0"/>
    </dxf>
  </rfmt>
  <rfmt sheetId="1" sqref="AO670" start="0" length="0">
    <dxf>
      <font>
        <sz val="11"/>
        <color theme="1"/>
        <name val="Calibri"/>
        <scheme val="none"/>
      </font>
    </dxf>
  </rfmt>
  <rfmt sheetId="1" sqref="AP670" start="0" length="0">
    <dxf>
      <font>
        <sz val="11"/>
        <color theme="1"/>
        <name val="Calibri"/>
        <scheme val="none"/>
      </font>
    </dxf>
  </rfmt>
  <rfmt sheetId="1" sqref="AQ670" start="0" length="0">
    <dxf>
      <font>
        <sz val="11"/>
        <color theme="1"/>
        <name val="Calibri"/>
        <scheme val="none"/>
      </font>
      <numFmt numFmtId="164" formatCode="_-* #,##0_-;\-* #,##0_-;_-* &quot;-&quot;??_-;_-@_-"/>
    </dxf>
  </rfmt>
  <rfmt sheetId="1" sqref="AR670" start="0" length="0">
    <dxf>
      <font>
        <sz val="11"/>
        <color theme="1"/>
        <name val="Calibri"/>
        <scheme val="none"/>
      </font>
      <numFmt numFmtId="164" formatCode="_-* #,##0_-;\-* #,##0_-;_-* &quot;-&quot;??_-;_-@_-"/>
    </dxf>
  </rfmt>
  <rfmt sheetId="1" sqref="AS670" start="0" length="0">
    <dxf>
      <font>
        <sz val="11"/>
        <color theme="1"/>
        <name val="Calibri"/>
        <scheme val="none"/>
      </font>
      <numFmt numFmtId="164" formatCode="_-* #,##0_-;\-* #,##0_-;_-* &quot;-&quot;??_-;_-@_-"/>
    </dxf>
  </rfmt>
  <rfmt sheetId="1" sqref="AT670" start="0" length="0">
    <dxf>
      <font>
        <sz val="11"/>
        <color theme="1"/>
        <name val="Calibri"/>
        <scheme val="none"/>
      </font>
      <numFmt numFmtId="164" formatCode="_-* #,##0_-;\-* #,##0_-;_-* &quot;-&quot;??_-;_-@_-"/>
    </dxf>
  </rfmt>
  <rfmt sheetId="1" sqref="AU670" start="0" length="0">
    <dxf>
      <font>
        <sz val="11"/>
        <color theme="1"/>
        <name val="Calibri"/>
        <scheme val="none"/>
      </font>
    </dxf>
  </rfmt>
  <rfmt sheetId="1" sqref="AV670" start="0" length="0">
    <dxf>
      <font>
        <sz val="11"/>
        <color theme="1"/>
        <name val="Calibri"/>
        <scheme val="none"/>
      </font>
    </dxf>
  </rfmt>
  <rfmt sheetId="1" sqref="AW670" start="0" length="0">
    <dxf>
      <font>
        <sz val="11"/>
        <color theme="1"/>
        <name val="Calibri"/>
        <scheme val="none"/>
      </font>
    </dxf>
  </rfmt>
  <rfmt sheetId="1" sqref="AX670" start="0" length="0">
    <dxf>
      <font>
        <sz val="11"/>
        <color theme="1"/>
        <name val="Calibri"/>
        <scheme val="none"/>
      </font>
    </dxf>
  </rfmt>
  <rfmt sheetId="1" sqref="AY670" start="0" length="0">
    <dxf>
      <font>
        <sz val="11"/>
        <color theme="1"/>
        <name val="Calibri"/>
        <scheme val="none"/>
      </font>
    </dxf>
  </rfmt>
  <rfmt sheetId="1" sqref="A670:XFD670" start="0" length="0">
    <dxf>
      <font>
        <sz val="11"/>
        <color theme="1"/>
        <name val="Calibri"/>
        <scheme val="none"/>
      </font>
    </dxf>
  </rfmt>
  <rfmt sheetId="1" sqref="A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71"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7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71"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71"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71" start="0" length="0">
    <dxf>
      <font>
        <sz val="11"/>
        <color theme="1"/>
        <name val="Calibri"/>
        <scheme val="none"/>
      </font>
    </dxf>
  </rfmt>
  <rfmt sheetId="1" sqref="AM671" start="0" length="0">
    <dxf>
      <font>
        <sz val="11"/>
        <color theme="1"/>
        <name val="Calibri"/>
        <scheme val="none"/>
      </font>
      <numFmt numFmtId="1" formatCode="0"/>
    </dxf>
  </rfmt>
  <rfmt sheetId="1" sqref="AN671" start="0" length="0">
    <dxf>
      <font>
        <sz val="11"/>
        <color theme="1"/>
        <name val="Calibri"/>
        <scheme val="none"/>
      </font>
      <numFmt numFmtId="1" formatCode="0"/>
    </dxf>
  </rfmt>
  <rfmt sheetId="1" sqref="AO671" start="0" length="0">
    <dxf>
      <font>
        <sz val="11"/>
        <color theme="1"/>
        <name val="Calibri"/>
        <scheme val="none"/>
      </font>
    </dxf>
  </rfmt>
  <rfmt sheetId="1" sqref="AP671" start="0" length="0">
    <dxf>
      <font>
        <sz val="11"/>
        <color theme="1"/>
        <name val="Calibri"/>
        <scheme val="none"/>
      </font>
    </dxf>
  </rfmt>
  <rfmt sheetId="1" sqref="AQ671" start="0" length="0">
    <dxf>
      <font>
        <sz val="11"/>
        <color theme="1"/>
        <name val="Calibri"/>
        <scheme val="none"/>
      </font>
      <numFmt numFmtId="164" formatCode="_-* #,##0_-;\-* #,##0_-;_-* &quot;-&quot;??_-;_-@_-"/>
    </dxf>
  </rfmt>
  <rfmt sheetId="1" sqref="AR671" start="0" length="0">
    <dxf>
      <font>
        <sz val="11"/>
        <color theme="1"/>
        <name val="Calibri"/>
        <scheme val="none"/>
      </font>
      <numFmt numFmtId="164" formatCode="_-* #,##0_-;\-* #,##0_-;_-* &quot;-&quot;??_-;_-@_-"/>
    </dxf>
  </rfmt>
  <rfmt sheetId="1" sqref="AS671" start="0" length="0">
    <dxf>
      <font>
        <sz val="11"/>
        <color theme="1"/>
        <name val="Calibri"/>
        <scheme val="none"/>
      </font>
      <numFmt numFmtId="164" formatCode="_-* #,##0_-;\-* #,##0_-;_-* &quot;-&quot;??_-;_-@_-"/>
    </dxf>
  </rfmt>
  <rfmt sheetId="1" sqref="AT671" start="0" length="0">
    <dxf>
      <font>
        <sz val="11"/>
        <color theme="1"/>
        <name val="Calibri"/>
        <scheme val="none"/>
      </font>
      <numFmt numFmtId="164" formatCode="_-* #,##0_-;\-* #,##0_-;_-* &quot;-&quot;??_-;_-@_-"/>
    </dxf>
  </rfmt>
  <rfmt sheetId="1" sqref="AU671" start="0" length="0">
    <dxf>
      <font>
        <sz val="11"/>
        <color theme="1"/>
        <name val="Calibri"/>
        <scheme val="none"/>
      </font>
    </dxf>
  </rfmt>
  <rfmt sheetId="1" sqref="AV671" start="0" length="0">
    <dxf>
      <font>
        <sz val="11"/>
        <color theme="1"/>
        <name val="Calibri"/>
        <scheme val="none"/>
      </font>
    </dxf>
  </rfmt>
  <rfmt sheetId="1" sqref="AW671" start="0" length="0">
    <dxf>
      <font>
        <sz val="11"/>
        <color theme="1"/>
        <name val="Calibri"/>
        <scheme val="none"/>
      </font>
    </dxf>
  </rfmt>
  <rfmt sheetId="1" sqref="AX671" start="0" length="0">
    <dxf>
      <font>
        <sz val="11"/>
        <color theme="1"/>
        <name val="Calibri"/>
        <scheme val="none"/>
      </font>
    </dxf>
  </rfmt>
  <rfmt sheetId="1" sqref="AY671" start="0" length="0">
    <dxf>
      <font>
        <sz val="11"/>
        <color theme="1"/>
        <name val="Calibri"/>
        <scheme val="none"/>
      </font>
    </dxf>
  </rfmt>
  <rfmt sheetId="1" sqref="A671:XFD671" start="0" length="0">
    <dxf>
      <font>
        <sz val="11"/>
        <color theme="1"/>
        <name val="Calibri"/>
        <scheme val="none"/>
      </font>
    </dxf>
  </rfmt>
  <rfmt sheetId="1" sqref="A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72"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7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72"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72"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72" start="0" length="0">
    <dxf>
      <font>
        <sz val="11"/>
        <color theme="1"/>
        <name val="Calibri"/>
        <scheme val="none"/>
      </font>
    </dxf>
  </rfmt>
  <rfmt sheetId="1" sqref="AM672" start="0" length="0">
    <dxf>
      <font>
        <sz val="11"/>
        <color theme="1"/>
        <name val="Calibri"/>
        <scheme val="none"/>
      </font>
      <numFmt numFmtId="1" formatCode="0"/>
    </dxf>
  </rfmt>
  <rfmt sheetId="1" sqref="AN672" start="0" length="0">
    <dxf>
      <font>
        <sz val="11"/>
        <color theme="1"/>
        <name val="Calibri"/>
        <scheme val="none"/>
      </font>
      <numFmt numFmtId="1" formatCode="0"/>
    </dxf>
  </rfmt>
  <rfmt sheetId="1" sqref="AO672" start="0" length="0">
    <dxf>
      <font>
        <sz val="11"/>
        <color theme="1"/>
        <name val="Calibri"/>
        <scheme val="none"/>
      </font>
    </dxf>
  </rfmt>
  <rfmt sheetId="1" sqref="AP672" start="0" length="0">
    <dxf>
      <font>
        <sz val="11"/>
        <color theme="1"/>
        <name val="Calibri"/>
        <scheme val="none"/>
      </font>
    </dxf>
  </rfmt>
  <rfmt sheetId="1" sqref="AQ672" start="0" length="0">
    <dxf>
      <font>
        <sz val="11"/>
        <color theme="1"/>
        <name val="Calibri"/>
        <scheme val="none"/>
      </font>
      <numFmt numFmtId="164" formatCode="_-* #,##0_-;\-* #,##0_-;_-* &quot;-&quot;??_-;_-@_-"/>
    </dxf>
  </rfmt>
  <rfmt sheetId="1" sqref="AR672" start="0" length="0">
    <dxf>
      <font>
        <sz val="11"/>
        <color theme="1"/>
        <name val="Calibri"/>
        <scheme val="none"/>
      </font>
      <numFmt numFmtId="164" formatCode="_-* #,##0_-;\-* #,##0_-;_-* &quot;-&quot;??_-;_-@_-"/>
    </dxf>
  </rfmt>
  <rfmt sheetId="1" sqref="AS672" start="0" length="0">
    <dxf>
      <font>
        <sz val="11"/>
        <color theme="1"/>
        <name val="Calibri"/>
        <scheme val="none"/>
      </font>
      <numFmt numFmtId="164" formatCode="_-* #,##0_-;\-* #,##0_-;_-* &quot;-&quot;??_-;_-@_-"/>
    </dxf>
  </rfmt>
  <rfmt sheetId="1" sqref="AT672" start="0" length="0">
    <dxf>
      <font>
        <sz val="11"/>
        <color theme="1"/>
        <name val="Calibri"/>
        <scheme val="none"/>
      </font>
      <numFmt numFmtId="164" formatCode="_-* #,##0_-;\-* #,##0_-;_-* &quot;-&quot;??_-;_-@_-"/>
    </dxf>
  </rfmt>
  <rfmt sheetId="1" sqref="AU672" start="0" length="0">
    <dxf>
      <font>
        <sz val="11"/>
        <color theme="1"/>
        <name val="Calibri"/>
        <scheme val="none"/>
      </font>
    </dxf>
  </rfmt>
  <rfmt sheetId="1" sqref="AV672" start="0" length="0">
    <dxf>
      <font>
        <sz val="11"/>
        <color theme="1"/>
        <name val="Calibri"/>
        <scheme val="none"/>
      </font>
    </dxf>
  </rfmt>
  <rfmt sheetId="1" sqref="AW672" start="0" length="0">
    <dxf>
      <font>
        <sz val="11"/>
        <color theme="1"/>
        <name val="Calibri"/>
        <scheme val="none"/>
      </font>
    </dxf>
  </rfmt>
  <rfmt sheetId="1" sqref="AX672" start="0" length="0">
    <dxf>
      <font>
        <sz val="11"/>
        <color theme="1"/>
        <name val="Calibri"/>
        <scheme val="none"/>
      </font>
    </dxf>
  </rfmt>
  <rfmt sheetId="1" sqref="AY672" start="0" length="0">
    <dxf>
      <font>
        <sz val="11"/>
        <color theme="1"/>
        <name val="Calibri"/>
        <scheme val="none"/>
      </font>
    </dxf>
  </rfmt>
  <rfmt sheetId="1" sqref="A672:XFD672" start="0" length="0">
    <dxf>
      <font>
        <sz val="11"/>
        <color theme="1"/>
        <name val="Calibri"/>
        <scheme val="none"/>
      </font>
    </dxf>
  </rfmt>
  <rfmt sheetId="1" sqref="A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73"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7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73"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73"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73" start="0" length="0">
    <dxf>
      <font>
        <sz val="11"/>
        <color theme="1"/>
        <name val="Calibri"/>
        <scheme val="none"/>
      </font>
    </dxf>
  </rfmt>
  <rfmt sheetId="1" sqref="AM673" start="0" length="0">
    <dxf>
      <font>
        <sz val="11"/>
        <color theme="1"/>
        <name val="Calibri"/>
        <scheme val="none"/>
      </font>
      <numFmt numFmtId="1" formatCode="0"/>
    </dxf>
  </rfmt>
  <rfmt sheetId="1" sqref="AN673" start="0" length="0">
    <dxf>
      <font>
        <sz val="11"/>
        <color theme="1"/>
        <name val="Calibri"/>
        <scheme val="none"/>
      </font>
      <numFmt numFmtId="1" formatCode="0"/>
    </dxf>
  </rfmt>
  <rfmt sheetId="1" sqref="AO673" start="0" length="0">
    <dxf>
      <font>
        <sz val="11"/>
        <color theme="1"/>
        <name val="Calibri"/>
        <scheme val="none"/>
      </font>
    </dxf>
  </rfmt>
  <rfmt sheetId="1" sqref="AP673" start="0" length="0">
    <dxf>
      <font>
        <sz val="11"/>
        <color theme="1"/>
        <name val="Calibri"/>
        <scheme val="none"/>
      </font>
    </dxf>
  </rfmt>
  <rfmt sheetId="1" sqref="AQ673" start="0" length="0">
    <dxf>
      <font>
        <sz val="11"/>
        <color theme="1"/>
        <name val="Calibri"/>
        <scheme val="none"/>
      </font>
      <numFmt numFmtId="164" formatCode="_-* #,##0_-;\-* #,##0_-;_-* &quot;-&quot;??_-;_-@_-"/>
    </dxf>
  </rfmt>
  <rfmt sheetId="1" sqref="AR673" start="0" length="0">
    <dxf>
      <font>
        <sz val="11"/>
        <color theme="1"/>
        <name val="Calibri"/>
        <scheme val="none"/>
      </font>
      <numFmt numFmtId="164" formatCode="_-* #,##0_-;\-* #,##0_-;_-* &quot;-&quot;??_-;_-@_-"/>
    </dxf>
  </rfmt>
  <rfmt sheetId="1" sqref="AS673" start="0" length="0">
    <dxf>
      <font>
        <sz val="11"/>
        <color theme="1"/>
        <name val="Calibri"/>
        <scheme val="none"/>
      </font>
      <numFmt numFmtId="164" formatCode="_-* #,##0_-;\-* #,##0_-;_-* &quot;-&quot;??_-;_-@_-"/>
    </dxf>
  </rfmt>
  <rfmt sheetId="1" sqref="AT673" start="0" length="0">
    <dxf>
      <font>
        <sz val="11"/>
        <color theme="1"/>
        <name val="Calibri"/>
        <scheme val="none"/>
      </font>
      <numFmt numFmtId="164" formatCode="_-* #,##0_-;\-* #,##0_-;_-* &quot;-&quot;??_-;_-@_-"/>
    </dxf>
  </rfmt>
  <rfmt sheetId="1" sqref="AU673" start="0" length="0">
    <dxf>
      <font>
        <sz val="11"/>
        <color theme="1"/>
        <name val="Calibri"/>
        <scheme val="none"/>
      </font>
    </dxf>
  </rfmt>
  <rfmt sheetId="1" sqref="AV673" start="0" length="0">
    <dxf>
      <font>
        <sz val="11"/>
        <color theme="1"/>
        <name val="Calibri"/>
        <scheme val="none"/>
      </font>
    </dxf>
  </rfmt>
  <rfmt sheetId="1" sqref="AW673" start="0" length="0">
    <dxf>
      <font>
        <sz val="11"/>
        <color theme="1"/>
        <name val="Calibri"/>
        <scheme val="none"/>
      </font>
    </dxf>
  </rfmt>
  <rfmt sheetId="1" sqref="AX673" start="0" length="0">
    <dxf>
      <font>
        <sz val="11"/>
        <color theme="1"/>
        <name val="Calibri"/>
        <scheme val="none"/>
      </font>
    </dxf>
  </rfmt>
  <rfmt sheetId="1" sqref="AY673" start="0" length="0">
    <dxf>
      <font>
        <sz val="11"/>
        <color theme="1"/>
        <name val="Calibri"/>
        <scheme val="none"/>
      </font>
    </dxf>
  </rfmt>
  <rfmt sheetId="1" sqref="A673:XFD673" start="0" length="0">
    <dxf>
      <font>
        <sz val="11"/>
        <color theme="1"/>
        <name val="Calibri"/>
        <scheme val="none"/>
      </font>
    </dxf>
  </rfmt>
  <rfmt sheetId="1" sqref="A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B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D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E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F6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G6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H6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I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J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K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L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M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N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O6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P6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Q6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R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S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T674" start="0" length="0">
    <dxf>
      <font>
        <sz val="11"/>
        <color theme="1"/>
        <name val="Calibri"/>
        <scheme val="none"/>
      </font>
      <numFmt numFmtId="19" formatCode="dd/mm/yyyy"/>
      <border outline="0">
        <left style="thin">
          <color indexed="64"/>
        </left>
        <right style="thin">
          <color indexed="64"/>
        </right>
        <top style="thin">
          <color indexed="64"/>
        </top>
        <bottom style="thin">
          <color indexed="64"/>
        </bottom>
      </border>
    </dxf>
  </rfmt>
  <rfmt sheetId="1" sqref="U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V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W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X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Y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Z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A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B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C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D6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E67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F6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G674" start="0" length="0">
    <dxf>
      <font>
        <sz val="11"/>
        <color theme="1"/>
        <name val="Calibri"/>
        <scheme val="none"/>
      </font>
      <numFmt numFmtId="27" formatCode="dd/mm/yyyy\ h:mm"/>
      <border outline="0">
        <left style="thin">
          <color indexed="64"/>
        </left>
        <right style="thin">
          <color indexed="64"/>
        </right>
        <top style="thin">
          <color indexed="64"/>
        </top>
        <bottom style="thin">
          <color indexed="64"/>
        </bottom>
      </border>
    </dxf>
  </rfmt>
  <rfmt sheetId="1" sqref="AH674" start="0" length="0">
    <dxf>
      <font>
        <sz val="11"/>
        <color theme="1"/>
        <name val="Calibri"/>
        <scheme val="none"/>
      </font>
      <numFmt numFmtId="164" formatCode="_-* #,##0_-;\-* #,##0_-;_-* &quot;-&quot;??_-;_-@_-"/>
      <border outline="0">
        <left style="thin">
          <color indexed="64"/>
        </left>
        <right style="thin">
          <color indexed="64"/>
        </right>
        <top style="thin">
          <color indexed="64"/>
        </top>
        <bottom style="thin">
          <color indexed="64"/>
        </bottom>
      </border>
    </dxf>
  </rfmt>
  <rfmt sheetId="1" sqref="AI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J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K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AL674" start="0" length="0">
    <dxf>
      <font>
        <sz val="11"/>
        <color theme="1"/>
        <name val="Calibri"/>
        <scheme val="none"/>
      </font>
    </dxf>
  </rfmt>
  <rfmt sheetId="1" sqref="AM674" start="0" length="0">
    <dxf>
      <font>
        <sz val="11"/>
        <color theme="1"/>
        <name val="Calibri"/>
        <scheme val="none"/>
      </font>
      <numFmt numFmtId="1" formatCode="0"/>
    </dxf>
  </rfmt>
  <rfmt sheetId="1" sqref="AN674" start="0" length="0">
    <dxf>
      <font>
        <sz val="11"/>
        <color theme="1"/>
        <name val="Calibri"/>
        <scheme val="none"/>
      </font>
      <numFmt numFmtId="1" formatCode="0"/>
    </dxf>
  </rfmt>
  <rfmt sheetId="1" sqref="AO674" start="0" length="0">
    <dxf>
      <font>
        <sz val="11"/>
        <color theme="1"/>
        <name val="Calibri"/>
        <scheme val="none"/>
      </font>
    </dxf>
  </rfmt>
  <rfmt sheetId="1" sqref="AP674" start="0" length="0">
    <dxf>
      <font>
        <sz val="11"/>
        <color theme="1"/>
        <name val="Calibri"/>
        <scheme val="none"/>
      </font>
    </dxf>
  </rfmt>
  <rfmt sheetId="1" sqref="AQ674" start="0" length="0">
    <dxf>
      <font>
        <sz val="11"/>
        <color theme="1"/>
        <name val="Calibri"/>
        <scheme val="none"/>
      </font>
      <numFmt numFmtId="164" formatCode="_-* #,##0_-;\-* #,##0_-;_-* &quot;-&quot;??_-;_-@_-"/>
    </dxf>
  </rfmt>
  <rfmt sheetId="1" sqref="AR674" start="0" length="0">
    <dxf>
      <font>
        <sz val="11"/>
        <color theme="1"/>
        <name val="Calibri"/>
        <scheme val="none"/>
      </font>
      <numFmt numFmtId="164" formatCode="_-* #,##0_-;\-* #,##0_-;_-* &quot;-&quot;??_-;_-@_-"/>
    </dxf>
  </rfmt>
  <rfmt sheetId="1" sqref="AS674" start="0" length="0">
    <dxf>
      <font>
        <sz val="11"/>
        <color theme="1"/>
        <name val="Calibri"/>
        <scheme val="none"/>
      </font>
      <numFmt numFmtId="164" formatCode="_-* #,##0_-;\-* #,##0_-;_-* &quot;-&quot;??_-;_-@_-"/>
    </dxf>
  </rfmt>
  <rfmt sheetId="1" sqref="AT674" start="0" length="0">
    <dxf>
      <font>
        <sz val="11"/>
        <color theme="1"/>
        <name val="Calibri"/>
        <scheme val="none"/>
      </font>
      <numFmt numFmtId="164" formatCode="_-* #,##0_-;\-* #,##0_-;_-* &quot;-&quot;??_-;_-@_-"/>
    </dxf>
  </rfmt>
  <rfmt sheetId="1" sqref="AU674" start="0" length="0">
    <dxf>
      <font>
        <sz val="11"/>
        <color theme="1"/>
        <name val="Calibri"/>
        <scheme val="none"/>
      </font>
    </dxf>
  </rfmt>
  <rfmt sheetId="1" sqref="AV674" start="0" length="0">
    <dxf>
      <font>
        <sz val="11"/>
        <color theme="1"/>
        <name val="Calibri"/>
        <scheme val="none"/>
      </font>
    </dxf>
  </rfmt>
  <rfmt sheetId="1" sqref="AW674" start="0" length="0">
    <dxf>
      <font>
        <sz val="11"/>
        <color theme="1"/>
        <name val="Calibri"/>
        <scheme val="none"/>
      </font>
    </dxf>
  </rfmt>
  <rfmt sheetId="1" sqref="AX674" start="0" length="0">
    <dxf>
      <font>
        <sz val="11"/>
        <color theme="1"/>
        <name val="Calibri"/>
        <scheme val="none"/>
      </font>
    </dxf>
  </rfmt>
  <rfmt sheetId="1" sqref="AY674" start="0" length="0">
    <dxf>
      <font>
        <sz val="11"/>
        <color theme="1"/>
        <name val="Calibri"/>
        <scheme val="none"/>
      </font>
    </dxf>
  </rfmt>
  <rfmt sheetId="1" sqref="A674:XFD674" start="0" length="0">
    <dxf>
      <font>
        <sz val="11"/>
        <color theme="1"/>
        <name val="Calibri"/>
        <scheme val="none"/>
      </font>
    </dxf>
  </rfmt>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3" sId="1" odxf="1" dxf="1">
    <oc r="D32">
      <v>2</v>
    </oc>
    <nc r="D32">
      <v>12</v>
    </nc>
    <odxf>
      <fill>
        <patternFill patternType="none">
          <bgColor indexed="65"/>
        </patternFill>
      </fill>
    </odxf>
    <ndxf>
      <fill>
        <patternFill patternType="solid">
          <bgColor rgb="FF92D050"/>
        </patternFill>
      </fill>
    </ndxf>
  </rcc>
  <rcc rId="904" sId="1" odxf="1" dxf="1">
    <oc r="E32" t="inlineStr">
      <is>
        <t>22/01 al 23/01/2026</t>
      </is>
    </oc>
    <nc r="E32" t="inlineStr">
      <is>
        <t>15/01 al 31/01/2026</t>
      </is>
    </nc>
    <odxf>
      <fill>
        <patternFill patternType="none">
          <bgColor indexed="65"/>
        </patternFill>
      </fill>
    </odxf>
    <ndxf>
      <fill>
        <patternFill patternType="solid">
          <bgColor rgb="FF92D050"/>
        </patternFill>
      </fill>
    </ndxf>
  </rcc>
  <rcc rId="905" sId="1" odxf="1" dxf="1" numFmtId="19">
    <oc r="F32">
      <v>46044</v>
    </oc>
    <nc r="F32">
      <v>46037</v>
    </nc>
    <odxf>
      <fill>
        <patternFill patternType="none">
          <bgColor indexed="65"/>
        </patternFill>
      </fill>
    </odxf>
    <ndxf>
      <fill>
        <patternFill patternType="solid">
          <bgColor rgb="FF92D050"/>
        </patternFill>
      </fill>
    </ndxf>
  </rcc>
  <rcc rId="906" sId="1" odxf="1" dxf="1" numFmtId="19">
    <oc r="G32">
      <v>46045</v>
    </oc>
    <nc r="G32">
      <v>46053</v>
    </nc>
    <odxf>
      <fill>
        <patternFill patternType="none">
          <bgColor indexed="65"/>
        </patternFill>
      </fill>
    </odxf>
    <ndxf>
      <fill>
        <patternFill patternType="solid">
          <bgColor rgb="FF92D050"/>
        </patternFill>
      </fill>
    </ndxf>
  </rcc>
  <rcc rId="907" sId="1">
    <oc r="K32" t="inlineStr">
      <is>
        <t>Alquiler</t>
      </is>
    </oc>
    <nc r="K32" t="inlineStr">
      <is>
        <t>Propio</t>
      </is>
    </nc>
  </rcc>
  <rcc rId="908" sId="1">
    <nc r="M32">
      <f>+N32-H32</f>
    </nc>
  </rcc>
  <rcc rId="909" sId="1">
    <nc r="N32">
      <f>1052+1315+789+466+789+1052+849</f>
    </nc>
  </rcc>
  <rcc rId="910" sId="1">
    <nc r="O32">
      <f>20+4</f>
    </nc>
  </rcc>
  <rcc rId="911" sId="1">
    <nc r="Q32">
      <f>+P32+O32</f>
    </nc>
  </rcc>
  <rcc rId="912" sId="1">
    <nc r="R32">
      <f>(N32/Q32)</f>
    </nc>
  </rcc>
  <rcc rId="913" sId="1">
    <nc r="S32">
      <f>(('Costo por negocio'!$B$2-DATA!R32)*DATA!O32)+('Costo por negocio'!$C$2-DATA!R32)*DATA!P32</f>
    </nc>
  </rcc>
  <rcc rId="914" sId="1" numFmtId="19">
    <nc r="T32">
      <v>46056</v>
    </nc>
  </rcc>
  <rcc rId="915" sId="1">
    <nc r="U32" t="inlineStr">
      <is>
        <t>SI</t>
      </is>
    </nc>
  </rcc>
  <rcc rId="916" sId="1">
    <nc r="V32" t="inlineStr">
      <is>
        <t>SI</t>
      </is>
    </nc>
  </rcc>
  <rcc rId="917" sId="1">
    <nc r="W32" t="inlineStr">
      <is>
        <t>SI</t>
      </is>
    </nc>
  </rcc>
  <rcc rId="918" sId="1">
    <nc r="Y32" t="inlineStr">
      <is>
        <t>SBK 2846</t>
      </is>
    </nc>
  </rcc>
  <rfmt sheetId="1" sqref="A32:AK32">
    <dxf>
      <fill>
        <patternFill>
          <bgColor rgb="FF92D050"/>
        </patternFill>
      </fill>
    </dxf>
  </rfmt>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0" sId="1">
    <nc r="B33" t="inlineStr">
      <is>
        <t>Sylvia Antunez</t>
      </is>
    </nc>
  </rcc>
  <rcc rId="921" sId="1">
    <nc r="C33">
      <v>3064</v>
    </nc>
  </rcc>
  <rcc rId="922" sId="1">
    <nc r="J33" t="inlineStr">
      <is>
        <t>Montevideo, Canelones</t>
      </is>
    </nc>
  </rcc>
  <rcc rId="923" sId="1">
    <nc r="K33" t="inlineStr">
      <is>
        <t>Propio</t>
      </is>
    </nc>
  </rcc>
  <rcc rId="924" sId="1">
    <nc r="A33">
      <v>32</v>
    </nc>
  </rcc>
  <rcc rId="925" sId="1" odxf="1" dxf="1">
    <nc r="D33">
      <v>12</v>
    </nc>
    <ndxf>
      <fill>
        <patternFill patternType="solid">
          <bgColor rgb="FF92D050"/>
        </patternFill>
      </fill>
    </ndxf>
  </rcc>
  <rcc rId="926" sId="1" odxf="1" dxf="1">
    <nc r="E33" t="inlineStr">
      <is>
        <t>15/01 al 31/01/2026</t>
      </is>
    </nc>
    <ndxf>
      <fill>
        <patternFill patternType="solid">
          <bgColor rgb="FF92D050"/>
        </patternFill>
      </fill>
    </ndxf>
  </rcc>
  <rcc rId="927" sId="1" odxf="1" dxf="1" numFmtId="19">
    <nc r="F33">
      <v>46037</v>
    </nc>
    <ndxf>
      <fill>
        <patternFill patternType="solid">
          <bgColor rgb="FF92D050"/>
        </patternFill>
      </fill>
    </ndxf>
  </rcc>
  <rcc rId="928" sId="1" odxf="1" dxf="1" numFmtId="19">
    <nc r="G33">
      <v>46053</v>
    </nc>
    <ndxf>
      <fill>
        <patternFill patternType="solid">
          <bgColor rgb="FF92D050"/>
        </patternFill>
      </fill>
    </ndxf>
  </rcc>
  <rcc rId="929" sId="1">
    <nc r="M33">
      <f>+N33-H33</f>
    </nc>
  </rcc>
  <rcc rId="930" sId="1" numFmtId="34">
    <nc r="N33">
      <v>2114</v>
    </nc>
  </rcc>
  <rcc rId="931" sId="1">
    <nc r="Q33">
      <f>+P33+O33</f>
    </nc>
  </rcc>
  <rcc rId="932" sId="1">
    <nc r="R33">
      <f>(N33/Q33)</f>
    </nc>
  </rcc>
  <rcc rId="933" sId="1">
    <nc r="S33">
      <f>(('Costo por negocio'!$B$2-DATA!R33)*DATA!O33)+('Costo por negocio'!$C$2-DATA!R33)*DATA!P33</f>
    </nc>
  </rcc>
  <rcc rId="934" sId="1" numFmtId="19">
    <nc r="T33">
      <v>46056</v>
    </nc>
  </rcc>
  <rcc rId="935" sId="1">
    <nc r="U33" t="inlineStr">
      <is>
        <t>SI</t>
      </is>
    </nc>
  </rcc>
  <rcc rId="936" sId="1">
    <nc r="V33" t="inlineStr">
      <is>
        <t>SI</t>
      </is>
    </nc>
  </rcc>
  <rcc rId="937" sId="1">
    <nc r="W33" t="inlineStr">
      <is>
        <t>SI</t>
      </is>
    </nc>
  </rcc>
  <rcc rId="938" sId="1">
    <nc r="O33">
      <f>11+5+6+1</f>
    </nc>
  </rcc>
  <rcc rId="939" sId="1">
    <nc r="Y33" t="inlineStr">
      <is>
        <t>SDD 4937</t>
      </is>
    </nc>
  </rcc>
  <rfmt sheetId="1" sqref="A33:AK33">
    <dxf>
      <fill>
        <patternFill>
          <bgColor rgb="FF92D050"/>
        </patternFill>
      </fill>
    </dxf>
  </rfmt>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M1:M1048576">
    <dxf>
      <numFmt numFmtId="35" formatCode="_-* #,##0.00_-;\-* #,##0.00_-;_-* &quot;-&quot;??_-;_-@_-"/>
    </dxf>
  </rfmt>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1" sId="1">
    <nc r="B34" t="inlineStr">
      <is>
        <t>Fernando López</t>
      </is>
    </nc>
  </rcc>
  <rcc rId="942" sId="1">
    <nc r="C34">
      <v>3117</v>
    </nc>
  </rcc>
  <rcc rId="943" sId="1">
    <nc r="J34" t="inlineStr">
      <is>
        <t>Montevideo</t>
      </is>
    </nc>
  </rcc>
  <rcc rId="944" sId="1">
    <nc r="K34" t="inlineStr">
      <is>
        <t>Propio</t>
      </is>
    </nc>
  </rcc>
  <rcc rId="945" sId="1">
    <nc r="A34">
      <v>33</v>
    </nc>
  </rcc>
  <rcc rId="946" sId="1" odxf="1" dxf="1">
    <nc r="D34">
      <v>12</v>
    </nc>
    <ndxf>
      <fill>
        <patternFill patternType="solid">
          <bgColor rgb="FF92D050"/>
        </patternFill>
      </fill>
    </ndxf>
  </rcc>
  <rcc rId="947" sId="1" odxf="1" dxf="1">
    <nc r="E34" t="inlineStr">
      <is>
        <t>15/01 al 31/01/2026</t>
      </is>
    </nc>
    <ndxf>
      <fill>
        <patternFill patternType="solid">
          <bgColor rgb="FF92D050"/>
        </patternFill>
      </fill>
    </ndxf>
  </rcc>
  <rcc rId="948" sId="1" odxf="1" dxf="1" numFmtId="19">
    <nc r="F34">
      <v>46037</v>
    </nc>
    <ndxf>
      <fill>
        <patternFill patternType="solid">
          <bgColor rgb="FF92D050"/>
        </patternFill>
      </fill>
    </ndxf>
  </rcc>
  <rcc rId="949" sId="1" odxf="1" dxf="1" numFmtId="19">
    <nc r="G34">
      <v>46053</v>
    </nc>
    <ndxf>
      <fill>
        <patternFill patternType="solid">
          <bgColor rgb="FF92D050"/>
        </patternFill>
      </fill>
    </ndxf>
  </rcc>
  <rcc rId="950" sId="1" numFmtId="34">
    <nc r="M34">
      <v>2114</v>
    </nc>
  </rcc>
  <rcc rId="951" sId="1">
    <nc r="N34">
      <f>3000+2500.6</f>
    </nc>
  </rcc>
  <rcc rId="952" sId="1">
    <nc r="O34">
      <f>11+10</f>
    </nc>
  </rcc>
  <rcc rId="953" sId="1">
    <nc r="Q34">
      <f>+P34+O34</f>
    </nc>
  </rcc>
  <rcc rId="954" sId="1">
    <nc r="R34">
      <f>(N34/Q34)</f>
    </nc>
  </rcc>
  <rcc rId="955" sId="1">
    <nc r="S34">
      <f>(('Costo por negocio'!$B$2-DATA!R34)*DATA!O34)+('Costo por negocio'!$C$2-DATA!R34)*DATA!P34</f>
    </nc>
  </rcc>
  <rcc rId="956" sId="1" numFmtId="19">
    <nc r="T34">
      <v>46056</v>
    </nc>
  </rcc>
  <rcc rId="957" sId="1">
    <nc r="U34" t="inlineStr">
      <is>
        <t>SI</t>
      </is>
    </nc>
  </rcc>
  <rcc rId="958" sId="1">
    <nc r="V34" t="inlineStr">
      <is>
        <t>SI</t>
      </is>
    </nc>
  </rcc>
  <rcc rId="959" sId="1">
    <nc r="W34" t="inlineStr">
      <is>
        <t>SI</t>
      </is>
    </nc>
  </rcc>
  <rcc rId="960" sId="1">
    <nc r="Y34" t="inlineStr">
      <is>
        <t>SCL 8868</t>
      </is>
    </nc>
  </rcc>
  <rfmt sheetId="1" sqref="A34:AK34">
    <dxf>
      <fill>
        <patternFill>
          <bgColor rgb="FF92D050"/>
        </patternFill>
      </fill>
    </dxf>
  </rfmt>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62" sId="1">
    <oc r="M33">
      <f>+N33-H33</f>
    </oc>
    <nc r="M33">
      <f>+N33-H33</f>
    </nc>
  </rcc>
  <rcc rId="963" sId="1" numFmtId="34">
    <oc r="M34">
      <v>2114</v>
    </oc>
    <nc r="M34">
      <f>+N34-H34</f>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65" sId="1">
    <nc r="N21">
      <f>2000+2000+756.1</f>
    </nc>
  </rcc>
  <rcc rId="966" sId="1" numFmtId="34">
    <nc r="O21">
      <v>11</v>
    </nc>
  </rcc>
  <rcc rId="967" sId="1" numFmtId="19">
    <nc r="T21">
      <v>46056</v>
    </nc>
  </rcc>
  <rcc rId="968" sId="1" odxf="1" dxf="1">
    <nc r="U21" t="inlineStr">
      <is>
        <t>SI</t>
      </is>
    </nc>
    <odxf>
      <fill>
        <patternFill patternType="none">
          <bgColor indexed="65"/>
        </patternFill>
      </fill>
    </odxf>
    <ndxf>
      <fill>
        <patternFill patternType="solid">
          <bgColor rgb="FF92D050"/>
        </patternFill>
      </fill>
    </ndxf>
  </rcc>
  <rcc rId="969" sId="1" odxf="1" dxf="1">
    <nc r="V21" t="inlineStr">
      <is>
        <t>SI</t>
      </is>
    </nc>
    <odxf>
      <fill>
        <patternFill patternType="none">
          <bgColor indexed="65"/>
        </patternFill>
      </fill>
    </odxf>
    <ndxf>
      <fill>
        <patternFill patternType="solid">
          <bgColor rgb="FF92D050"/>
        </patternFill>
      </fill>
    </ndxf>
  </rcc>
  <rcc rId="970" sId="1" odxf="1" dxf="1">
    <nc r="W21" t="inlineStr">
      <is>
        <t>SI</t>
      </is>
    </nc>
    <odxf>
      <fill>
        <patternFill patternType="none">
          <bgColor indexed="65"/>
        </patternFill>
      </fill>
    </odxf>
    <ndxf>
      <fill>
        <patternFill patternType="solid">
          <bgColor rgb="FF92D050"/>
        </patternFill>
      </fill>
    </ndxf>
  </rcc>
  <rcc rId="971" sId="1">
    <nc r="Y21" t="inlineStr">
      <is>
        <t>BEB 8412</t>
      </is>
    </nc>
  </rcc>
  <rcc rId="972" sId="1" numFmtId="34">
    <nc r="AD21">
      <v>107721</v>
    </nc>
  </rcc>
  <rfmt sheetId="1" sqref="A21:AK21">
    <dxf>
      <fill>
        <patternFill>
          <bgColor rgb="FFFFFF00"/>
        </patternFill>
      </fill>
    </dxf>
  </rfmt>
  <rcc rId="973" sId="1" numFmtId="34">
    <nc r="AF21">
      <v>108502</v>
    </nc>
  </rcc>
  <rcc rId="974" sId="1">
    <nc r="AI21">
      <v>3</v>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6" sId="1">
    <nc r="B35" t="inlineStr">
      <is>
        <t>Claudia Parrilla</t>
      </is>
    </nc>
  </rcc>
  <rcc rId="977" sId="1">
    <nc r="C35">
      <v>2005</v>
    </nc>
  </rcc>
  <rcc rId="978" sId="1">
    <nc r="D35">
      <v>3</v>
    </nc>
  </rcc>
  <rcc rId="979" sId="1">
    <nc r="I35">
      <v>15</v>
    </nc>
  </rcc>
  <rcc rId="980" sId="1">
    <nc r="K35" t="inlineStr">
      <is>
        <t>Alquiler</t>
      </is>
    </nc>
  </rcc>
  <rfmt sheetId="1" sqref="A35">
    <dxf>
      <fill>
        <patternFill patternType="solid">
          <bgColor rgb="FFFFFF00"/>
        </patternFill>
      </fill>
    </dxf>
  </rfmt>
  <rcc rId="981" sId="1">
    <nc r="E35" t="inlineStr">
      <is>
        <t>10/02 al 12/02/2026</t>
      </is>
    </nc>
  </rcc>
  <rcc rId="982" sId="1" numFmtId="19">
    <nc r="F35">
      <v>46063</v>
    </nc>
  </rcc>
  <rcc rId="983" sId="1" numFmtId="19">
    <nc r="G35">
      <v>46065</v>
    </nc>
  </rcc>
  <rcc rId="984" sId="1">
    <nc r="J35" t="inlineStr">
      <is>
        <t>Montevideo, Artigas</t>
      </is>
    </nc>
  </rcc>
  <rcc rId="985" sId="1">
    <nc r="H35">
      <f>30*392</f>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7" sId="1" numFmtId="27">
    <nc r="AE21">
      <v>46048.708333333336</v>
    </nc>
  </rcc>
  <rcc rId="988" sId="1" numFmtId="27">
    <nc r="AG21">
      <v>46052.375</v>
    </nc>
  </rcc>
  <rfmt sheetId="1" sqref="A21:AK21">
    <dxf>
      <fill>
        <patternFill>
          <bgColor rgb="FF92D050"/>
        </patternFill>
      </fill>
    </dxf>
  </rfmt>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36" start="0" length="0">
    <dxf>
      <fill>
        <patternFill patternType="solid">
          <bgColor rgb="FFFFFF00"/>
        </patternFill>
      </fill>
    </dxf>
  </rfmt>
  <rcc rId="989" sId="1">
    <nc r="B36" t="inlineStr">
      <is>
        <t>Ricardo Cardona</t>
      </is>
    </nc>
  </rcc>
  <rcc rId="990" sId="1">
    <nc r="C36">
      <v>1512</v>
    </nc>
  </rcc>
  <rcc rId="991" sId="1">
    <nc r="I36">
      <v>15</v>
    </nc>
  </rcc>
  <rcc rId="992" sId="1">
    <nc r="K36" t="inlineStr">
      <is>
        <t>Alquiler</t>
      </is>
    </nc>
  </rcc>
  <rcc rId="993" sId="1">
    <nc r="D36">
      <v>3</v>
    </nc>
  </rcc>
  <rcc rId="994" sId="1">
    <nc r="E36" t="inlineStr">
      <is>
        <t>10/02 al 12/02/2026</t>
      </is>
    </nc>
  </rcc>
  <rcc rId="995" sId="1" numFmtId="19">
    <nc r="F36">
      <v>46063</v>
    </nc>
  </rcc>
  <rcc rId="996" sId="1" numFmtId="19">
    <nc r="G36">
      <v>46065</v>
    </nc>
  </rcc>
  <rcc rId="997" sId="1" numFmtId="34">
    <nc r="H36">
      <v>6000</v>
    </nc>
  </rcc>
  <rcc rId="998" sId="1">
    <nc r="J36" t="inlineStr">
      <is>
        <t>Montevideo, Flores, Durazno</t>
      </is>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37" start="0" length="0">
    <dxf>
      <fill>
        <patternFill patternType="solid">
          <bgColor rgb="FFFFFF00"/>
        </patternFill>
      </fill>
    </dxf>
  </rfmt>
  <rcc rId="1000" sId="1">
    <nc r="B37" t="inlineStr">
      <is>
        <t>Fernando López</t>
      </is>
    </nc>
  </rcc>
  <rcc rId="1001" sId="1">
    <nc r="C37">
      <v>3117</v>
    </nc>
  </rcc>
  <rcc rId="1002" sId="1">
    <nc r="J37" t="inlineStr">
      <is>
        <t>Montevideo</t>
      </is>
    </nc>
  </rcc>
  <rcc rId="1003" sId="1">
    <nc r="K37" t="inlineStr">
      <is>
        <t>Alquiler</t>
      </is>
    </nc>
  </rcc>
  <rcc rId="1004" sId="1">
    <nc r="D37">
      <v>3</v>
    </nc>
  </rcc>
  <rcc rId="1005" sId="1">
    <nc r="E37" t="inlineStr">
      <is>
        <t>10/02 al 12/02/2026</t>
      </is>
    </nc>
  </rcc>
  <rcc rId="1006" sId="1" numFmtId="19">
    <nc r="F37">
      <v>46063</v>
    </nc>
  </rcc>
  <rcc rId="1007" sId="1" numFmtId="19">
    <nc r="G37">
      <v>46065</v>
    </nc>
  </rcc>
  <rcc rId="1008" sId="1" numFmtId="34">
    <nc r="H37">
      <v>3000</v>
    </nc>
  </rcc>
  <rcc rId="1009" sId="1">
    <nc r="I37">
      <v>15</v>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1" sId="1">
    <nc r="B38" t="inlineStr">
      <is>
        <t>Ignacio Ceroni</t>
      </is>
    </nc>
  </rcc>
  <rcc rId="1012" sId="1">
    <nc r="C38">
      <v>3007</v>
    </nc>
  </rcc>
  <rcc rId="1013" sId="1">
    <nc r="J38" t="inlineStr">
      <is>
        <t>Montevideo</t>
      </is>
    </nc>
  </rcc>
  <rcc rId="1014" sId="1">
    <nc r="K38" t="inlineStr">
      <is>
        <t>Alquiler</t>
      </is>
    </nc>
  </rcc>
  <rcc rId="1015" sId="1" numFmtId="19">
    <nc r="G38">
      <v>46065</v>
    </nc>
  </rcc>
  <rcc rId="1016" sId="1">
    <nc r="D38">
      <v>4</v>
    </nc>
  </rcc>
  <rcc rId="1017" sId="1">
    <nc r="E38" t="inlineStr">
      <is>
        <t>09/02 al 12/02/2026</t>
      </is>
    </nc>
  </rcc>
  <rcc rId="1018" sId="1" numFmtId="19">
    <nc r="F38">
      <v>46062</v>
    </nc>
  </rcc>
  <rcc rId="1019" sId="1" numFmtId="34">
    <nc r="H38">
      <v>3000</v>
    </nc>
  </rcc>
  <rcc rId="1020" sId="1">
    <nc r="I38">
      <v>20</v>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38" start="0" length="0">
    <dxf>
      <fill>
        <patternFill patternType="solid">
          <bgColor rgb="FFFFFF00"/>
        </patternFill>
      </fill>
    </dxf>
  </rfmt>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3" sId="1">
    <nc r="B39" t="inlineStr">
      <is>
        <t>Fernando López</t>
      </is>
    </nc>
  </rcc>
  <rcc rId="1024" sId="1">
    <nc r="C39">
      <v>3117</v>
    </nc>
  </rcc>
  <rcc rId="1025" sId="1">
    <nc r="J39" t="inlineStr">
      <is>
        <t>Montevideo</t>
      </is>
    </nc>
  </rcc>
  <rcc rId="1026" sId="1">
    <nc r="K39" t="inlineStr">
      <is>
        <t>Propio</t>
      </is>
    </nc>
  </rcc>
  <rcc rId="1027" sId="1" numFmtId="34">
    <nc r="H39">
      <v>2500</v>
    </nc>
  </rcc>
  <rcc rId="1028" sId="1">
    <nc r="E39" t="inlineStr">
      <is>
        <t>01/02 al 11/02/2026</t>
      </is>
    </nc>
  </rcc>
  <rcc rId="1029" sId="1" numFmtId="19">
    <nc r="F39">
      <v>46054</v>
    </nc>
  </rcc>
  <rcc rId="1030" sId="1" numFmtId="19">
    <nc r="G39">
      <v>46064</v>
    </nc>
  </rcc>
  <rcc rId="1031" sId="1">
    <nc r="D39">
      <v>8</v>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39" start="0" length="0">
    <dxf>
      <fill>
        <patternFill patternType="solid">
          <bgColor rgb="FFFFFF00"/>
        </patternFill>
      </fill>
    </dxf>
  </rfmt>
  <rfmt sheetId="1" sqref="A40" start="0" length="0">
    <dxf>
      <fill>
        <patternFill patternType="solid">
          <bgColor rgb="FFFFFF00"/>
        </patternFill>
      </fill>
    </dxf>
  </rfmt>
  <rcc rId="1033" sId="1">
    <nc r="B40" t="inlineStr">
      <is>
        <t>Luis Amicone</t>
      </is>
    </nc>
  </rcc>
  <rcc rId="1034" sId="1">
    <nc r="C40">
      <v>3075</v>
    </nc>
  </rcc>
  <rcc rId="1035" sId="1">
    <nc r="J40" t="inlineStr">
      <is>
        <t>Montevideo, Tacuarembo</t>
      </is>
    </nc>
  </rcc>
  <rrc rId="1036" sId="1" ref="A39:XFD39" action="insertRow"/>
  <rm rId="1037" sheetId="1" source="A41:XFD41" destination="A39:XFD39" sourceSheetId="1">
    <rfmt sheetId="1" xfDxf="1" sqref="A39:XFD39" start="0" length="0">
      <dxf>
        <font>
          <name val="Calibri"/>
          <scheme val="none"/>
        </font>
      </dxf>
    </rfmt>
    <rfmt sheetId="1" sqref="A39" start="0" length="0">
      <dxf>
        <fill>
          <patternFill patternType="solid">
            <bgColor rgb="FFFFFF00"/>
          </patternFill>
        </fill>
        <alignment horizontal="center" vertical="top" readingOrder="0"/>
        <border outline="0">
          <left style="thin">
            <color indexed="64"/>
          </left>
          <right style="thin">
            <color indexed="64"/>
          </right>
          <top style="thin">
            <color indexed="64"/>
          </top>
          <bottom style="thin">
            <color indexed="64"/>
          </bottom>
        </border>
      </dxf>
    </rfmt>
    <rfmt sheetId="1" sqref="B39" start="0" length="0">
      <dxf>
        <border outline="0">
          <left style="thin">
            <color indexed="64"/>
          </left>
          <right style="thin">
            <color indexed="64"/>
          </right>
          <top style="thin">
            <color indexed="64"/>
          </top>
          <bottom style="thin">
            <color indexed="64"/>
          </bottom>
        </border>
      </dxf>
    </rfmt>
    <rfmt sheetId="1" sqref="C39" start="0" length="0">
      <dxf>
        <border outline="0">
          <left style="thin">
            <color indexed="64"/>
          </left>
          <right style="thin">
            <color indexed="64"/>
          </right>
          <top style="thin">
            <color indexed="64"/>
          </top>
          <bottom style="thin">
            <color indexed="64"/>
          </bottom>
        </border>
      </dxf>
    </rfmt>
    <rfmt sheetId="1" sqref="D39" start="0" length="0">
      <dxf>
        <border outline="0">
          <left style="thin">
            <color indexed="64"/>
          </left>
          <right style="thin">
            <color indexed="64"/>
          </right>
          <top style="thin">
            <color indexed="64"/>
          </top>
          <bottom style="thin">
            <color indexed="64"/>
          </bottom>
        </border>
      </dxf>
    </rfmt>
    <rfmt sheetId="1" sqref="E39" start="0" length="0">
      <dxf>
        <border outline="0">
          <left style="thin">
            <color indexed="64"/>
          </left>
          <right style="thin">
            <color indexed="64"/>
          </right>
          <top style="thin">
            <color indexed="64"/>
          </top>
          <bottom style="thin">
            <color indexed="64"/>
          </bottom>
        </border>
      </dxf>
    </rfmt>
    <rfmt sheetId="1" sqref="F39" start="0" length="0">
      <dxf>
        <numFmt numFmtId="19" formatCode="dd/mm/yyyy"/>
        <border outline="0">
          <left style="thin">
            <color indexed="64"/>
          </left>
          <right style="thin">
            <color indexed="64"/>
          </right>
          <top style="thin">
            <color indexed="64"/>
          </top>
          <bottom style="thin">
            <color indexed="64"/>
          </bottom>
        </border>
      </dxf>
    </rfmt>
    <rfmt sheetId="1" sqref="G39" start="0" length="0">
      <dxf>
        <numFmt numFmtId="19" formatCode="dd/mm/yyyy"/>
        <border outline="0">
          <left style="thin">
            <color indexed="64"/>
          </left>
          <right style="thin">
            <color indexed="64"/>
          </right>
          <top style="thin">
            <color indexed="64"/>
          </top>
          <bottom style="thin">
            <color indexed="64"/>
          </bottom>
        </border>
      </dxf>
    </rfmt>
    <rfmt sheetId="1" sqref="H39" start="0" length="0">
      <dxf>
        <numFmt numFmtId="164" formatCode="_-* #,##0_-;\-* #,##0_-;_-* &quot;-&quot;??_-;_-@_-"/>
        <border outline="0">
          <left style="thin">
            <color indexed="64"/>
          </left>
          <right style="thin">
            <color indexed="64"/>
          </right>
          <top style="thin">
            <color indexed="64"/>
          </top>
          <bottom style="thin">
            <color indexed="64"/>
          </bottom>
        </border>
      </dxf>
    </rfmt>
    <rfmt sheetId="1" sqref="I39" start="0" length="0">
      <dxf>
        <border outline="0">
          <left style="thin">
            <color indexed="64"/>
          </left>
          <right style="thin">
            <color indexed="64"/>
          </right>
          <top style="thin">
            <color indexed="64"/>
          </top>
          <bottom style="thin">
            <color indexed="64"/>
          </bottom>
        </border>
      </dxf>
    </rfmt>
    <rfmt sheetId="1" sqref="J39" start="0" length="0">
      <dxf>
        <border outline="0">
          <left style="thin">
            <color indexed="64"/>
          </left>
          <right style="thin">
            <color indexed="64"/>
          </right>
          <top style="thin">
            <color indexed="64"/>
          </top>
          <bottom style="thin">
            <color indexed="64"/>
          </bottom>
        </border>
      </dxf>
    </rfmt>
    <rfmt sheetId="1" sqref="K39" start="0" length="0">
      <dxf>
        <border outline="0">
          <left style="thin">
            <color indexed="64"/>
          </left>
          <right style="thin">
            <color indexed="64"/>
          </right>
          <top style="thin">
            <color indexed="64"/>
          </top>
          <bottom style="thin">
            <color indexed="64"/>
          </bottom>
        </border>
      </dxf>
    </rfmt>
    <rfmt sheetId="1" sqref="L39" start="0" length="0">
      <dxf>
        <border outline="0">
          <left style="thin">
            <color indexed="64"/>
          </left>
          <right style="thin">
            <color indexed="64"/>
          </right>
          <top style="thin">
            <color indexed="64"/>
          </top>
          <bottom style="thin">
            <color indexed="64"/>
          </bottom>
        </border>
      </dxf>
    </rfmt>
    <rfmt sheetId="1" sqref="M39" start="0" length="0">
      <dxf>
        <numFmt numFmtId="35" formatCode="_-* #,##0.00_-;\-* #,##0.00_-;_-* &quot;-&quot;??_-;_-@_-"/>
        <border outline="0">
          <left style="thin">
            <color indexed="64"/>
          </left>
          <right style="thin">
            <color indexed="64"/>
          </right>
          <top style="thin">
            <color indexed="64"/>
          </top>
          <bottom style="thin">
            <color indexed="64"/>
          </bottom>
        </border>
      </dxf>
    </rfmt>
    <rfmt sheetId="1" sqref="N39" start="0" length="0">
      <dxf>
        <numFmt numFmtId="35" formatCode="_-* #,##0.00_-;\-* #,##0.00_-;_-* &quot;-&quot;??_-;_-@_-"/>
        <border outline="0">
          <left style="thin">
            <color indexed="64"/>
          </left>
          <right style="thin">
            <color indexed="64"/>
          </right>
          <top style="thin">
            <color indexed="64"/>
          </top>
          <bottom style="thin">
            <color indexed="64"/>
          </bottom>
        </border>
      </dxf>
    </rfmt>
    <rfmt sheetId="1" sqref="O39" start="0" length="0">
      <dxf>
        <numFmt numFmtId="164" formatCode="_-* #,##0_-;\-* #,##0_-;_-* &quot;-&quot;??_-;_-@_-"/>
        <border outline="0">
          <left style="thin">
            <color indexed="64"/>
          </left>
          <right style="thin">
            <color indexed="64"/>
          </right>
          <top style="thin">
            <color indexed="64"/>
          </top>
          <bottom style="thin">
            <color indexed="64"/>
          </bottom>
        </border>
      </dxf>
    </rfmt>
    <rfmt sheetId="1" sqref="P39" start="0" length="0">
      <dxf>
        <numFmt numFmtId="164" formatCode="_-* #,##0_-;\-* #,##0_-;_-* &quot;-&quot;??_-;_-@_-"/>
        <border outline="0">
          <left style="thin">
            <color indexed="64"/>
          </left>
          <right style="thin">
            <color indexed="64"/>
          </right>
          <top style="thin">
            <color indexed="64"/>
          </top>
          <bottom style="thin">
            <color indexed="64"/>
          </bottom>
        </border>
      </dxf>
    </rfmt>
    <rfmt sheetId="1" sqref="Q39" start="0" length="0">
      <dxf>
        <numFmt numFmtId="164" formatCode="_-* #,##0_-;\-* #,##0_-;_-* &quot;-&quot;??_-;_-@_-"/>
        <border outline="0">
          <left style="thin">
            <color indexed="64"/>
          </left>
          <right style="thin">
            <color indexed="64"/>
          </right>
          <top style="thin">
            <color indexed="64"/>
          </top>
          <bottom style="thin">
            <color indexed="64"/>
          </bottom>
        </border>
      </dxf>
    </rfmt>
    <rfmt sheetId="1" sqref="R39" start="0" length="0">
      <dxf>
        <numFmt numFmtId="35" formatCode="_-* #,##0.00_-;\-* #,##0.00_-;_-* &quot;-&quot;??_-;_-@_-"/>
        <border outline="0">
          <left style="thin">
            <color indexed="64"/>
          </left>
          <right style="thin">
            <color indexed="64"/>
          </right>
          <top style="thin">
            <color indexed="64"/>
          </top>
          <bottom style="thin">
            <color indexed="64"/>
          </bottom>
        </border>
      </dxf>
    </rfmt>
    <rfmt sheetId="1" sqref="S39" start="0" length="0">
      <dxf>
        <numFmt numFmtId="35" formatCode="_-* #,##0.00_-;\-* #,##0.00_-;_-* &quot;-&quot;??_-;_-@_-"/>
        <border outline="0">
          <left style="thin">
            <color indexed="64"/>
          </left>
          <right style="thin">
            <color indexed="64"/>
          </right>
          <top style="thin">
            <color indexed="64"/>
          </top>
          <bottom style="thin">
            <color indexed="64"/>
          </bottom>
        </border>
      </dxf>
    </rfmt>
    <rfmt sheetId="1" sqref="T39" start="0" length="0">
      <dxf>
        <numFmt numFmtId="19" formatCode="dd/mm/yyyy"/>
        <border outline="0">
          <left style="thin">
            <color indexed="64"/>
          </left>
          <right style="thin">
            <color indexed="64"/>
          </right>
          <top style="thin">
            <color indexed="64"/>
          </top>
          <bottom style="thin">
            <color indexed="64"/>
          </bottom>
        </border>
      </dxf>
    </rfmt>
    <rfmt sheetId="1" sqref="U39" start="0" length="0">
      <dxf>
        <border outline="0">
          <left style="thin">
            <color indexed="64"/>
          </left>
          <right style="thin">
            <color indexed="64"/>
          </right>
          <top style="thin">
            <color indexed="64"/>
          </top>
          <bottom style="thin">
            <color indexed="64"/>
          </bottom>
        </border>
      </dxf>
    </rfmt>
    <rfmt sheetId="1" sqref="V39" start="0" length="0">
      <dxf>
        <border outline="0">
          <left style="thin">
            <color indexed="64"/>
          </left>
          <right style="thin">
            <color indexed="64"/>
          </right>
          <top style="thin">
            <color indexed="64"/>
          </top>
          <bottom style="thin">
            <color indexed="64"/>
          </bottom>
        </border>
      </dxf>
    </rfmt>
    <rfmt sheetId="1" sqref="W39" start="0" length="0">
      <dxf>
        <border outline="0">
          <left style="thin">
            <color indexed="64"/>
          </left>
          <right style="thin">
            <color indexed="64"/>
          </right>
          <top style="thin">
            <color indexed="64"/>
          </top>
          <bottom style="thin">
            <color indexed="64"/>
          </bottom>
        </border>
      </dxf>
    </rfmt>
    <rfmt sheetId="1" sqref="X39" start="0" length="0">
      <dxf>
        <border outline="0">
          <left style="thin">
            <color indexed="64"/>
          </left>
          <right style="thin">
            <color indexed="64"/>
          </right>
          <top style="thin">
            <color indexed="64"/>
          </top>
          <bottom style="thin">
            <color indexed="64"/>
          </bottom>
        </border>
      </dxf>
    </rfmt>
    <rfmt sheetId="1" sqref="Y39" start="0" length="0">
      <dxf>
        <border outline="0">
          <left style="thin">
            <color indexed="64"/>
          </left>
          <right style="thin">
            <color indexed="64"/>
          </right>
          <top style="thin">
            <color indexed="64"/>
          </top>
          <bottom style="thin">
            <color indexed="64"/>
          </bottom>
        </border>
      </dxf>
    </rfmt>
    <rfmt sheetId="1" sqref="Z39" start="0" length="0">
      <dxf>
        <border outline="0">
          <left style="thin">
            <color indexed="64"/>
          </left>
          <right style="thin">
            <color indexed="64"/>
          </right>
          <top style="thin">
            <color indexed="64"/>
          </top>
          <bottom style="thin">
            <color indexed="64"/>
          </bottom>
        </border>
      </dxf>
    </rfmt>
    <rfmt sheetId="1" sqref="AA39" start="0" length="0">
      <dxf>
        <border outline="0">
          <left style="thin">
            <color indexed="64"/>
          </left>
          <right style="thin">
            <color indexed="64"/>
          </right>
          <top style="thin">
            <color indexed="64"/>
          </top>
          <bottom style="thin">
            <color indexed="64"/>
          </bottom>
        </border>
      </dxf>
    </rfmt>
    <rfmt sheetId="1" sqref="AB39" start="0" length="0">
      <dxf>
        <border outline="0">
          <left style="thin">
            <color indexed="64"/>
          </left>
          <right style="thin">
            <color indexed="64"/>
          </right>
          <top style="thin">
            <color indexed="64"/>
          </top>
          <bottom style="thin">
            <color indexed="64"/>
          </bottom>
        </border>
      </dxf>
    </rfmt>
    <rfmt sheetId="1" sqref="AC39" start="0" length="0">
      <dxf>
        <border outline="0">
          <left style="thin">
            <color indexed="64"/>
          </left>
          <right style="thin">
            <color indexed="64"/>
          </right>
          <top style="thin">
            <color indexed="64"/>
          </top>
          <bottom style="thin">
            <color indexed="64"/>
          </bottom>
        </border>
      </dxf>
    </rfmt>
    <rfmt sheetId="1" sqref="AD39" start="0" length="0">
      <dxf>
        <numFmt numFmtId="164" formatCode="_-* #,##0_-;\-* #,##0_-;_-* &quot;-&quot;??_-;_-@_-"/>
        <border outline="0">
          <left style="thin">
            <color indexed="64"/>
          </left>
          <right style="thin">
            <color indexed="64"/>
          </right>
          <top style="thin">
            <color indexed="64"/>
          </top>
          <bottom style="thin">
            <color indexed="64"/>
          </bottom>
        </border>
      </dxf>
    </rfmt>
    <rfmt sheetId="1" sqref="AE39" start="0" length="0">
      <dxf>
        <numFmt numFmtId="27" formatCode="dd/mm/yyyy\ h:mm"/>
        <border outline="0">
          <left style="thin">
            <color indexed="64"/>
          </left>
          <right style="thin">
            <color indexed="64"/>
          </right>
          <top style="thin">
            <color indexed="64"/>
          </top>
          <bottom style="thin">
            <color indexed="64"/>
          </bottom>
        </border>
      </dxf>
    </rfmt>
    <rfmt sheetId="1" sqref="AF39" start="0" length="0">
      <dxf>
        <numFmt numFmtId="164" formatCode="_-* #,##0_-;\-* #,##0_-;_-* &quot;-&quot;??_-;_-@_-"/>
        <border outline="0">
          <left style="thin">
            <color indexed="64"/>
          </left>
          <right style="thin">
            <color indexed="64"/>
          </right>
          <top style="thin">
            <color indexed="64"/>
          </top>
          <bottom style="thin">
            <color indexed="64"/>
          </bottom>
        </border>
      </dxf>
    </rfmt>
    <rfmt sheetId="1" sqref="AG39" start="0" length="0">
      <dxf>
        <numFmt numFmtId="27" formatCode="dd/mm/yyyy\ h:mm"/>
        <border outline="0">
          <left style="thin">
            <color indexed="64"/>
          </left>
          <right style="thin">
            <color indexed="64"/>
          </right>
          <top style="thin">
            <color indexed="64"/>
          </top>
          <bottom style="thin">
            <color indexed="64"/>
          </bottom>
        </border>
      </dxf>
    </rfmt>
    <rfmt sheetId="1" sqref="AH39" start="0" length="0">
      <dxf>
        <numFmt numFmtId="164" formatCode="_-* #,##0_-;\-* #,##0_-;_-* &quot;-&quot;??_-;_-@_-"/>
        <border outline="0">
          <left style="thin">
            <color indexed="64"/>
          </left>
          <right style="thin">
            <color indexed="64"/>
          </right>
          <top style="thin">
            <color indexed="64"/>
          </top>
          <bottom style="thin">
            <color indexed="64"/>
          </bottom>
        </border>
      </dxf>
    </rfmt>
    <rfmt sheetId="1" sqref="AI39" start="0" length="0">
      <dxf>
        <border outline="0">
          <left style="thin">
            <color indexed="64"/>
          </left>
          <right style="thin">
            <color indexed="64"/>
          </right>
          <top style="thin">
            <color indexed="64"/>
          </top>
          <bottom style="thin">
            <color indexed="64"/>
          </bottom>
        </border>
      </dxf>
    </rfmt>
    <rfmt sheetId="1" sqref="AJ39" start="0" length="0">
      <dxf>
        <border outline="0">
          <left style="thin">
            <color indexed="64"/>
          </left>
          <right style="thin">
            <color indexed="64"/>
          </right>
          <top style="thin">
            <color indexed="64"/>
          </top>
          <bottom style="thin">
            <color indexed="64"/>
          </bottom>
        </border>
      </dxf>
    </rfmt>
    <rfmt sheetId="1" sqref="AK39" start="0" length="0">
      <dxf>
        <border outline="0">
          <left style="thin">
            <color indexed="64"/>
          </left>
          <right style="thin">
            <color indexed="64"/>
          </right>
          <top style="thin">
            <color indexed="64"/>
          </top>
          <bottom style="thin">
            <color indexed="64"/>
          </bottom>
        </border>
      </dxf>
    </rfmt>
    <rfmt sheetId="1" sqref="AL39" start="0" length="0">
      <dxf/>
    </rfmt>
    <rfmt sheetId="1" sqref="AM39" start="0" length="0">
      <dxf>
        <numFmt numFmtId="1" formatCode="0"/>
      </dxf>
    </rfmt>
    <rfmt sheetId="1" sqref="AN39" start="0" length="0">
      <dxf>
        <numFmt numFmtId="1" formatCode="0"/>
      </dxf>
    </rfmt>
    <rfmt sheetId="1" sqref="AO39" start="0" length="0">
      <dxf/>
    </rfmt>
    <rfmt sheetId="1" sqref="AP39" start="0" length="0">
      <dxf/>
    </rfmt>
    <rfmt sheetId="1" sqref="AQ39" start="0" length="0">
      <dxf>
        <numFmt numFmtId="164" formatCode="_-* #,##0_-;\-* #,##0_-;_-* &quot;-&quot;??_-;_-@_-"/>
      </dxf>
    </rfmt>
    <rfmt sheetId="1" sqref="AR39" start="0" length="0">
      <dxf>
        <numFmt numFmtId="164" formatCode="_-* #,##0_-;\-* #,##0_-;_-* &quot;-&quot;??_-;_-@_-"/>
      </dxf>
    </rfmt>
    <rfmt sheetId="1" sqref="AS39" start="0" length="0">
      <dxf>
        <numFmt numFmtId="164" formatCode="_-* #,##0_-;\-* #,##0_-;_-* &quot;-&quot;??_-;_-@_-"/>
      </dxf>
    </rfmt>
    <rfmt sheetId="1" sqref="AT39" start="0" length="0">
      <dxf>
        <numFmt numFmtId="164" formatCode="_-* #,##0_-;\-* #,##0_-;_-* &quot;-&quot;??_-;_-@_-"/>
      </dxf>
    </rfmt>
    <rfmt sheetId="1" sqref="AU39" start="0" length="0">
      <dxf/>
    </rfmt>
    <rfmt sheetId="1" sqref="AV39" start="0" length="0">
      <dxf/>
    </rfmt>
    <rfmt sheetId="1" sqref="AW39" start="0" length="0">
      <dxf/>
    </rfmt>
    <rfmt sheetId="1" sqref="AX39" start="0" length="0">
      <dxf/>
    </rfmt>
    <rfmt sheetId="1" sqref="AY39" start="0" length="0">
      <dxf/>
    </rfmt>
  </rm>
  <rrc rId="1038" sId="1" ref="A41:XFD41" action="deleteRow">
    <rfmt sheetId="1" xfDxf="1" sqref="A41:XFD41" start="0" length="0"/>
    <rfmt sheetId="1" sqref="A41" start="0" length="0">
      <dxf>
        <alignment horizontal="center" vertical="top" readingOrder="0"/>
      </dxf>
    </rfmt>
    <rfmt sheetId="1" sqref="M41" start="0" length="0">
      <dxf>
        <numFmt numFmtId="35" formatCode="_-* #,##0.00_-;\-* #,##0.00_-;_-* &quot;-&quot;??_-;_-@_-"/>
      </dxf>
    </rfmt>
    <rfmt sheetId="1" sqref="N41" start="0" length="0">
      <dxf>
        <numFmt numFmtId="35" formatCode="_-* #,##0.00_-;\-* #,##0.00_-;_-* &quot;-&quot;??_-;_-@_-"/>
      </dxf>
    </rfmt>
    <rfmt sheetId="1" sqref="R41" start="0" length="0">
      <dxf>
        <numFmt numFmtId="35" formatCode="_-* #,##0.00_-;\-* #,##0.00_-;_-* &quot;-&quot;??_-;_-@_-"/>
      </dxf>
    </rfmt>
    <rfmt sheetId="1" sqref="S41" start="0" length="0">
      <dxf>
        <numFmt numFmtId="35" formatCode="_-* #,##0.00_-;\-* #,##0.00_-;_-* &quot;-&quot;??_-;_-@_-"/>
      </dxf>
    </rfmt>
  </rrc>
  <rcc rId="1039" sId="1">
    <nc r="K39" t="inlineStr">
      <is>
        <t>Alquiler</t>
      </is>
    </nc>
  </rcc>
  <rcc rId="1040" sId="1">
    <nc r="D39">
      <v>3</v>
    </nc>
  </rcc>
  <rcc rId="1041" sId="1">
    <nc r="E39" t="inlineStr">
      <is>
        <t>10/02 al 12/02/2026</t>
      </is>
    </nc>
  </rcc>
  <rcc rId="1042" sId="1" numFmtId="19">
    <nc r="F39">
      <v>46063</v>
    </nc>
  </rcc>
  <rcc rId="1043" sId="1" numFmtId="19">
    <nc r="G39">
      <v>46065</v>
    </nc>
  </rcc>
  <rcc rId="1044" sId="1" numFmtId="34">
    <nc r="H39">
      <v>8000</v>
    </nc>
  </rcc>
  <rcc rId="1045" sId="1">
    <nc r="I39">
      <v>15</v>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41" start="0" length="0">
    <dxf>
      <fill>
        <patternFill patternType="solid">
          <bgColor rgb="FFFFFF00"/>
        </patternFill>
      </fill>
    </dxf>
  </rfmt>
  <rcc rId="1047" sId="1">
    <nc r="B41" t="inlineStr">
      <is>
        <t>Lorena Cabrera</t>
      </is>
    </nc>
  </rcc>
  <rcc rId="1048" sId="1">
    <nc r="C41">
      <v>1618</v>
    </nc>
  </rcc>
  <rcc rId="1049" sId="1" numFmtId="34">
    <nc r="H41">
      <v>4500</v>
    </nc>
  </rcc>
  <rcc rId="1050" sId="1">
    <nc r="I41">
      <v>15</v>
    </nc>
  </rcc>
  <rcc rId="1051" sId="1">
    <nc r="K41" t="inlineStr">
      <is>
        <t>Alquiler</t>
      </is>
    </nc>
  </rcc>
  <rcc rId="1052" sId="1">
    <nc r="J41" t="inlineStr">
      <is>
        <t>Canelones, Maldonado, Lavalleja</t>
      </is>
    </nc>
  </rcc>
  <rcc rId="1053" sId="1">
    <nc r="D41">
      <v>3</v>
    </nc>
  </rcc>
  <rcc rId="1054" sId="1">
    <nc r="E41" t="inlineStr">
      <is>
        <t>10/02 al 12/02/2026</t>
      </is>
    </nc>
  </rcc>
  <rcc rId="1055" sId="1" numFmtId="19">
    <nc r="F41">
      <v>46063</v>
    </nc>
  </rcc>
  <rcc rId="1056" sId="1" numFmtId="19">
    <nc r="G41">
      <v>46065</v>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8" sId="1">
    <nc r="A35">
      <v>34</v>
    </nc>
  </rcc>
  <rcc rId="1059" sId="1">
    <nc r="A36">
      <v>35</v>
    </nc>
  </rcc>
  <rcc rId="1060" sId="1">
    <nc r="A37">
      <v>36</v>
    </nc>
  </rcc>
  <rcc rId="1061" sId="1">
    <nc r="A38">
      <v>37</v>
    </nc>
  </rcc>
  <rcc rId="1062" sId="1">
    <nc r="A39">
      <v>38</v>
    </nc>
  </rcc>
  <rfmt sheetId="1" sqref="A35:A41">
    <dxf>
      <fill>
        <patternFill patternType="none">
          <bgColor auto="1"/>
        </patternFill>
      </fill>
    </dxf>
  </rfmt>
  <rrc rId="1063" sId="1" ref="A40:XFD40" action="insertRow"/>
  <rm rId="1064" sheetId="1" source="A42:XFD42" destination="A40:XFD40" sourceSheetId="1">
    <rfmt sheetId="1" xfDxf="1" sqref="A40:XFD40" start="0" length="0">
      <dxf>
        <font>
          <name val="Calibri"/>
          <scheme val="none"/>
        </font>
      </dxf>
    </rfmt>
    <rfmt sheetId="1" sqref="A40" start="0" length="0">
      <dxf>
        <alignment horizontal="center" vertical="top" readingOrder="0"/>
        <border outline="0">
          <left style="thin">
            <color indexed="64"/>
          </left>
          <right style="thin">
            <color indexed="64"/>
          </right>
          <top style="thin">
            <color indexed="64"/>
          </top>
          <bottom style="thin">
            <color indexed="64"/>
          </bottom>
        </border>
      </dxf>
    </rfmt>
    <rfmt sheetId="1" sqref="B40" start="0" length="0">
      <dxf>
        <border outline="0">
          <left style="thin">
            <color indexed="64"/>
          </left>
          <right style="thin">
            <color indexed="64"/>
          </right>
          <top style="thin">
            <color indexed="64"/>
          </top>
          <bottom style="thin">
            <color indexed="64"/>
          </bottom>
        </border>
      </dxf>
    </rfmt>
    <rfmt sheetId="1" sqref="C40" start="0" length="0">
      <dxf>
        <border outline="0">
          <left style="thin">
            <color indexed="64"/>
          </left>
          <right style="thin">
            <color indexed="64"/>
          </right>
          <top style="thin">
            <color indexed="64"/>
          </top>
          <bottom style="thin">
            <color indexed="64"/>
          </bottom>
        </border>
      </dxf>
    </rfmt>
    <rfmt sheetId="1" sqref="D40" start="0" length="0">
      <dxf>
        <border outline="0">
          <left style="thin">
            <color indexed="64"/>
          </left>
          <right style="thin">
            <color indexed="64"/>
          </right>
          <top style="thin">
            <color indexed="64"/>
          </top>
          <bottom style="thin">
            <color indexed="64"/>
          </bottom>
        </border>
      </dxf>
    </rfmt>
    <rfmt sheetId="1" sqref="E40" start="0" length="0">
      <dxf>
        <border outline="0">
          <left style="thin">
            <color indexed="64"/>
          </left>
          <right style="thin">
            <color indexed="64"/>
          </right>
          <top style="thin">
            <color indexed="64"/>
          </top>
          <bottom style="thin">
            <color indexed="64"/>
          </bottom>
        </border>
      </dxf>
    </rfmt>
    <rfmt sheetId="1" sqref="F40" start="0" length="0">
      <dxf>
        <numFmt numFmtId="19" formatCode="dd/mm/yyyy"/>
        <border outline="0">
          <left style="thin">
            <color indexed="64"/>
          </left>
          <right style="thin">
            <color indexed="64"/>
          </right>
          <top style="thin">
            <color indexed="64"/>
          </top>
          <bottom style="thin">
            <color indexed="64"/>
          </bottom>
        </border>
      </dxf>
    </rfmt>
    <rfmt sheetId="1" sqref="G40" start="0" length="0">
      <dxf>
        <numFmt numFmtId="19" formatCode="dd/mm/yyyy"/>
        <border outline="0">
          <left style="thin">
            <color indexed="64"/>
          </left>
          <right style="thin">
            <color indexed="64"/>
          </right>
          <top style="thin">
            <color indexed="64"/>
          </top>
          <bottom style="thin">
            <color indexed="64"/>
          </bottom>
        </border>
      </dxf>
    </rfmt>
    <rfmt sheetId="1" sqref="H40" start="0" length="0">
      <dxf>
        <numFmt numFmtId="164" formatCode="_-* #,##0_-;\-* #,##0_-;_-* &quot;-&quot;??_-;_-@_-"/>
        <border outline="0">
          <left style="thin">
            <color indexed="64"/>
          </left>
          <right style="thin">
            <color indexed="64"/>
          </right>
          <top style="thin">
            <color indexed="64"/>
          </top>
          <bottom style="thin">
            <color indexed="64"/>
          </bottom>
        </border>
      </dxf>
    </rfmt>
    <rfmt sheetId="1" sqref="I40" start="0" length="0">
      <dxf>
        <border outline="0">
          <left style="thin">
            <color indexed="64"/>
          </left>
          <right style="thin">
            <color indexed="64"/>
          </right>
          <top style="thin">
            <color indexed="64"/>
          </top>
          <bottom style="thin">
            <color indexed="64"/>
          </bottom>
        </border>
      </dxf>
    </rfmt>
    <rfmt sheetId="1" sqref="J40" start="0" length="0">
      <dxf>
        <border outline="0">
          <left style="thin">
            <color indexed="64"/>
          </left>
          <right style="thin">
            <color indexed="64"/>
          </right>
          <top style="thin">
            <color indexed="64"/>
          </top>
          <bottom style="thin">
            <color indexed="64"/>
          </bottom>
        </border>
      </dxf>
    </rfmt>
    <rfmt sheetId="1" sqref="K40" start="0" length="0">
      <dxf>
        <border outline="0">
          <left style="thin">
            <color indexed="64"/>
          </left>
          <right style="thin">
            <color indexed="64"/>
          </right>
          <top style="thin">
            <color indexed="64"/>
          </top>
          <bottom style="thin">
            <color indexed="64"/>
          </bottom>
        </border>
      </dxf>
    </rfmt>
    <rfmt sheetId="1" sqref="L40" start="0" length="0">
      <dxf>
        <border outline="0">
          <left style="thin">
            <color indexed="64"/>
          </left>
          <right style="thin">
            <color indexed="64"/>
          </right>
          <top style="thin">
            <color indexed="64"/>
          </top>
          <bottom style="thin">
            <color indexed="64"/>
          </bottom>
        </border>
      </dxf>
    </rfmt>
    <rfmt sheetId="1" sqref="M40" start="0" length="0">
      <dxf>
        <numFmt numFmtId="35" formatCode="_-* #,##0.00_-;\-* #,##0.00_-;_-* &quot;-&quot;??_-;_-@_-"/>
        <border outline="0">
          <left style="thin">
            <color indexed="64"/>
          </left>
          <right style="thin">
            <color indexed="64"/>
          </right>
          <top style="thin">
            <color indexed="64"/>
          </top>
          <bottom style="thin">
            <color indexed="64"/>
          </bottom>
        </border>
      </dxf>
    </rfmt>
    <rfmt sheetId="1" sqref="N40" start="0" length="0">
      <dxf>
        <numFmt numFmtId="35" formatCode="_-* #,##0.00_-;\-* #,##0.00_-;_-* &quot;-&quot;??_-;_-@_-"/>
        <border outline="0">
          <left style="thin">
            <color indexed="64"/>
          </left>
          <right style="thin">
            <color indexed="64"/>
          </right>
          <top style="thin">
            <color indexed="64"/>
          </top>
          <bottom style="thin">
            <color indexed="64"/>
          </bottom>
        </border>
      </dxf>
    </rfmt>
    <rfmt sheetId="1" sqref="O40" start="0" length="0">
      <dxf>
        <numFmt numFmtId="164" formatCode="_-* #,##0_-;\-* #,##0_-;_-* &quot;-&quot;??_-;_-@_-"/>
        <border outline="0">
          <left style="thin">
            <color indexed="64"/>
          </left>
          <right style="thin">
            <color indexed="64"/>
          </right>
          <top style="thin">
            <color indexed="64"/>
          </top>
          <bottom style="thin">
            <color indexed="64"/>
          </bottom>
        </border>
      </dxf>
    </rfmt>
    <rfmt sheetId="1" sqref="P40" start="0" length="0">
      <dxf>
        <numFmt numFmtId="164" formatCode="_-* #,##0_-;\-* #,##0_-;_-* &quot;-&quot;??_-;_-@_-"/>
        <border outline="0">
          <left style="thin">
            <color indexed="64"/>
          </left>
          <right style="thin">
            <color indexed="64"/>
          </right>
          <top style="thin">
            <color indexed="64"/>
          </top>
          <bottom style="thin">
            <color indexed="64"/>
          </bottom>
        </border>
      </dxf>
    </rfmt>
    <rfmt sheetId="1" sqref="Q40" start="0" length="0">
      <dxf>
        <numFmt numFmtId="164" formatCode="_-* #,##0_-;\-* #,##0_-;_-* &quot;-&quot;??_-;_-@_-"/>
        <border outline="0">
          <left style="thin">
            <color indexed="64"/>
          </left>
          <right style="thin">
            <color indexed="64"/>
          </right>
          <top style="thin">
            <color indexed="64"/>
          </top>
          <bottom style="thin">
            <color indexed="64"/>
          </bottom>
        </border>
      </dxf>
    </rfmt>
    <rfmt sheetId="1" sqref="R40" start="0" length="0">
      <dxf>
        <numFmt numFmtId="35" formatCode="_-* #,##0.00_-;\-* #,##0.00_-;_-* &quot;-&quot;??_-;_-@_-"/>
        <border outline="0">
          <left style="thin">
            <color indexed="64"/>
          </left>
          <right style="thin">
            <color indexed="64"/>
          </right>
          <top style="thin">
            <color indexed="64"/>
          </top>
          <bottom style="thin">
            <color indexed="64"/>
          </bottom>
        </border>
      </dxf>
    </rfmt>
    <rfmt sheetId="1" sqref="S40" start="0" length="0">
      <dxf>
        <numFmt numFmtId="35" formatCode="_-* #,##0.00_-;\-* #,##0.00_-;_-* &quot;-&quot;??_-;_-@_-"/>
        <border outline="0">
          <left style="thin">
            <color indexed="64"/>
          </left>
          <right style="thin">
            <color indexed="64"/>
          </right>
          <top style="thin">
            <color indexed="64"/>
          </top>
          <bottom style="thin">
            <color indexed="64"/>
          </bottom>
        </border>
      </dxf>
    </rfmt>
    <rfmt sheetId="1" sqref="T40" start="0" length="0">
      <dxf>
        <numFmt numFmtId="19" formatCode="dd/mm/yyyy"/>
        <border outline="0">
          <left style="thin">
            <color indexed="64"/>
          </left>
          <right style="thin">
            <color indexed="64"/>
          </right>
          <top style="thin">
            <color indexed="64"/>
          </top>
          <bottom style="thin">
            <color indexed="64"/>
          </bottom>
        </border>
      </dxf>
    </rfmt>
    <rfmt sheetId="1" sqref="U40" start="0" length="0">
      <dxf>
        <border outline="0">
          <left style="thin">
            <color indexed="64"/>
          </left>
          <right style="thin">
            <color indexed="64"/>
          </right>
          <top style="thin">
            <color indexed="64"/>
          </top>
          <bottom style="thin">
            <color indexed="64"/>
          </bottom>
        </border>
      </dxf>
    </rfmt>
    <rfmt sheetId="1" sqref="V40" start="0" length="0">
      <dxf>
        <border outline="0">
          <left style="thin">
            <color indexed="64"/>
          </left>
          <right style="thin">
            <color indexed="64"/>
          </right>
          <top style="thin">
            <color indexed="64"/>
          </top>
          <bottom style="thin">
            <color indexed="64"/>
          </bottom>
        </border>
      </dxf>
    </rfmt>
    <rfmt sheetId="1" sqref="W40" start="0" length="0">
      <dxf>
        <border outline="0">
          <left style="thin">
            <color indexed="64"/>
          </left>
          <right style="thin">
            <color indexed="64"/>
          </right>
          <top style="thin">
            <color indexed="64"/>
          </top>
          <bottom style="thin">
            <color indexed="64"/>
          </bottom>
        </border>
      </dxf>
    </rfmt>
    <rfmt sheetId="1" sqref="X40" start="0" length="0">
      <dxf>
        <border outline="0">
          <left style="thin">
            <color indexed="64"/>
          </left>
          <right style="thin">
            <color indexed="64"/>
          </right>
          <top style="thin">
            <color indexed="64"/>
          </top>
          <bottom style="thin">
            <color indexed="64"/>
          </bottom>
        </border>
      </dxf>
    </rfmt>
    <rfmt sheetId="1" sqref="Y40" start="0" length="0">
      <dxf>
        <border outline="0">
          <left style="thin">
            <color indexed="64"/>
          </left>
          <right style="thin">
            <color indexed="64"/>
          </right>
          <top style="thin">
            <color indexed="64"/>
          </top>
          <bottom style="thin">
            <color indexed="64"/>
          </bottom>
        </border>
      </dxf>
    </rfmt>
    <rfmt sheetId="1" sqref="Z40" start="0" length="0">
      <dxf>
        <border outline="0">
          <left style="thin">
            <color indexed="64"/>
          </left>
          <right style="thin">
            <color indexed="64"/>
          </right>
          <top style="thin">
            <color indexed="64"/>
          </top>
          <bottom style="thin">
            <color indexed="64"/>
          </bottom>
        </border>
      </dxf>
    </rfmt>
    <rfmt sheetId="1" sqref="AA40" start="0" length="0">
      <dxf>
        <border outline="0">
          <left style="thin">
            <color indexed="64"/>
          </left>
          <right style="thin">
            <color indexed="64"/>
          </right>
          <top style="thin">
            <color indexed="64"/>
          </top>
          <bottom style="thin">
            <color indexed="64"/>
          </bottom>
        </border>
      </dxf>
    </rfmt>
    <rfmt sheetId="1" sqref="AB40" start="0" length="0">
      <dxf>
        <border outline="0">
          <left style="thin">
            <color indexed="64"/>
          </left>
          <right style="thin">
            <color indexed="64"/>
          </right>
          <top style="thin">
            <color indexed="64"/>
          </top>
          <bottom style="thin">
            <color indexed="64"/>
          </bottom>
        </border>
      </dxf>
    </rfmt>
    <rfmt sheetId="1" sqref="AC40" start="0" length="0">
      <dxf>
        <border outline="0">
          <left style="thin">
            <color indexed="64"/>
          </left>
          <right style="thin">
            <color indexed="64"/>
          </right>
          <top style="thin">
            <color indexed="64"/>
          </top>
          <bottom style="thin">
            <color indexed="64"/>
          </bottom>
        </border>
      </dxf>
    </rfmt>
    <rfmt sheetId="1" sqref="AD40" start="0" length="0">
      <dxf>
        <numFmt numFmtId="164" formatCode="_-* #,##0_-;\-* #,##0_-;_-* &quot;-&quot;??_-;_-@_-"/>
        <border outline="0">
          <left style="thin">
            <color indexed="64"/>
          </left>
          <right style="thin">
            <color indexed="64"/>
          </right>
          <top style="thin">
            <color indexed="64"/>
          </top>
          <bottom style="thin">
            <color indexed="64"/>
          </bottom>
        </border>
      </dxf>
    </rfmt>
    <rfmt sheetId="1" sqref="AE40" start="0" length="0">
      <dxf>
        <numFmt numFmtId="27" formatCode="dd/mm/yyyy\ h:mm"/>
        <border outline="0">
          <left style="thin">
            <color indexed="64"/>
          </left>
          <right style="thin">
            <color indexed="64"/>
          </right>
          <top style="thin">
            <color indexed="64"/>
          </top>
          <bottom style="thin">
            <color indexed="64"/>
          </bottom>
        </border>
      </dxf>
    </rfmt>
    <rfmt sheetId="1" sqref="AF40" start="0" length="0">
      <dxf>
        <numFmt numFmtId="164" formatCode="_-* #,##0_-;\-* #,##0_-;_-* &quot;-&quot;??_-;_-@_-"/>
        <border outline="0">
          <left style="thin">
            <color indexed="64"/>
          </left>
          <right style="thin">
            <color indexed="64"/>
          </right>
          <top style="thin">
            <color indexed="64"/>
          </top>
          <bottom style="thin">
            <color indexed="64"/>
          </bottom>
        </border>
      </dxf>
    </rfmt>
    <rfmt sheetId="1" sqref="AG40" start="0" length="0">
      <dxf>
        <numFmt numFmtId="27" formatCode="dd/mm/yyyy\ h:mm"/>
        <border outline="0">
          <left style="thin">
            <color indexed="64"/>
          </left>
          <right style="thin">
            <color indexed="64"/>
          </right>
          <top style="thin">
            <color indexed="64"/>
          </top>
          <bottom style="thin">
            <color indexed="64"/>
          </bottom>
        </border>
      </dxf>
    </rfmt>
    <rfmt sheetId="1" sqref="AH40" start="0" length="0">
      <dxf>
        <numFmt numFmtId="164" formatCode="_-* #,##0_-;\-* #,##0_-;_-* &quot;-&quot;??_-;_-@_-"/>
        <border outline="0">
          <left style="thin">
            <color indexed="64"/>
          </left>
          <right style="thin">
            <color indexed="64"/>
          </right>
          <top style="thin">
            <color indexed="64"/>
          </top>
          <bottom style="thin">
            <color indexed="64"/>
          </bottom>
        </border>
      </dxf>
    </rfmt>
    <rfmt sheetId="1" sqref="AI40" start="0" length="0">
      <dxf>
        <border outline="0">
          <left style="thin">
            <color indexed="64"/>
          </left>
          <right style="thin">
            <color indexed="64"/>
          </right>
          <top style="thin">
            <color indexed="64"/>
          </top>
          <bottom style="thin">
            <color indexed="64"/>
          </bottom>
        </border>
      </dxf>
    </rfmt>
    <rfmt sheetId="1" sqref="AJ40" start="0" length="0">
      <dxf>
        <border outline="0">
          <left style="thin">
            <color indexed="64"/>
          </left>
          <right style="thin">
            <color indexed="64"/>
          </right>
          <top style="thin">
            <color indexed="64"/>
          </top>
          <bottom style="thin">
            <color indexed="64"/>
          </bottom>
        </border>
      </dxf>
    </rfmt>
    <rfmt sheetId="1" sqref="AK40" start="0" length="0">
      <dxf>
        <border outline="0">
          <left style="thin">
            <color indexed="64"/>
          </left>
          <right style="thin">
            <color indexed="64"/>
          </right>
          <top style="thin">
            <color indexed="64"/>
          </top>
          <bottom style="thin">
            <color indexed="64"/>
          </bottom>
        </border>
      </dxf>
    </rfmt>
    <rfmt sheetId="1" sqref="AL40" start="0" length="0">
      <dxf/>
    </rfmt>
    <rfmt sheetId="1" sqref="AM40" start="0" length="0">
      <dxf>
        <numFmt numFmtId="1" formatCode="0"/>
      </dxf>
    </rfmt>
    <rfmt sheetId="1" sqref="AN40" start="0" length="0">
      <dxf>
        <numFmt numFmtId="1" formatCode="0"/>
      </dxf>
    </rfmt>
    <rfmt sheetId="1" sqref="AO40" start="0" length="0">
      <dxf/>
    </rfmt>
    <rfmt sheetId="1" sqref="AP40" start="0" length="0">
      <dxf/>
    </rfmt>
    <rfmt sheetId="1" sqref="AQ40" start="0" length="0">
      <dxf>
        <numFmt numFmtId="164" formatCode="_-* #,##0_-;\-* #,##0_-;_-* &quot;-&quot;??_-;_-@_-"/>
      </dxf>
    </rfmt>
    <rfmt sheetId="1" sqref="AR40" start="0" length="0">
      <dxf>
        <numFmt numFmtId="164" formatCode="_-* #,##0_-;\-* #,##0_-;_-* &quot;-&quot;??_-;_-@_-"/>
      </dxf>
    </rfmt>
    <rfmt sheetId="1" sqref="AS40" start="0" length="0">
      <dxf>
        <numFmt numFmtId="164" formatCode="_-* #,##0_-;\-* #,##0_-;_-* &quot;-&quot;??_-;_-@_-"/>
      </dxf>
    </rfmt>
    <rfmt sheetId="1" sqref="AT40" start="0" length="0">
      <dxf>
        <numFmt numFmtId="164" formatCode="_-* #,##0_-;\-* #,##0_-;_-* &quot;-&quot;??_-;_-@_-"/>
      </dxf>
    </rfmt>
    <rfmt sheetId="1" sqref="AU40" start="0" length="0">
      <dxf/>
    </rfmt>
    <rfmt sheetId="1" sqref="AV40" start="0" length="0">
      <dxf/>
    </rfmt>
    <rfmt sheetId="1" sqref="AW40" start="0" length="0">
      <dxf/>
    </rfmt>
    <rfmt sheetId="1" sqref="AX40" start="0" length="0">
      <dxf/>
    </rfmt>
    <rfmt sheetId="1" sqref="AY40" start="0" length="0">
      <dxf/>
    </rfmt>
  </rm>
  <rrc rId="1065" sId="1" ref="A42:XFD42" action="deleteRow">
    <rfmt sheetId="1" xfDxf="1" sqref="A42:XFD42" start="0" length="0"/>
    <rfmt sheetId="1" sqref="A42" start="0" length="0">
      <dxf>
        <alignment horizontal="center" vertical="top" readingOrder="0"/>
      </dxf>
    </rfmt>
    <rfmt sheetId="1" sqref="M42" start="0" length="0">
      <dxf>
        <numFmt numFmtId="35" formatCode="_-* #,##0.00_-;\-* #,##0.00_-;_-* &quot;-&quot;??_-;_-@_-"/>
      </dxf>
    </rfmt>
    <rfmt sheetId="1" sqref="N42" start="0" length="0">
      <dxf>
        <numFmt numFmtId="35" formatCode="_-* #,##0.00_-;\-* #,##0.00_-;_-* &quot;-&quot;??_-;_-@_-"/>
      </dxf>
    </rfmt>
    <rfmt sheetId="1" sqref="R42" start="0" length="0">
      <dxf>
        <numFmt numFmtId="35" formatCode="_-* #,##0.00_-;\-* #,##0.00_-;_-* &quot;-&quot;??_-;_-@_-"/>
      </dxf>
    </rfmt>
    <rfmt sheetId="1" sqref="S42" start="0" length="0">
      <dxf>
        <numFmt numFmtId="35" formatCode="_-* #,##0.00_-;\-* #,##0.00_-;_-* &quot;-&quot;??_-;_-@_-"/>
      </dxf>
    </rfmt>
  </rrc>
  <rcc rId="1066" sId="1">
    <nc r="A40">
      <v>39</v>
    </nc>
  </rcc>
  <rcc rId="1067" sId="1">
    <nc r="A41">
      <v>40</v>
    </nc>
  </rcc>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9" sId="1">
    <nc r="M29">
      <f>+N29-H29</f>
    </nc>
  </rcc>
  <rcc rId="1070" sId="1">
    <nc r="N29">
      <f>1550+2301</f>
    </nc>
  </rcc>
  <rcc rId="1071" sId="1" numFmtId="34">
    <nc r="O29">
      <f>9+6</f>
    </nc>
  </rcc>
  <rcc rId="1072" sId="1" numFmtId="34">
    <nc r="P29">
      <v>1</v>
    </nc>
  </rcc>
  <rcc rId="1073" sId="1" numFmtId="19">
    <nc r="T29">
      <v>46059</v>
    </nc>
  </rcc>
  <rcc rId="1074" sId="1">
    <nc r="U29" t="inlineStr">
      <is>
        <t>SI</t>
      </is>
    </nc>
  </rcc>
  <rcc rId="1075" sId="1">
    <nc r="V29" t="inlineStr">
      <is>
        <t>SI</t>
      </is>
    </nc>
  </rcc>
  <rcc rId="1076" sId="1">
    <nc r="W29" t="inlineStr">
      <is>
        <t>SI</t>
      </is>
    </nc>
  </rcc>
  <rcc rId="1077" sId="1">
    <nc r="Y29" t="inlineStr">
      <is>
        <t>BED 7113</t>
      </is>
    </nc>
  </rcc>
  <rcc rId="1078" sId="1" numFmtId="34">
    <nc r="AD29">
      <v>108264</v>
    </nc>
  </rcc>
  <rcc rId="1079" sId="1" numFmtId="27">
    <nc r="AE29">
      <v>46055.708333333336</v>
    </nc>
  </rcc>
  <rcc rId="1080" sId="1" numFmtId="34">
    <nc r="AF29">
      <v>108840</v>
    </nc>
  </rcc>
  <rcc rId="1081" sId="1" numFmtId="27">
    <nc r="AG29">
      <v>46058.67291666667</v>
    </nc>
  </rcc>
  <rcc rId="1082" sId="1">
    <nc r="AI29">
      <v>3</v>
    </nc>
  </rcc>
  <rcc rId="1083" sId="1" odxf="1" dxf="1">
    <nc r="AL29">
      <f>+AG29/P29</f>
    </nc>
    <odxf>
      <numFmt numFmtId="0" formatCode="General"/>
    </odxf>
    <ndxf>
      <numFmt numFmtId="1" formatCode="0"/>
    </ndxf>
  </rcc>
  <rcc rId="1084" sId="1">
    <nc r="AM29">
      <f>+P29/AH29</f>
    </nc>
  </rcc>
  <rfmt sheetId="1" sqref="AN29" start="0" length="0">
    <dxf>
      <numFmt numFmtId="0" formatCode="General"/>
    </dxf>
  </rfmt>
  <rcc rId="1085" sId="1" odxf="1" dxf="1">
    <nc r="AP29">
      <f>+M29/78.54</f>
    </nc>
    <odxf>
      <numFmt numFmtId="0" formatCode="General"/>
    </odxf>
    <ndxf>
      <numFmt numFmtId="164" formatCode="_-* #,##0_-;\-* #,##0_-;_-* &quot;-&quot;??_-;_-@_-"/>
    </ndxf>
  </rcc>
  <rcc rId="1086" sId="1">
    <nc r="AQ29">
      <f>+AG29/11</f>
    </nc>
  </rcc>
  <rcc rId="1087" sId="1">
    <nc r="AR29">
      <f>+AQ29-AP29</f>
    </nc>
  </rcc>
  <rcc rId="1088" sId="1">
    <nc r="AS29">
      <f>+AG29/AP29</f>
    </nc>
  </rcc>
  <rfmt sheetId="1" sqref="A29:AK29">
    <dxf>
      <fill>
        <patternFill patternType="solid">
          <bgColor rgb="FF92D050"/>
        </patternFill>
      </fill>
    </dxf>
  </rfmt>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9" sId="1">
    <nc r="M26">
      <f>+N26-H26</f>
    </nc>
  </rcc>
  <rcc rId="1090" sId="1">
    <nc r="N26">
      <f>2065+2410+1932.8</f>
    </nc>
  </rcc>
  <rcc rId="1091" sId="1" numFmtId="34">
    <nc r="P26">
      <v>7</v>
    </nc>
  </rcc>
  <rcc rId="1092" sId="1">
    <oc r="Q26">
      <f>+P26+O26</f>
    </oc>
    <nc r="Q26">
      <f>+P26+O26</f>
    </nc>
  </rcc>
  <rcc rId="1093" sId="1">
    <oc r="R26">
      <f>(N26/Q26)</f>
    </oc>
    <nc r="R26">
      <f>(N26/Q26)</f>
    </nc>
  </rcc>
  <rcc rId="1094" sId="1">
    <oc r="S26">
      <f>(('Costo por negocio'!$B$2-DATA!R26)*DATA!O26)+('Costo por negocio'!$C$2-DATA!R26)*DATA!P26</f>
    </oc>
    <nc r="S26">
      <f>(('Costo por negocio'!$B$2-DATA!R26)*DATA!O26)+('Costo por negocio'!$C$2-DATA!R26)*DATA!P26</f>
    </nc>
  </rcc>
  <rcc rId="1095" sId="1" numFmtId="19">
    <nc r="T26">
      <v>46049</v>
    </nc>
  </rcc>
  <rcc rId="1096" sId="1">
    <nc r="U26" t="inlineStr">
      <is>
        <t>SI</t>
      </is>
    </nc>
  </rcc>
  <rcc rId="1097" sId="1">
    <nc r="V26" t="inlineStr">
      <is>
        <t>SI</t>
      </is>
    </nc>
  </rcc>
  <rcc rId="1098" sId="1">
    <nc r="W26" t="inlineStr">
      <is>
        <t>SI</t>
      </is>
    </nc>
  </rcc>
  <rcc rId="1099" sId="1">
    <nc r="Y26" t="inlineStr">
      <is>
        <t>BEC 5528</t>
      </is>
    </nc>
  </rcc>
  <rcc rId="1100" sId="1" numFmtId="34">
    <nc r="AD26">
      <v>83208</v>
    </nc>
  </rcc>
  <rcc rId="1101" sId="1" numFmtId="27">
    <nc r="AE26">
      <v>46055.666666666664</v>
    </nc>
  </rcc>
  <rcc rId="1102" sId="1" numFmtId="34">
    <nc r="AF26">
      <v>84167</v>
    </nc>
  </rcc>
  <rcc rId="1103" sId="1">
    <nc r="AG26" t="inlineStr">
      <is>
        <t>06/02/2026 9:019</t>
      </is>
    </nc>
  </rcc>
  <rcc rId="1104" sId="1">
    <nc r="AI26">
      <v>3</v>
    </nc>
  </rcc>
  <rcc rId="1105" sId="1">
    <nc r="AM26">
      <f>+AH26/Q26</f>
    </nc>
  </rcc>
  <rcc rId="1106" sId="1">
    <nc r="AN26">
      <f>+Q26/AI26</f>
    </nc>
  </rcc>
  <rcc rId="1107" sId="1">
    <nc r="AQ26">
      <f>+N26/78.54</f>
    </nc>
  </rcc>
  <rcc rId="1108" sId="1">
    <nc r="AR26">
      <f>+AH26/11</f>
    </nc>
  </rcc>
  <rcc rId="1109" sId="1">
    <nc r="AS26">
      <f>+AR26-AQ26</f>
    </nc>
  </rcc>
  <rcc rId="1110" sId="1">
    <nc r="AT26">
      <f>+AH26/AQ26</f>
    </nc>
  </rcc>
  <rcc rId="1111" sId="1">
    <oc r="AL29">
      <f>+AG29/P29</f>
    </oc>
    <nc r="AL29"/>
  </rcc>
  <rcc rId="1112" sId="1">
    <oc r="AM29">
      <f>+P29/AH29</f>
    </oc>
    <nc r="AM29">
      <f>+AH29/Q29</f>
    </nc>
  </rcc>
  <rcc rId="1113" sId="1" odxf="1" dxf="1">
    <nc r="AN29">
      <f>+Q29/AI29</f>
    </nc>
    <odxf>
      <numFmt numFmtId="0" formatCode="General"/>
    </odxf>
    <ndxf>
      <numFmt numFmtId="1" formatCode="0"/>
    </ndxf>
  </rcc>
  <rcc rId="1114" sId="1" odxf="1" dxf="1">
    <oc r="AP29">
      <f>+M29/78.54</f>
    </oc>
    <nc r="AP29"/>
    <ndxf>
      <numFmt numFmtId="0" formatCode="General"/>
    </ndxf>
  </rcc>
  <rcc rId="1115" sId="1">
    <oc r="AQ29">
      <f>+AG29/11</f>
    </oc>
    <nc r="AQ29">
      <f>+N29/78.54</f>
    </nc>
  </rcc>
  <rcc rId="1116" sId="1">
    <oc r="AR29">
      <f>+AQ29-AP29</f>
    </oc>
    <nc r="AR29">
      <f>+AH29/11</f>
    </nc>
  </rcc>
  <rcc rId="1117" sId="1">
    <oc r="AS29">
      <f>+AG29/AP29</f>
    </oc>
    <nc r="AS29">
      <f>+AR29-AQ29</f>
    </nc>
  </rcc>
  <rcc rId="1118" sId="1">
    <nc r="AT29">
      <f>+AH29/AQ29</f>
    </nc>
  </rcc>
  <rfmt sheetId="1" sqref="A26:AK26">
    <dxf>
      <fill>
        <patternFill patternType="solid">
          <bgColor rgb="FF92D050"/>
        </patternFill>
      </fill>
    </dxf>
  </rfmt>
  <rcv guid="{D015136D-255F-4042-9389-EB535F138010}" action="delete"/>
  <rdn rId="0" localSheetId="1" customView="1" name="Z_D015136D_255F_4042_9389_EB535F138010_.wvu.FilterData" hidden="1" oldHidden="1">
    <formula>DATA!$A$1:$AK$31</formula>
    <oldFormula>DATA!$A$1:$AK$31</oldFormula>
  </rdn>
  <rcv guid="{D015136D-255F-4042-9389-EB535F138010}" action="add"/>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0" sId="1">
    <nc r="M28">
      <f>+N28-H28</f>
    </nc>
  </rcc>
  <rcc rId="1121" sId="1">
    <nc r="N28">
      <f>1550+3848.1+2896.4+1500</f>
    </nc>
  </rcc>
  <rcc rId="1122" sId="1">
    <nc r="P28">
      <f>20+2</f>
    </nc>
  </rcc>
  <rcc rId="1123" sId="1" numFmtId="19">
    <nc r="T28">
      <v>46059</v>
    </nc>
  </rcc>
  <rcc rId="1124" sId="1" odxf="1" dxf="1">
    <nc r="U28" t="inlineStr">
      <is>
        <t>SI</t>
      </is>
    </nc>
    <odxf>
      <fill>
        <patternFill patternType="none">
          <bgColor indexed="65"/>
        </patternFill>
      </fill>
    </odxf>
    <ndxf>
      <fill>
        <patternFill patternType="solid">
          <bgColor rgb="FF92D050"/>
        </patternFill>
      </fill>
    </ndxf>
  </rcc>
  <rcc rId="1125" sId="1" odxf="1" dxf="1">
    <nc r="V28" t="inlineStr">
      <is>
        <t>SI</t>
      </is>
    </nc>
    <odxf>
      <fill>
        <patternFill patternType="none">
          <bgColor indexed="65"/>
        </patternFill>
      </fill>
    </odxf>
    <ndxf>
      <fill>
        <patternFill patternType="solid">
          <bgColor rgb="FF92D050"/>
        </patternFill>
      </fill>
    </ndxf>
  </rcc>
  <rcc rId="1126" sId="1" odxf="1" dxf="1">
    <nc r="W28" t="inlineStr">
      <is>
        <t>SI</t>
      </is>
    </nc>
    <odxf>
      <fill>
        <patternFill patternType="none">
          <bgColor indexed="65"/>
        </patternFill>
      </fill>
    </odxf>
    <ndxf>
      <fill>
        <patternFill patternType="solid">
          <bgColor rgb="FF92D050"/>
        </patternFill>
      </fill>
    </ndxf>
  </rcc>
  <rcc rId="1127" sId="1">
    <nc r="Y28" t="inlineStr">
      <is>
        <t>BED 2527</t>
      </is>
    </nc>
  </rcc>
  <rcc rId="1128" sId="1" numFmtId="34">
    <nc r="AD28">
      <v>101160</v>
    </nc>
  </rcc>
  <rcc rId="1129" sId="1" numFmtId="27">
    <nc r="AE28">
      <v>46055.663194444445</v>
    </nc>
  </rcc>
  <rcc rId="1130" sId="1" numFmtId="34">
    <nc r="AF28">
      <v>102532</v>
    </nc>
  </rcc>
  <rcc rId="1131" sId="1" numFmtId="27">
    <nc r="AG28">
      <v>46059.379166666666</v>
    </nc>
  </rcc>
  <rcc rId="1132" sId="1">
    <nc r="AI28">
      <v>3</v>
    </nc>
  </rcc>
  <rcc rId="1133" sId="1">
    <nc r="AM28">
      <f>+AH28/Q28</f>
    </nc>
  </rcc>
  <rcc rId="1134" sId="1">
    <nc r="AN28">
      <f>+Q28/AI28</f>
    </nc>
  </rcc>
  <rcc rId="1135" sId="1">
    <nc r="AQ28">
      <f>+N28/78.54</f>
    </nc>
  </rcc>
  <rcc rId="1136" sId="1">
    <nc r="AR28">
      <f>+AH28/11</f>
    </nc>
  </rcc>
  <rcc rId="1137" sId="1">
    <nc r="AS28">
      <f>+AR28-AQ28</f>
    </nc>
  </rcc>
  <rcc rId="1138" sId="1">
    <nc r="AT28">
      <f>+AH28/AQ28</f>
    </nc>
  </rcc>
  <rfmt sheetId="1" sqref="A28:AK28">
    <dxf>
      <fill>
        <patternFill>
          <bgColor rgb="FF92D050"/>
        </patternFill>
      </fill>
    </dxf>
  </rfmt>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9" sId="1">
    <nc r="M27">
      <f>+N27-H27</f>
    </nc>
  </rcc>
  <rcc rId="1140" sId="1">
    <nc r="N27">
      <f>2654.1+1562.2</f>
    </nc>
  </rcc>
  <rcc rId="1141" sId="1" numFmtId="34">
    <nc r="O27">
      <v>8</v>
    </nc>
  </rcc>
  <rcc rId="1142" sId="1" numFmtId="19">
    <nc r="T27">
      <v>46063</v>
    </nc>
  </rcc>
  <rcc rId="1143" sId="1">
    <nc r="U27" t="inlineStr">
      <is>
        <t>SI</t>
      </is>
    </nc>
  </rcc>
  <rcc rId="1144" sId="1">
    <nc r="V27" t="inlineStr">
      <is>
        <t>SI</t>
      </is>
    </nc>
  </rcc>
  <rcc rId="1145" sId="1">
    <nc r="W27" t="inlineStr">
      <is>
        <t>SI</t>
      </is>
    </nc>
  </rcc>
  <rcc rId="1146" sId="1">
    <nc r="Y27" t="inlineStr">
      <is>
        <t>BEC 5947</t>
      </is>
    </nc>
  </rcc>
  <rcc rId="1147" sId="1" numFmtId="34">
    <nc r="AD27">
      <v>71872</v>
    </nc>
  </rcc>
  <rcc rId="1148" sId="1" numFmtId="27">
    <nc r="AE27">
      <v>46055.708333333336</v>
    </nc>
  </rcc>
  <rcc rId="1149" sId="1" numFmtId="34">
    <nc r="AF27">
      <v>72794</v>
    </nc>
  </rcc>
  <rcc rId="1150" sId="1" numFmtId="27">
    <nc r="AG27">
      <v>46059.402777777781</v>
    </nc>
  </rcc>
  <rcc rId="1151" sId="1">
    <nc r="AI27">
      <v>3</v>
    </nc>
  </rcc>
  <rcc rId="1152" sId="1">
    <nc r="AM27">
      <f>+AH27/Q27</f>
    </nc>
  </rcc>
  <rcc rId="1153" sId="1">
    <nc r="AN27">
      <f>+Q27/AI27</f>
    </nc>
  </rcc>
  <rcc rId="1154" sId="1">
    <nc r="AQ27">
      <f>+N27/78.54</f>
    </nc>
  </rcc>
  <rcc rId="1155" sId="1">
    <nc r="AR27">
      <f>+AH27/11</f>
    </nc>
  </rcc>
  <rcc rId="1156" sId="1">
    <nc r="AS27">
      <f>+AR27-AQ27</f>
    </nc>
  </rcc>
  <rcc rId="1157" sId="1">
    <nc r="AT27">
      <f>+AH27/AQ27</f>
    </nc>
  </rcc>
  <rfmt sheetId="1" sqref="A27:AK27">
    <dxf>
      <fill>
        <patternFill patternType="solid">
          <bgColor rgb="FF92D050"/>
        </patternFill>
      </fill>
    </dxf>
  </rfmt>
  <rcv guid="{D015136D-255F-4042-9389-EB535F138010}" action="delete"/>
  <rdn rId="0" localSheetId="1" customView="1" name="Z_D015136D_255F_4042_9389_EB535F138010_.wvu.FilterData" hidden="1" oldHidden="1">
    <formula>DATA!$A$1:$AY$41</formula>
    <oldFormula>DATA!$A$1:$AK$31</oldFormula>
  </rdn>
  <rcv guid="{D015136D-255F-4042-9389-EB535F138010}" action="add"/>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9" sId="1">
    <nc r="B42" t="inlineStr">
      <is>
        <t>Agustin Buñevaz</t>
      </is>
    </nc>
  </rcc>
  <rcc rId="1160" sId="1">
    <nc r="C42">
      <v>3152</v>
    </nc>
  </rcc>
  <rcc rId="1161" sId="1">
    <nc r="J42" t="inlineStr">
      <is>
        <t>Montevideo, Canelones</t>
      </is>
    </nc>
  </rcc>
  <rcc rId="1162" sId="1">
    <nc r="A42">
      <v>41</v>
    </nc>
  </rcc>
  <rcc rId="1163" sId="1">
    <nc r="D42">
      <v>8</v>
    </nc>
  </rcc>
  <rcc rId="1164" sId="1">
    <nc r="E42" t="inlineStr">
      <is>
        <t>01/02 al 11/02/2026</t>
      </is>
    </nc>
  </rcc>
  <rcc rId="1165" sId="1" numFmtId="19">
    <nc r="F42">
      <v>46054</v>
    </nc>
  </rcc>
  <rcc rId="1166" sId="1" numFmtId="19">
    <nc r="G42">
      <v>46064</v>
    </nc>
  </rcc>
  <rcc rId="1167" sId="1">
    <nc r="K42" t="inlineStr">
      <is>
        <t>Propio</t>
      </is>
    </nc>
  </rcc>
  <rcc rId="1168" sId="1">
    <nc r="M42">
      <f>+N42-H42</f>
    </nc>
  </rcc>
  <rcc rId="1169" sId="1">
    <nc r="N42">
      <f>1052+1052+522+783</f>
    </nc>
  </rcc>
  <rcc rId="1170" sId="1" numFmtId="34">
    <nc r="O42">
      <v>13</v>
    </nc>
  </rcc>
  <rcc rId="1171" sId="1">
    <nc r="Q42">
      <f>+P42+O42</f>
    </nc>
  </rcc>
  <rcc rId="1172" sId="1">
    <nc r="R42">
      <f>(N42/Q42)</f>
    </nc>
  </rcc>
  <rcc rId="1173" sId="1">
    <nc r="S42">
      <f>(('Costo por negocio'!$B$2-DATA!R42)*DATA!O42)+('Costo por negocio'!$C$2-DATA!R42)*DATA!P42</f>
    </nc>
  </rcc>
  <rcc rId="1174" sId="1">
    <nc r="U42" t="inlineStr">
      <is>
        <t>SI</t>
      </is>
    </nc>
  </rcc>
  <rcc rId="1175" sId="1">
    <nc r="V42" t="inlineStr">
      <is>
        <t>SI</t>
      </is>
    </nc>
  </rcc>
  <rcc rId="1176" sId="1">
    <nc r="W42" t="inlineStr">
      <is>
        <t>SI</t>
      </is>
    </nc>
  </rcc>
  <rcc rId="1177" sId="1" numFmtId="19">
    <nc r="T42">
      <v>46063</v>
    </nc>
  </rcc>
  <rcc rId="1178" sId="1">
    <nc r="Y42" t="inlineStr">
      <is>
        <t>ABK 2846</t>
      </is>
    </nc>
  </rcc>
  <rfmt sheetId="1" sqref="A42:AK42">
    <dxf>
      <fill>
        <patternFill patternType="solid">
          <bgColor rgb="FF92D050"/>
        </patternFill>
      </fill>
    </dxf>
  </rfmt>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43" start="0" length="0">
    <dxf>
      <fill>
        <patternFill patternType="solid">
          <bgColor rgb="FF92D050"/>
        </patternFill>
      </fill>
    </dxf>
  </rfmt>
  <rcc rId="1179" sId="1" odxf="1" dxf="1">
    <nc r="B43" t="inlineStr">
      <is>
        <t>Sylvia Antunez</t>
      </is>
    </nc>
    <ndxf>
      <fill>
        <patternFill patternType="solid">
          <bgColor rgb="FF92D050"/>
        </patternFill>
      </fill>
    </ndxf>
  </rcc>
  <rcc rId="1180" sId="1" odxf="1" dxf="1">
    <nc r="C43">
      <v>3064</v>
    </nc>
    <ndxf>
      <fill>
        <patternFill patternType="solid">
          <bgColor rgb="FF92D050"/>
        </patternFill>
      </fill>
    </ndxf>
  </rcc>
  <rfmt sheetId="1" sqref="D43" start="0" length="0">
    <dxf>
      <fill>
        <patternFill patternType="solid">
          <bgColor rgb="FF92D050"/>
        </patternFill>
      </fill>
    </dxf>
  </rfmt>
  <rfmt sheetId="1" sqref="E43" start="0" length="0">
    <dxf>
      <fill>
        <patternFill patternType="solid">
          <bgColor rgb="FF92D050"/>
        </patternFill>
      </fill>
    </dxf>
  </rfmt>
  <rfmt sheetId="1" sqref="F43" start="0" length="0">
    <dxf>
      <fill>
        <patternFill patternType="solid">
          <bgColor rgb="FF92D050"/>
        </patternFill>
      </fill>
    </dxf>
  </rfmt>
  <rfmt sheetId="1" sqref="G43" start="0" length="0">
    <dxf>
      <fill>
        <patternFill patternType="solid">
          <bgColor rgb="FF92D050"/>
        </patternFill>
      </fill>
    </dxf>
  </rfmt>
  <rfmt sheetId="1" sqref="H43" start="0" length="0">
    <dxf>
      <fill>
        <patternFill patternType="solid">
          <bgColor rgb="FF92D050"/>
        </patternFill>
      </fill>
    </dxf>
  </rfmt>
  <rfmt sheetId="1" sqref="I43" start="0" length="0">
    <dxf>
      <fill>
        <patternFill patternType="solid">
          <bgColor rgb="FF92D050"/>
        </patternFill>
      </fill>
    </dxf>
  </rfmt>
  <rfmt sheetId="1" sqref="J43" start="0" length="0">
    <dxf>
      <fill>
        <patternFill patternType="solid">
          <bgColor rgb="FF92D050"/>
        </patternFill>
      </fill>
    </dxf>
  </rfmt>
  <rcc rId="1181" sId="1" odxf="1" dxf="1">
    <nc r="K43" t="inlineStr">
      <is>
        <t>Propio</t>
      </is>
    </nc>
    <ndxf>
      <fill>
        <patternFill patternType="solid">
          <bgColor rgb="FF92D050"/>
        </patternFill>
      </fill>
    </ndxf>
  </rcc>
  <rfmt sheetId="1" sqref="L43" start="0" length="0">
    <dxf>
      <fill>
        <patternFill patternType="solid">
          <bgColor rgb="FF92D050"/>
        </patternFill>
      </fill>
    </dxf>
  </rfmt>
  <rfmt sheetId="1" sqref="M43" start="0" length="0">
    <dxf>
      <fill>
        <patternFill patternType="solid">
          <bgColor rgb="FF92D050"/>
        </patternFill>
      </fill>
    </dxf>
  </rfmt>
  <rfmt sheetId="1" sqref="N43" start="0" length="0">
    <dxf>
      <fill>
        <patternFill patternType="solid">
          <bgColor rgb="FF92D050"/>
        </patternFill>
      </fill>
    </dxf>
  </rfmt>
  <rfmt sheetId="1" sqref="O43" start="0" length="0">
    <dxf>
      <fill>
        <patternFill patternType="solid">
          <bgColor rgb="FF92D050"/>
        </patternFill>
      </fill>
    </dxf>
  </rfmt>
  <rfmt sheetId="1" sqref="P43" start="0" length="0">
    <dxf>
      <fill>
        <patternFill patternType="solid">
          <bgColor rgb="FF92D050"/>
        </patternFill>
      </fill>
    </dxf>
  </rfmt>
  <rfmt sheetId="1" sqref="Q43" start="0" length="0">
    <dxf>
      <fill>
        <patternFill patternType="solid">
          <bgColor rgb="FF92D050"/>
        </patternFill>
      </fill>
    </dxf>
  </rfmt>
  <rfmt sheetId="1" sqref="R43" start="0" length="0">
    <dxf>
      <fill>
        <patternFill patternType="solid">
          <bgColor rgb="FF92D050"/>
        </patternFill>
      </fill>
    </dxf>
  </rfmt>
  <rfmt sheetId="1" sqref="S43" start="0" length="0">
    <dxf>
      <fill>
        <patternFill patternType="solid">
          <bgColor rgb="FF92D050"/>
        </patternFill>
      </fill>
    </dxf>
  </rfmt>
  <rfmt sheetId="1" sqref="T43" start="0" length="0">
    <dxf>
      <fill>
        <patternFill patternType="solid">
          <bgColor rgb="FF92D050"/>
        </patternFill>
      </fill>
    </dxf>
  </rfmt>
  <rfmt sheetId="1" sqref="U43" start="0" length="0">
    <dxf>
      <fill>
        <patternFill patternType="solid">
          <bgColor rgb="FF92D050"/>
        </patternFill>
      </fill>
    </dxf>
  </rfmt>
  <rfmt sheetId="1" sqref="V43" start="0" length="0">
    <dxf>
      <fill>
        <patternFill patternType="solid">
          <bgColor rgb="FF92D050"/>
        </patternFill>
      </fill>
    </dxf>
  </rfmt>
  <rfmt sheetId="1" sqref="W43" start="0" length="0">
    <dxf>
      <fill>
        <patternFill patternType="solid">
          <bgColor rgb="FF92D050"/>
        </patternFill>
      </fill>
    </dxf>
  </rfmt>
  <rfmt sheetId="1" sqref="X43" start="0" length="0">
    <dxf>
      <fill>
        <patternFill patternType="solid">
          <bgColor rgb="FF92D050"/>
        </patternFill>
      </fill>
    </dxf>
  </rfmt>
  <rfmt sheetId="1" sqref="Y43" start="0" length="0">
    <dxf>
      <fill>
        <patternFill patternType="solid">
          <bgColor rgb="FF92D050"/>
        </patternFill>
      </fill>
    </dxf>
  </rfmt>
  <rfmt sheetId="1" sqref="Z43" start="0" length="0">
    <dxf>
      <fill>
        <patternFill patternType="solid">
          <bgColor rgb="FF92D050"/>
        </patternFill>
      </fill>
    </dxf>
  </rfmt>
  <rfmt sheetId="1" sqref="AA43" start="0" length="0">
    <dxf>
      <fill>
        <patternFill patternType="solid">
          <bgColor rgb="FF92D050"/>
        </patternFill>
      </fill>
    </dxf>
  </rfmt>
  <rfmt sheetId="1" sqref="AB43" start="0" length="0">
    <dxf>
      <fill>
        <patternFill patternType="solid">
          <bgColor rgb="FF92D050"/>
        </patternFill>
      </fill>
    </dxf>
  </rfmt>
  <rfmt sheetId="1" sqref="AC43" start="0" length="0">
    <dxf>
      <fill>
        <patternFill patternType="solid">
          <bgColor rgb="FF92D050"/>
        </patternFill>
      </fill>
    </dxf>
  </rfmt>
  <rfmt sheetId="1" sqref="AD43" start="0" length="0">
    <dxf>
      <fill>
        <patternFill patternType="solid">
          <bgColor rgb="FF92D050"/>
        </patternFill>
      </fill>
    </dxf>
  </rfmt>
  <rfmt sheetId="1" sqref="AE43" start="0" length="0">
    <dxf>
      <fill>
        <patternFill patternType="solid">
          <bgColor rgb="FF92D050"/>
        </patternFill>
      </fill>
    </dxf>
  </rfmt>
  <rfmt sheetId="1" sqref="AF43" start="0" length="0">
    <dxf>
      <fill>
        <patternFill patternType="solid">
          <bgColor rgb="FF92D050"/>
        </patternFill>
      </fill>
    </dxf>
  </rfmt>
  <rfmt sheetId="1" sqref="AG43" start="0" length="0">
    <dxf>
      <fill>
        <patternFill patternType="solid">
          <bgColor rgb="FF92D050"/>
        </patternFill>
      </fill>
    </dxf>
  </rfmt>
  <rfmt sheetId="1" sqref="AH43" start="0" length="0">
    <dxf>
      <fill>
        <patternFill patternType="solid">
          <bgColor rgb="FF92D050"/>
        </patternFill>
      </fill>
    </dxf>
  </rfmt>
  <rfmt sheetId="1" sqref="AI43" start="0" length="0">
    <dxf>
      <fill>
        <patternFill patternType="solid">
          <bgColor rgb="FF92D050"/>
        </patternFill>
      </fill>
    </dxf>
  </rfmt>
  <rfmt sheetId="1" sqref="AJ43" start="0" length="0">
    <dxf>
      <fill>
        <patternFill patternType="solid">
          <bgColor rgb="FF92D050"/>
        </patternFill>
      </fill>
    </dxf>
  </rfmt>
  <rfmt sheetId="1" sqref="AK43" start="0" length="0">
    <dxf>
      <fill>
        <patternFill patternType="solid">
          <bgColor rgb="FF92D050"/>
        </patternFill>
      </fill>
    </dxf>
  </rfmt>
  <rcc rId="1182" sId="1">
    <nc r="A43">
      <v>42</v>
    </nc>
  </rcc>
  <rcc rId="1183" sId="1">
    <nc r="D43">
      <v>3</v>
    </nc>
  </rcc>
  <rcc rId="1184" sId="1">
    <nc r="E43" t="inlineStr">
      <is>
        <t>03/02 al 05/02/2026</t>
      </is>
    </nc>
  </rcc>
  <rcc rId="1185" sId="1" numFmtId="19">
    <nc r="F43">
      <v>46056</v>
    </nc>
  </rcc>
  <rcc rId="1186" sId="1" numFmtId="19">
    <nc r="G43">
      <v>46058</v>
    </nc>
  </rcc>
  <rcc rId="1187" sId="1">
    <nc r="J43" t="inlineStr">
      <is>
        <t>Montevideo</t>
      </is>
    </nc>
  </rcc>
  <rcc rId="1188" sId="1">
    <nc r="M43">
      <f>+N43-H43</f>
    </nc>
  </rcc>
  <rcc rId="1189" sId="1" numFmtId="34">
    <nc r="N43">
      <v>2500</v>
    </nc>
  </rcc>
  <rcc rId="1190" sId="1" numFmtId="34">
    <nc r="O43">
      <v>11</v>
    </nc>
  </rcc>
  <rcc rId="1191" sId="1">
    <nc r="Q43">
      <f>+P43+O43</f>
    </nc>
  </rcc>
  <rcc rId="1192" sId="1">
    <nc r="R43">
      <f>(N43/Q43)</f>
    </nc>
  </rcc>
  <rcc rId="1193" sId="1">
    <nc r="S43">
      <f>(('Costo por negocio'!$B$2-DATA!R43)*DATA!O43)+('Costo por negocio'!$C$2-DATA!R43)*DATA!P43</f>
    </nc>
  </rcc>
  <rcc rId="1194" sId="1" numFmtId="19">
    <nc r="T43">
      <v>46063</v>
    </nc>
  </rcc>
  <rcc rId="1195" sId="1">
    <nc r="U43" t="inlineStr">
      <is>
        <t>SI</t>
      </is>
    </nc>
  </rcc>
  <rcc rId="1196" sId="1">
    <nc r="V43" t="inlineStr">
      <is>
        <t>SI</t>
      </is>
    </nc>
  </rcc>
  <rcc rId="1197" sId="1">
    <nc r="W43" t="inlineStr">
      <is>
        <t>SI</t>
      </is>
    </nc>
  </rcc>
  <rcc rId="1198" sId="1">
    <nc r="Y43" t="inlineStr">
      <is>
        <t>BAB 1469</t>
      </is>
    </nc>
  </rcc>
  <rcc rId="1199" sId="1" numFmtId="34">
    <nc r="AD43">
      <v>107476</v>
    </nc>
  </rcc>
  <rcc rId="1200" sId="1" numFmtId="27">
    <nc r="AE43">
      <v>46055.729166666664</v>
    </nc>
  </rcc>
  <rcc rId="1201" sId="1" numFmtId="34">
    <nc r="AF43">
      <v>107689</v>
    </nc>
  </rcc>
  <rcc rId="1202" sId="1" numFmtId="27">
    <nc r="AG43">
      <v>46058.722222222219</v>
    </nc>
  </rcc>
  <rcc rId="1203" sId="1">
    <nc r="AH43">
      <f>+AF43-AD43</f>
    </nc>
  </rcc>
  <rcc rId="1204" sId="1">
    <nc r="AJ43">
      <f>+AI43*5</f>
    </nc>
  </rcc>
  <rcc rId="1205" sId="1">
    <nc r="AK43">
      <f>+Q43-AJ43</f>
    </nc>
  </rcc>
  <rcc rId="1206" sId="1">
    <nc r="AM43">
      <f>+AH43/Q43</f>
    </nc>
  </rcc>
  <rcc rId="1207" sId="1">
    <nc r="AN43">
      <f>+Q43/AI43</f>
    </nc>
  </rcc>
  <rcc rId="1208" sId="1">
    <nc r="AQ43">
      <f>+N43/78.54</f>
    </nc>
  </rcc>
  <rcc rId="1209" sId="1">
    <nc r="AR43">
      <f>+AH43/11</f>
    </nc>
  </rcc>
  <rcc rId="1210" sId="1">
    <nc r="AS43">
      <f>+AR43-AQ43</f>
    </nc>
  </rcc>
  <rcc rId="1211" sId="1">
    <nc r="AT43">
      <f>+AH43/AQ43</f>
    </nc>
  </rcc>
  <rcc rId="1212" sId="1">
    <oc r="AH30">
      <f>+AF30-AD30</f>
    </oc>
    <nc r="AH30"/>
  </rcc>
  <rcc rId="1213" sId="1">
    <oc r="AJ30">
      <f>+AI30*5</f>
    </oc>
    <nc r="AJ30"/>
  </rcc>
  <rcc rId="1214" sId="1">
    <oc r="AK30">
      <f>+Q30-AJ30</f>
    </oc>
    <nc r="AK30"/>
  </rcc>
  <rcc rId="1215" sId="1">
    <oc r="AH31">
      <f>+AF31-AD31</f>
    </oc>
    <nc r="AH31"/>
  </rcc>
  <rcc rId="1216" sId="1">
    <oc r="AJ31">
      <f>+AI31*5</f>
    </oc>
    <nc r="AJ31"/>
  </rcc>
  <rcc rId="1217" sId="1">
    <oc r="AK31">
      <f>+Q31-AJ31</f>
    </oc>
    <nc r="AK31"/>
  </rcc>
  <rcv guid="{D015136D-255F-4042-9389-EB535F138010}" action="delete"/>
  <rdn rId="0" localSheetId="1" customView="1" name="Z_D015136D_255F_4042_9389_EB535F138010_.wvu.FilterData" hidden="1" oldHidden="1">
    <formula>DATA!$A$1:$AY$41</formula>
    <oldFormula>DATA!$A$1:$AY$41</oldFormula>
  </rdn>
  <rcv guid="{D015136D-255F-4042-9389-EB535F138010}" action="add"/>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9" sId="1">
    <oc r="AM43">
      <f>+AH43/Q43</f>
    </oc>
    <nc r="AM43">
      <f>+AH43/Q43</f>
    </nc>
  </rcc>
  <rcc rId="1220" sId="1">
    <oc r="AN43">
      <f>+Q43/AI43</f>
    </oc>
    <nc r="AN43">
      <f>+Q43/AI43</f>
    </nc>
  </rcc>
  <rcc rId="1221" sId="1">
    <oc r="AQ43">
      <f>+N43/78.54</f>
    </oc>
    <nc r="AQ43">
      <f>+N43/78.54</f>
    </nc>
  </rcc>
  <rcc rId="1222" sId="1">
    <oc r="AR43">
      <f>+AH43/11</f>
    </oc>
    <nc r="AR43">
      <f>+AH43/11</f>
    </nc>
  </rcc>
  <rcc rId="1223" sId="1">
    <oc r="AS43">
      <f>+AR43-AQ43</f>
    </oc>
    <nc r="AS43">
      <f>+AR43-AQ43</f>
    </nc>
  </rcc>
  <rcc rId="1224" sId="1">
    <oc r="AT43">
      <f>+AH43/AQ43</f>
    </oc>
    <nc r="AT43">
      <f>+AH43/AQ43</f>
    </nc>
  </rcc>
  <rcc rId="1225" sId="1">
    <nc r="AI43">
      <v>3</v>
    </nc>
  </rcc>
  <rcv guid="{D015136D-255F-4042-9389-EB535F138010}" action="delete"/>
  <rdn rId="0" localSheetId="1" customView="1" name="Z_D015136D_255F_4042_9389_EB535F138010_.wvu.FilterData" hidden="1" oldHidden="1">
    <formula>DATA!$A$1:$AY$41</formula>
    <oldFormula>DATA!$A$1:$AY$41</oldFormula>
  </rdn>
  <rcv guid="{D015136D-255F-4042-9389-EB535F138010}" action="add"/>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7" sId="1">
    <nc r="AA2">
      <v>94621</v>
    </nc>
  </rcc>
  <rcc rId="1228" sId="1">
    <nc r="AC2">
      <v>148</v>
    </nc>
  </rcc>
  <rcc rId="1229" sId="1">
    <nc r="AA3">
      <v>94630</v>
    </nc>
  </rcc>
  <rcc rId="1230" sId="1">
    <nc r="AC3">
      <v>111</v>
    </nc>
  </rcc>
  <rcc rId="1231" sId="1">
    <nc r="AA4">
      <v>94624</v>
    </nc>
  </rcc>
  <rcc rId="1232" sId="1">
    <nc r="AC4">
      <v>111</v>
    </nc>
  </rcc>
  <rcc rId="1233" sId="1">
    <nc r="AA5">
      <v>93044</v>
    </nc>
  </rcc>
  <rcc rId="1234" sId="1">
    <nc r="AC5">
      <v>111</v>
    </nc>
  </rcc>
  <rcc rId="1235" sId="1">
    <nc r="AC6">
      <v>74</v>
    </nc>
  </rcc>
  <rcc rId="1236" sId="1" numFmtId="34">
    <oc r="AD6">
      <v>81499</v>
    </oc>
    <nc r="AD6">
      <v>80882</v>
    </nc>
  </rcc>
  <rcc rId="1237" sId="1" numFmtId="34">
    <oc r="AF6">
      <v>80882</v>
    </oc>
    <nc r="AF6">
      <v>81499</v>
    </nc>
  </rcc>
  <rcc rId="1238" sId="1">
    <nc r="AA7">
      <v>94618</v>
    </nc>
  </rcc>
  <rcc rId="1239" sId="1">
    <nc r="AC7">
      <v>74</v>
    </nc>
  </rcc>
  <rcc rId="1240" sId="1">
    <nc r="AA8">
      <v>94661</v>
    </nc>
  </rcc>
  <rcc rId="1241" sId="1">
    <nc r="AC8">
      <v>148</v>
    </nc>
  </rcc>
  <rcc rId="1242" sId="1">
    <nc r="AA9">
      <v>94662</v>
    </nc>
  </rcc>
  <rcc rId="1243" sId="1">
    <nc r="AC9">
      <v>148</v>
    </nc>
  </rcc>
  <rcc rId="1244" sId="1">
    <nc r="AA6">
      <v>94619</v>
    </nc>
  </rcc>
  <rcc rId="1245" sId="1">
    <nc r="AA10">
      <v>94659</v>
    </nc>
  </rcc>
  <rcc rId="1246" sId="1">
    <nc r="AC10">
      <v>111</v>
    </nc>
  </rcc>
  <rcc rId="1247" sId="1">
    <nc r="AA11">
      <v>94660</v>
    </nc>
  </rcc>
  <rcc rId="1248" sId="1">
    <nc r="AC11">
      <v>148</v>
    </nc>
  </rcc>
  <rcc rId="1249" sId="1">
    <nc r="AA18">
      <v>94705</v>
    </nc>
  </rcc>
  <rcc rId="1250" sId="1">
    <nc r="AC18">
      <v>111</v>
    </nc>
  </rcc>
  <rcc rId="1251" sId="1">
    <nc r="AA20">
      <v>94749</v>
    </nc>
  </rcc>
  <rcc rId="1252" sId="1">
    <nc r="AC20">
      <v>111</v>
    </nc>
  </rcc>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3" sId="1">
    <nc r="AA22">
      <v>94703</v>
    </nc>
  </rcc>
  <rcc rId="1254" sId="1">
    <nc r="AC22">
      <v>146</v>
    </nc>
  </rcc>
  <rcc rId="1255" sId="1">
    <nc r="AA24">
      <v>93069</v>
    </nc>
  </rcc>
  <rcc rId="1256" sId="1">
    <nc r="AC24">
      <v>110</v>
    </nc>
  </rcc>
  <rcc rId="1257" sId="1">
    <nc r="AA25">
      <v>93071</v>
    </nc>
  </rcc>
  <rcc rId="1258" sId="1">
    <nc r="AC25">
      <v>74</v>
    </nc>
  </rcc>
  <rcv guid="{D015136D-255F-4042-9389-EB535F138010}" action="delete"/>
  <rdn rId="0" localSheetId="1" customView="1" name="Z_D015136D_255F_4042_9389_EB535F138010_.wvu.FilterData" hidden="1" oldHidden="1">
    <formula>DATA!$A$1:$AK$43</formula>
    <oldFormula>DATA!$A$1:$AY$41</oldFormula>
  </rdn>
  <rcv guid="{D015136D-255F-4042-9389-EB535F138010}" action="add"/>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DATA!$A$1:$AK$43</formula>
    <oldFormula>DATA!$A$1:$AK$43</oldFormula>
  </rdn>
  <rcv guid="{D015136D-255F-4042-9389-EB535F138010}" action="add"/>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1" sId="1">
    <nc r="M41">
      <f>+N41-H41</f>
    </nc>
  </rcc>
  <rcc rId="1262" sId="1" numFmtId="34">
    <nc r="N41">
      <v>2500</v>
    </nc>
  </rcc>
  <rcc rId="1263" sId="1" numFmtId="34">
    <nc r="O41">
      <v>9</v>
    </nc>
  </rcc>
  <rcc rId="1264" sId="1">
    <nc r="Q41">
      <f>+P41+O41</f>
    </nc>
  </rcc>
  <rcc rId="1265" sId="1">
    <nc r="R41">
      <f>(N41/Q41)</f>
    </nc>
  </rcc>
  <rcc rId="1266" sId="1">
    <nc r="S41">
      <f>(('Costo por negocio'!$B$2-DATA!R41)*DATA!O41)+('Costo por negocio'!$C$2-DATA!R41)*DATA!P41</f>
    </nc>
  </rcc>
  <rcc rId="1267" sId="1">
    <nc r="U41" t="inlineStr">
      <is>
        <t>SI</t>
      </is>
    </nc>
  </rcc>
  <rcc rId="1268" sId="1">
    <nc r="V41" t="inlineStr">
      <is>
        <t>SI</t>
      </is>
    </nc>
  </rcc>
  <rcc rId="1269" sId="1">
    <nc r="W41" t="inlineStr">
      <is>
        <t>SI</t>
      </is>
    </nc>
  </rcc>
  <rcc rId="1270" sId="1" numFmtId="19">
    <nc r="T41">
      <v>46064</v>
    </nc>
  </rcc>
  <rcc rId="1271" sId="1">
    <nc r="Y41" t="inlineStr">
      <is>
        <t>SCL 8868</t>
      </is>
    </nc>
  </rcc>
  <rfmt sheetId="1" sqref="A41:AK41">
    <dxf>
      <fill>
        <patternFill patternType="solid">
          <bgColor rgb="FF92D050"/>
        </patternFill>
      </fill>
    </dxf>
  </rfmt>
  <rcv guid="{D015136D-255F-4042-9389-EB535F138010}" action="delete"/>
  <rdn rId="0" localSheetId="1" customView="1" name="Z_D015136D_255F_4042_9389_EB535F138010_.wvu.FilterData" hidden="1" oldHidden="1">
    <formula>DATA!$A$1:$AK$43</formula>
    <oldFormula>DATA!$A$1:$AK$43</oldFormula>
  </rdn>
  <rcv guid="{D015136D-255F-4042-9389-EB535F138010}" action="add"/>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DATA!$A$1:$AK$43</formula>
    <oldFormula>DATA!$A$1:$AK$43</oldFormula>
  </rdn>
  <rcv guid="{D015136D-255F-4042-9389-EB535F138010}" action="add"/>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4" sId="1">
    <nc r="B44" t="inlineStr">
      <is>
        <t>Rolando Ball</t>
      </is>
    </nc>
  </rcc>
  <rcc rId="1275" sId="1">
    <nc r="C44">
      <v>1332</v>
    </nc>
  </rcc>
  <rcc rId="1276" sId="1">
    <nc r="J44" t="inlineStr">
      <is>
        <t>Rocha</t>
      </is>
    </nc>
  </rcc>
  <rcc rId="1277" sId="1">
    <nc r="K44" t="inlineStr">
      <is>
        <t>Propio</t>
      </is>
    </nc>
  </rcc>
  <rcc rId="1278" sId="1">
    <nc r="A44">
      <v>43</v>
    </nc>
  </rcc>
  <rcc rId="1279" sId="1">
    <nc r="D44">
      <v>8</v>
    </nc>
  </rcc>
  <rcc rId="1280" sId="1">
    <nc r="E44" t="inlineStr">
      <is>
        <t>01/02 al 11/02/2026</t>
      </is>
    </nc>
  </rcc>
  <rcc rId="1281" sId="1" numFmtId="19">
    <nc r="F44">
      <v>46054</v>
    </nc>
  </rcc>
  <rcc rId="1282" sId="1" numFmtId="19">
    <nc r="G44">
      <v>46064</v>
    </nc>
  </rcc>
  <rcc rId="1283" sId="1">
    <nc r="M44">
      <f>+N44-H44</f>
    </nc>
  </rcc>
  <rcc rId="1284" sId="1">
    <nc r="N44">
      <f>1800+900+1800</f>
    </nc>
  </rcc>
  <rcc rId="1285" sId="1" numFmtId="34">
    <nc r="O44">
      <v>10</v>
    </nc>
  </rcc>
  <rcc rId="1286" sId="1" numFmtId="34">
    <nc r="P44">
      <v>5</v>
    </nc>
  </rcc>
  <rcc rId="1287" sId="1">
    <nc r="Q44">
      <f>+P44+O44</f>
    </nc>
  </rcc>
  <rcc rId="1288" sId="1">
    <nc r="R44">
      <f>(N44/Q44)</f>
    </nc>
  </rcc>
  <rcc rId="1289" sId="1">
    <nc r="S44">
      <f>(('Costo por negocio'!$B$2-DATA!R44)*DATA!O44)+('Costo por negocio'!$C$2-DATA!R44)*DATA!P44</f>
    </nc>
  </rcc>
  <rcc rId="1290" sId="1">
    <nc r="U44" t="inlineStr">
      <is>
        <t>SI</t>
      </is>
    </nc>
  </rcc>
  <rcc rId="1291" sId="1">
    <nc r="V44" t="inlineStr">
      <is>
        <t>SI</t>
      </is>
    </nc>
  </rcc>
  <rcc rId="1292" sId="1">
    <nc r="W44" t="inlineStr">
      <is>
        <t>SI</t>
      </is>
    </nc>
  </rcc>
  <rcc rId="1293" sId="1" numFmtId="19">
    <nc r="T44">
      <v>46065</v>
    </nc>
  </rcc>
  <rcc rId="1294" sId="1">
    <nc r="Y44" t="inlineStr">
      <is>
        <t>CBD 1303</t>
      </is>
    </nc>
  </rcc>
  <rfmt sheetId="1" sqref="A44:AK44">
    <dxf>
      <fill>
        <patternFill patternType="solid">
          <bgColor rgb="FF92D050"/>
        </patternFill>
      </fill>
    </dxf>
  </rfmt>
  <rcc rId="1295" sId="1">
    <nc r="B45" t="inlineStr">
      <is>
        <t>Lucia Santamaría</t>
      </is>
    </nc>
  </rcc>
  <rcc rId="1296" sId="1">
    <nc r="C45">
      <v>3065</v>
    </nc>
  </rcc>
  <rcc rId="1297" sId="1">
    <nc r="J45" t="inlineStr">
      <is>
        <t>Maldonado</t>
      </is>
    </nc>
  </rcc>
  <rcc rId="1298" sId="1">
    <nc r="K45" t="inlineStr">
      <is>
        <t>Propio</t>
      </is>
    </nc>
  </rcc>
  <rcc rId="1299" sId="1">
    <nc r="A45">
      <v>44</v>
    </nc>
  </rcc>
  <rcc rId="1300" sId="1">
    <nc r="D45">
      <v>8</v>
    </nc>
  </rcc>
  <rcc rId="1301" sId="1">
    <nc r="E45" t="inlineStr">
      <is>
        <t>01/02 al 11/02/2026</t>
      </is>
    </nc>
  </rcc>
  <rcc rId="1302" sId="1" numFmtId="19">
    <nc r="F45">
      <v>46054</v>
    </nc>
  </rcc>
  <rcc rId="1303" sId="1" numFmtId="19">
    <nc r="G45">
      <v>46064</v>
    </nc>
  </rcc>
  <rcc rId="1304" sId="1">
    <nc r="M45">
      <f>+N45-H45</f>
    </nc>
  </rcc>
  <rcc rId="1305" sId="1">
    <nc r="N45">
      <f>2800+2451</f>
    </nc>
  </rcc>
  <rcc rId="1306" sId="1">
    <nc r="O45">
      <f>20+4</f>
    </nc>
  </rcc>
  <rcc rId="1307" sId="1">
    <nc r="Q45">
      <f>+P45+O45</f>
    </nc>
  </rcc>
  <rcc rId="1308" sId="1">
    <nc r="R45">
      <f>(N45/Q45)</f>
    </nc>
  </rcc>
  <rcc rId="1309" sId="1">
    <nc r="S45">
      <f>(('Costo por negocio'!$B$2-DATA!R45)*DATA!O45)+('Costo por negocio'!$C$2-DATA!R45)*DATA!P45</f>
    </nc>
  </rcc>
  <rcc rId="1310" sId="1" numFmtId="19">
    <nc r="T45">
      <v>46065</v>
    </nc>
  </rcc>
  <rcc rId="1311" sId="1">
    <nc r="U45" t="inlineStr">
      <is>
        <t>SI</t>
      </is>
    </nc>
  </rcc>
  <rcc rId="1312" sId="1">
    <nc r="V45" t="inlineStr">
      <is>
        <t>SI</t>
      </is>
    </nc>
  </rcc>
  <rcc rId="1313" sId="1">
    <nc r="W45" t="inlineStr">
      <is>
        <t>SI</t>
      </is>
    </nc>
  </rcc>
  <rcc rId="1314" sId="1">
    <nc r="Y45" t="inlineStr">
      <is>
        <t>SBI 6680</t>
      </is>
    </nc>
  </rcc>
  <rfmt sheetId="1" sqref="A45:AK45">
    <dxf>
      <fill>
        <patternFill patternType="solid">
          <bgColor rgb="FF92D050"/>
        </patternFill>
      </fill>
    </dxf>
  </rfmt>
  <rcv guid="{D015136D-255F-4042-9389-EB535F138010}" action="delete"/>
  <rdn rId="0" localSheetId="1" customView="1" name="Z_D015136D_255F_4042_9389_EB535F138010_.wvu.FilterData" hidden="1" oldHidden="1">
    <formula>DATA!$A$1:$AK$43</formula>
    <oldFormula>DATA!$A$1:$AK$43</oldFormula>
  </rdn>
  <rcv guid="{D015136D-255F-4042-9389-EB535F138010}" action="add"/>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DATA!$A$1:$AK$43</formula>
    <oldFormula>DATA!$A$1:$AK$43</oldFormula>
  </rdn>
  <rcv guid="{D015136D-255F-4042-9389-EB535F138010}" action="add"/>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7" sId="1">
    <nc r="B46" t="inlineStr">
      <is>
        <t>Fernando López</t>
      </is>
    </nc>
  </rcc>
  <rcc rId="1318" sId="1">
    <nc r="C46">
      <v>3117</v>
    </nc>
  </rcc>
  <rcc rId="1319" sId="1">
    <nc r="J46" t="inlineStr">
      <is>
        <t>Montevideo</t>
      </is>
    </nc>
  </rcc>
  <rcc rId="1320" sId="1">
    <nc r="K46" t="inlineStr">
      <is>
        <t>Propio</t>
      </is>
    </nc>
  </rcc>
  <rfmt sheetId="1" sqref="A46">
    <dxf>
      <fill>
        <patternFill patternType="solid">
          <bgColor rgb="FFFFFF00"/>
        </patternFill>
      </fill>
    </dxf>
  </rfmt>
  <rcc rId="1321" sId="1">
    <nc r="E46" t="inlineStr">
      <is>
        <t>12/02 al 28/02/2026</t>
      </is>
    </nc>
  </rcc>
  <rcc rId="1322" sId="1">
    <nc r="D46">
      <v>10</v>
    </nc>
  </rcc>
  <rcc rId="1323" sId="1" numFmtId="19">
    <nc r="F46">
      <v>46065</v>
    </nc>
  </rcc>
  <rcc rId="1324" sId="1" numFmtId="19">
    <nc r="G46">
      <v>46081</v>
    </nc>
  </rcc>
  <rcc rId="1325" sId="1" numFmtId="34">
    <nc r="H46">
      <v>5000</v>
    </nc>
  </rcc>
  <rcc rId="1326" sId="1">
    <nc r="I41">
      <f>+H41/263</f>
    </nc>
  </rcc>
  <rfmt sheetId="1" sqref="I41">
    <dxf>
      <numFmt numFmtId="35" formatCode="_-* #,##0.00_-;\-* #,##0.00_-;_-* &quot;-&quot;??_-;_-@_-"/>
    </dxf>
  </rfmt>
  <rfmt sheetId="1" sqref="I41">
    <dxf>
      <numFmt numFmtId="168" formatCode="_-* #,##0.0_-;\-* #,##0.0_-;_-* &quot;-&quot;??_-;_-@_-"/>
    </dxf>
  </rfmt>
  <rfmt sheetId="1" sqref="I41">
    <dxf>
      <numFmt numFmtId="164" formatCode="_-* #,##0_-;\-* #,##0_-;_-* &quot;-&quot;??_-;_-@_-"/>
    </dxf>
  </rfmt>
  <rcc rId="1327" sId="1">
    <nc r="I46">
      <f>+H46/263</f>
    </nc>
  </rcc>
  <rfmt sheetId="1" sqref="I46">
    <dxf>
      <numFmt numFmtId="35" formatCode="_-* #,##0.00_-;\-* #,##0.00_-;_-* &quot;-&quot;??_-;_-@_-"/>
    </dxf>
  </rfmt>
  <rfmt sheetId="1" sqref="I46">
    <dxf>
      <numFmt numFmtId="168" formatCode="_-* #,##0.0_-;\-* #,##0.0_-;_-* &quot;-&quot;??_-;_-@_-"/>
    </dxf>
  </rfmt>
  <rfmt sheetId="1" sqref="I46">
    <dxf>
      <numFmt numFmtId="164" formatCode="_-* #,##0_-;\-* #,##0_-;_-* &quot;-&quot;??_-;_-@_-"/>
    </dxf>
  </rfmt>
  <rcv guid="{D015136D-255F-4042-9389-EB535F138010}" action="delete"/>
  <rdn rId="0" localSheetId="1" customView="1" name="Z_D015136D_255F_4042_9389_EB535F138010_.wvu.FilterData" hidden="1" oldHidden="1">
    <formula>DATA!$A$1:$AK$43</formula>
    <oldFormula>DATA!$A$1:$AK$43</oldFormula>
  </rdn>
  <rcv guid="{D015136D-255F-4042-9389-EB535F138010}" action="add"/>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329" sheetId="1" source="A46:XFD46" destination="A48:XFD48" sourceSheetId="1">
    <rfmt sheetId="1" xfDxf="1" sqref="A48:XFD48" start="0" length="0">
      <dxf>
        <font>
          <name val="Calibri"/>
          <scheme val="none"/>
        </font>
      </dxf>
    </rfmt>
    <rfmt sheetId="1" sqref="A48" start="0" length="0">
      <dxf>
        <alignment horizontal="center" vertical="top" readingOrder="0"/>
        <border outline="0">
          <left style="thin">
            <color indexed="64"/>
          </left>
          <right style="thin">
            <color indexed="64"/>
          </right>
          <top style="thin">
            <color indexed="64"/>
          </top>
          <bottom style="thin">
            <color indexed="64"/>
          </bottom>
        </border>
      </dxf>
    </rfmt>
    <rfmt sheetId="1" sqref="B48" start="0" length="0">
      <dxf>
        <border outline="0">
          <left style="thin">
            <color indexed="64"/>
          </left>
          <right style="thin">
            <color indexed="64"/>
          </right>
          <top style="thin">
            <color indexed="64"/>
          </top>
          <bottom style="thin">
            <color indexed="64"/>
          </bottom>
        </border>
      </dxf>
    </rfmt>
    <rfmt sheetId="1" sqref="C48" start="0" length="0">
      <dxf>
        <border outline="0">
          <left style="thin">
            <color indexed="64"/>
          </left>
          <right style="thin">
            <color indexed="64"/>
          </right>
          <top style="thin">
            <color indexed="64"/>
          </top>
          <bottom style="thin">
            <color indexed="64"/>
          </bottom>
        </border>
      </dxf>
    </rfmt>
    <rfmt sheetId="1" sqref="D48" start="0" length="0">
      <dxf>
        <border outline="0">
          <left style="thin">
            <color indexed="64"/>
          </left>
          <right style="thin">
            <color indexed="64"/>
          </right>
          <top style="thin">
            <color indexed="64"/>
          </top>
          <bottom style="thin">
            <color indexed="64"/>
          </bottom>
        </border>
      </dxf>
    </rfmt>
    <rfmt sheetId="1" sqref="E48" start="0" length="0">
      <dxf>
        <border outline="0">
          <left style="thin">
            <color indexed="64"/>
          </left>
          <right style="thin">
            <color indexed="64"/>
          </right>
          <top style="thin">
            <color indexed="64"/>
          </top>
          <bottom style="thin">
            <color indexed="64"/>
          </bottom>
        </border>
      </dxf>
    </rfmt>
    <rfmt sheetId="1" sqref="F48" start="0" length="0">
      <dxf>
        <numFmt numFmtId="19" formatCode="dd/mm/yyyy"/>
        <border outline="0">
          <left style="thin">
            <color indexed="64"/>
          </left>
          <right style="thin">
            <color indexed="64"/>
          </right>
          <top style="thin">
            <color indexed="64"/>
          </top>
          <bottom style="thin">
            <color indexed="64"/>
          </bottom>
        </border>
      </dxf>
    </rfmt>
    <rfmt sheetId="1" sqref="G48" start="0" length="0">
      <dxf>
        <numFmt numFmtId="19" formatCode="dd/mm/yyyy"/>
        <border outline="0">
          <left style="thin">
            <color indexed="64"/>
          </left>
          <right style="thin">
            <color indexed="64"/>
          </right>
          <top style="thin">
            <color indexed="64"/>
          </top>
          <bottom style="thin">
            <color indexed="64"/>
          </bottom>
        </border>
      </dxf>
    </rfmt>
    <rfmt sheetId="1" sqref="H48" start="0" length="0">
      <dxf>
        <numFmt numFmtId="164" formatCode="_-* #,##0_-;\-* #,##0_-;_-* &quot;-&quot;??_-;_-@_-"/>
        <border outline="0">
          <left style="thin">
            <color indexed="64"/>
          </left>
          <right style="thin">
            <color indexed="64"/>
          </right>
          <top style="thin">
            <color indexed="64"/>
          </top>
          <bottom style="thin">
            <color indexed="64"/>
          </bottom>
        </border>
      </dxf>
    </rfmt>
    <rfmt sheetId="1" sqref="I48" start="0" length="0">
      <dxf>
        <border outline="0">
          <left style="thin">
            <color indexed="64"/>
          </left>
          <right style="thin">
            <color indexed="64"/>
          </right>
          <top style="thin">
            <color indexed="64"/>
          </top>
          <bottom style="thin">
            <color indexed="64"/>
          </bottom>
        </border>
      </dxf>
    </rfmt>
    <rfmt sheetId="1" sqref="J48" start="0" length="0">
      <dxf>
        <border outline="0">
          <left style="thin">
            <color indexed="64"/>
          </left>
          <right style="thin">
            <color indexed="64"/>
          </right>
          <top style="thin">
            <color indexed="64"/>
          </top>
          <bottom style="thin">
            <color indexed="64"/>
          </bottom>
        </border>
      </dxf>
    </rfmt>
    <rfmt sheetId="1" sqref="K48" start="0" length="0">
      <dxf>
        <border outline="0">
          <left style="thin">
            <color indexed="64"/>
          </left>
          <right style="thin">
            <color indexed="64"/>
          </right>
          <top style="thin">
            <color indexed="64"/>
          </top>
          <bottom style="thin">
            <color indexed="64"/>
          </bottom>
        </border>
      </dxf>
    </rfmt>
    <rfmt sheetId="1" sqref="L48" start="0" length="0">
      <dxf>
        <border outline="0">
          <left style="thin">
            <color indexed="64"/>
          </left>
          <right style="thin">
            <color indexed="64"/>
          </right>
          <top style="thin">
            <color indexed="64"/>
          </top>
          <bottom style="thin">
            <color indexed="64"/>
          </bottom>
        </border>
      </dxf>
    </rfmt>
    <rfmt sheetId="1" sqref="M48" start="0" length="0">
      <dxf>
        <numFmt numFmtId="35" formatCode="_-* #,##0.00_-;\-* #,##0.00_-;_-* &quot;-&quot;??_-;_-@_-"/>
        <border outline="0">
          <left style="thin">
            <color indexed="64"/>
          </left>
          <right style="thin">
            <color indexed="64"/>
          </right>
          <top style="thin">
            <color indexed="64"/>
          </top>
          <bottom style="thin">
            <color indexed="64"/>
          </bottom>
        </border>
      </dxf>
    </rfmt>
    <rfmt sheetId="1" sqref="N48" start="0" length="0">
      <dxf>
        <numFmt numFmtId="35" formatCode="_-* #,##0.00_-;\-* #,##0.00_-;_-* &quot;-&quot;??_-;_-@_-"/>
        <border outline="0">
          <left style="thin">
            <color indexed="64"/>
          </left>
          <right style="thin">
            <color indexed="64"/>
          </right>
          <top style="thin">
            <color indexed="64"/>
          </top>
          <bottom style="thin">
            <color indexed="64"/>
          </bottom>
        </border>
      </dxf>
    </rfmt>
    <rfmt sheetId="1" sqref="O48" start="0" length="0">
      <dxf>
        <numFmt numFmtId="164" formatCode="_-* #,##0_-;\-* #,##0_-;_-* &quot;-&quot;??_-;_-@_-"/>
        <border outline="0">
          <left style="thin">
            <color indexed="64"/>
          </left>
          <right style="thin">
            <color indexed="64"/>
          </right>
          <top style="thin">
            <color indexed="64"/>
          </top>
          <bottom style="thin">
            <color indexed="64"/>
          </bottom>
        </border>
      </dxf>
    </rfmt>
    <rfmt sheetId="1" sqref="P48" start="0" length="0">
      <dxf>
        <numFmt numFmtId="164" formatCode="_-* #,##0_-;\-* #,##0_-;_-* &quot;-&quot;??_-;_-@_-"/>
        <border outline="0">
          <left style="thin">
            <color indexed="64"/>
          </left>
          <right style="thin">
            <color indexed="64"/>
          </right>
          <top style="thin">
            <color indexed="64"/>
          </top>
          <bottom style="thin">
            <color indexed="64"/>
          </bottom>
        </border>
      </dxf>
    </rfmt>
    <rfmt sheetId="1" sqref="Q48" start="0" length="0">
      <dxf>
        <numFmt numFmtId="164" formatCode="_-* #,##0_-;\-* #,##0_-;_-* &quot;-&quot;??_-;_-@_-"/>
        <border outline="0">
          <left style="thin">
            <color indexed="64"/>
          </left>
          <right style="thin">
            <color indexed="64"/>
          </right>
          <top style="thin">
            <color indexed="64"/>
          </top>
          <bottom style="thin">
            <color indexed="64"/>
          </bottom>
        </border>
      </dxf>
    </rfmt>
    <rfmt sheetId="1" sqref="R48" start="0" length="0">
      <dxf>
        <numFmt numFmtId="35" formatCode="_-* #,##0.00_-;\-* #,##0.00_-;_-* &quot;-&quot;??_-;_-@_-"/>
        <border outline="0">
          <left style="thin">
            <color indexed="64"/>
          </left>
          <right style="thin">
            <color indexed="64"/>
          </right>
          <top style="thin">
            <color indexed="64"/>
          </top>
          <bottom style="thin">
            <color indexed="64"/>
          </bottom>
        </border>
      </dxf>
    </rfmt>
    <rfmt sheetId="1" sqref="S48" start="0" length="0">
      <dxf>
        <numFmt numFmtId="35" formatCode="_-* #,##0.00_-;\-* #,##0.00_-;_-* &quot;-&quot;??_-;_-@_-"/>
        <border outline="0">
          <left style="thin">
            <color indexed="64"/>
          </left>
          <right style="thin">
            <color indexed="64"/>
          </right>
          <top style="thin">
            <color indexed="64"/>
          </top>
          <bottom style="thin">
            <color indexed="64"/>
          </bottom>
        </border>
      </dxf>
    </rfmt>
    <rfmt sheetId="1" sqref="T48" start="0" length="0">
      <dxf>
        <numFmt numFmtId="19" formatCode="dd/mm/yyyy"/>
        <border outline="0">
          <left style="thin">
            <color indexed="64"/>
          </left>
          <right style="thin">
            <color indexed="64"/>
          </right>
          <top style="thin">
            <color indexed="64"/>
          </top>
          <bottom style="thin">
            <color indexed="64"/>
          </bottom>
        </border>
      </dxf>
    </rfmt>
    <rfmt sheetId="1" sqref="U48" start="0" length="0">
      <dxf>
        <border outline="0">
          <left style="thin">
            <color indexed="64"/>
          </left>
          <right style="thin">
            <color indexed="64"/>
          </right>
          <top style="thin">
            <color indexed="64"/>
          </top>
          <bottom style="thin">
            <color indexed="64"/>
          </bottom>
        </border>
      </dxf>
    </rfmt>
    <rfmt sheetId="1" sqref="V48" start="0" length="0">
      <dxf>
        <border outline="0">
          <left style="thin">
            <color indexed="64"/>
          </left>
          <right style="thin">
            <color indexed="64"/>
          </right>
          <top style="thin">
            <color indexed="64"/>
          </top>
          <bottom style="thin">
            <color indexed="64"/>
          </bottom>
        </border>
      </dxf>
    </rfmt>
    <rfmt sheetId="1" sqref="W48" start="0" length="0">
      <dxf>
        <border outline="0">
          <left style="thin">
            <color indexed="64"/>
          </left>
          <right style="thin">
            <color indexed="64"/>
          </right>
          <top style="thin">
            <color indexed="64"/>
          </top>
          <bottom style="thin">
            <color indexed="64"/>
          </bottom>
        </border>
      </dxf>
    </rfmt>
    <rfmt sheetId="1" sqref="X48" start="0" length="0">
      <dxf>
        <border outline="0">
          <left style="thin">
            <color indexed="64"/>
          </left>
          <right style="thin">
            <color indexed="64"/>
          </right>
          <top style="thin">
            <color indexed="64"/>
          </top>
          <bottom style="thin">
            <color indexed="64"/>
          </bottom>
        </border>
      </dxf>
    </rfmt>
    <rfmt sheetId="1" sqref="Y48" start="0" length="0">
      <dxf>
        <border outline="0">
          <left style="thin">
            <color indexed="64"/>
          </left>
          <right style="thin">
            <color indexed="64"/>
          </right>
          <top style="thin">
            <color indexed="64"/>
          </top>
          <bottom style="thin">
            <color indexed="64"/>
          </bottom>
        </border>
      </dxf>
    </rfmt>
    <rfmt sheetId="1" sqref="Z48" start="0" length="0">
      <dxf>
        <border outline="0">
          <left style="thin">
            <color indexed="64"/>
          </left>
          <right style="thin">
            <color indexed="64"/>
          </right>
          <top style="thin">
            <color indexed="64"/>
          </top>
          <bottom style="thin">
            <color indexed="64"/>
          </bottom>
        </border>
      </dxf>
    </rfmt>
    <rfmt sheetId="1" sqref="AA48" start="0" length="0">
      <dxf>
        <border outline="0">
          <left style="thin">
            <color indexed="64"/>
          </left>
          <right style="thin">
            <color indexed="64"/>
          </right>
          <top style="thin">
            <color indexed="64"/>
          </top>
          <bottom style="thin">
            <color indexed="64"/>
          </bottom>
        </border>
      </dxf>
    </rfmt>
    <rfmt sheetId="1" sqref="AB48" start="0" length="0">
      <dxf>
        <border outline="0">
          <left style="thin">
            <color indexed="64"/>
          </left>
          <right style="thin">
            <color indexed="64"/>
          </right>
          <top style="thin">
            <color indexed="64"/>
          </top>
          <bottom style="thin">
            <color indexed="64"/>
          </bottom>
        </border>
      </dxf>
    </rfmt>
    <rfmt sheetId="1" sqref="AC48" start="0" length="0">
      <dxf>
        <border outline="0">
          <left style="thin">
            <color indexed="64"/>
          </left>
          <right style="thin">
            <color indexed="64"/>
          </right>
          <top style="thin">
            <color indexed="64"/>
          </top>
          <bottom style="thin">
            <color indexed="64"/>
          </bottom>
        </border>
      </dxf>
    </rfmt>
    <rfmt sheetId="1" sqref="AD48" start="0" length="0">
      <dxf>
        <numFmt numFmtId="164" formatCode="_-* #,##0_-;\-* #,##0_-;_-* &quot;-&quot;??_-;_-@_-"/>
        <border outline="0">
          <left style="thin">
            <color indexed="64"/>
          </left>
          <right style="thin">
            <color indexed="64"/>
          </right>
          <top style="thin">
            <color indexed="64"/>
          </top>
          <bottom style="thin">
            <color indexed="64"/>
          </bottom>
        </border>
      </dxf>
    </rfmt>
    <rfmt sheetId="1" sqref="AE48" start="0" length="0">
      <dxf>
        <numFmt numFmtId="27" formatCode="dd/mm/yyyy\ h:mm"/>
        <border outline="0">
          <left style="thin">
            <color indexed="64"/>
          </left>
          <right style="thin">
            <color indexed="64"/>
          </right>
          <top style="thin">
            <color indexed="64"/>
          </top>
          <bottom style="thin">
            <color indexed="64"/>
          </bottom>
        </border>
      </dxf>
    </rfmt>
    <rfmt sheetId="1" sqref="AF48" start="0" length="0">
      <dxf>
        <numFmt numFmtId="164" formatCode="_-* #,##0_-;\-* #,##0_-;_-* &quot;-&quot;??_-;_-@_-"/>
        <border outline="0">
          <left style="thin">
            <color indexed="64"/>
          </left>
          <right style="thin">
            <color indexed="64"/>
          </right>
          <top style="thin">
            <color indexed="64"/>
          </top>
          <bottom style="thin">
            <color indexed="64"/>
          </bottom>
        </border>
      </dxf>
    </rfmt>
    <rfmt sheetId="1" sqref="AG48" start="0" length="0">
      <dxf>
        <numFmt numFmtId="27" formatCode="dd/mm/yyyy\ h:mm"/>
        <border outline="0">
          <left style="thin">
            <color indexed="64"/>
          </left>
          <right style="thin">
            <color indexed="64"/>
          </right>
          <top style="thin">
            <color indexed="64"/>
          </top>
          <bottom style="thin">
            <color indexed="64"/>
          </bottom>
        </border>
      </dxf>
    </rfmt>
    <rfmt sheetId="1" sqref="AH48" start="0" length="0">
      <dxf>
        <numFmt numFmtId="164" formatCode="_-* #,##0_-;\-* #,##0_-;_-* &quot;-&quot;??_-;_-@_-"/>
        <border outline="0">
          <left style="thin">
            <color indexed="64"/>
          </left>
          <right style="thin">
            <color indexed="64"/>
          </right>
          <top style="thin">
            <color indexed="64"/>
          </top>
          <bottom style="thin">
            <color indexed="64"/>
          </bottom>
        </border>
      </dxf>
    </rfmt>
    <rfmt sheetId="1" sqref="AI48" start="0" length="0">
      <dxf>
        <border outline="0">
          <left style="thin">
            <color indexed="64"/>
          </left>
          <right style="thin">
            <color indexed="64"/>
          </right>
          <top style="thin">
            <color indexed="64"/>
          </top>
          <bottom style="thin">
            <color indexed="64"/>
          </bottom>
        </border>
      </dxf>
    </rfmt>
    <rfmt sheetId="1" sqref="AJ48" start="0" length="0">
      <dxf>
        <border outline="0">
          <left style="thin">
            <color indexed="64"/>
          </left>
          <right style="thin">
            <color indexed="64"/>
          </right>
          <top style="thin">
            <color indexed="64"/>
          </top>
          <bottom style="thin">
            <color indexed="64"/>
          </bottom>
        </border>
      </dxf>
    </rfmt>
    <rfmt sheetId="1" sqref="AK48" start="0" length="0">
      <dxf>
        <border outline="0">
          <left style="thin">
            <color indexed="64"/>
          </left>
          <right style="thin">
            <color indexed="64"/>
          </right>
          <top style="thin">
            <color indexed="64"/>
          </top>
          <bottom style="thin">
            <color indexed="64"/>
          </bottom>
        </border>
      </dxf>
    </rfmt>
    <rfmt sheetId="1" sqref="AL48" start="0" length="0">
      <dxf/>
    </rfmt>
    <rfmt sheetId="1" sqref="AM48" start="0" length="0">
      <dxf>
        <numFmt numFmtId="1" formatCode="0"/>
      </dxf>
    </rfmt>
    <rfmt sheetId="1" sqref="AN48" start="0" length="0">
      <dxf>
        <numFmt numFmtId="1" formatCode="0"/>
      </dxf>
    </rfmt>
    <rfmt sheetId="1" sqref="AO48" start="0" length="0">
      <dxf/>
    </rfmt>
    <rfmt sheetId="1" sqref="AP48" start="0" length="0">
      <dxf/>
    </rfmt>
    <rfmt sheetId="1" sqref="AQ48" start="0" length="0">
      <dxf>
        <numFmt numFmtId="164" formatCode="_-* #,##0_-;\-* #,##0_-;_-* &quot;-&quot;??_-;_-@_-"/>
      </dxf>
    </rfmt>
    <rfmt sheetId="1" sqref="AR48" start="0" length="0">
      <dxf>
        <numFmt numFmtId="164" formatCode="_-* #,##0_-;\-* #,##0_-;_-* &quot;-&quot;??_-;_-@_-"/>
      </dxf>
    </rfmt>
    <rfmt sheetId="1" sqref="AS48" start="0" length="0">
      <dxf>
        <numFmt numFmtId="164" formatCode="_-* #,##0_-;\-* #,##0_-;_-* &quot;-&quot;??_-;_-@_-"/>
      </dxf>
    </rfmt>
    <rfmt sheetId="1" sqref="AT48" start="0" length="0">
      <dxf>
        <numFmt numFmtId="164" formatCode="_-* #,##0_-;\-* #,##0_-;_-* &quot;-&quot;??_-;_-@_-"/>
      </dxf>
    </rfmt>
    <rfmt sheetId="1" sqref="AU48" start="0" length="0">
      <dxf/>
    </rfmt>
    <rfmt sheetId="1" sqref="AV48" start="0" length="0">
      <dxf/>
    </rfmt>
    <rfmt sheetId="1" sqref="AW48" start="0" length="0">
      <dxf/>
    </rfmt>
    <rfmt sheetId="1" sqref="AX48" start="0" length="0">
      <dxf/>
    </rfmt>
    <rfmt sheetId="1" sqref="AY48" start="0" length="0">
      <dxf/>
    </rfmt>
  </rm>
  <rrc rId="1330" sId="1" ref="A46:XFD46" action="deleteRow">
    <rfmt sheetId="1" xfDxf="1" sqref="A46:XFD46" start="0" length="0"/>
    <rfmt sheetId="1" sqref="A46" start="0" length="0">
      <dxf>
        <alignment horizontal="center" vertical="top" readingOrder="0"/>
      </dxf>
    </rfmt>
    <rfmt sheetId="1" sqref="M46" start="0" length="0">
      <dxf>
        <numFmt numFmtId="35" formatCode="_-* #,##0.00_-;\-* #,##0.00_-;_-* &quot;-&quot;??_-;_-@_-"/>
      </dxf>
    </rfmt>
    <rfmt sheetId="1" sqref="N46" start="0" length="0">
      <dxf>
        <numFmt numFmtId="35" formatCode="_-* #,##0.00_-;\-* #,##0.00_-;_-* &quot;-&quot;??_-;_-@_-"/>
      </dxf>
    </rfmt>
    <rfmt sheetId="1" sqref="R46" start="0" length="0">
      <dxf>
        <numFmt numFmtId="35" formatCode="_-* #,##0.00_-;\-* #,##0.00_-;_-* &quot;-&quot;??_-;_-@_-"/>
      </dxf>
    </rfmt>
    <rfmt sheetId="1" sqref="S46" start="0" length="0">
      <dxf>
        <numFmt numFmtId="35" formatCode="_-* #,##0.00_-;\-* #,##0.00_-;_-* &quot;-&quot;??_-;_-@_-"/>
      </dxf>
    </rfmt>
  </rrc>
  <rfmt sheetId="1" sqref="A46" start="0" length="0">
    <dxf>
      <fill>
        <patternFill patternType="solid">
          <bgColor rgb="FFFFFF00"/>
        </patternFill>
      </fill>
    </dxf>
  </rfmt>
  <rcc rId="1331" sId="1">
    <nc r="B46" t="inlineStr">
      <is>
        <t>Claudia Parrilla</t>
      </is>
    </nc>
  </rcc>
  <rcc rId="1332" sId="1">
    <nc r="C46">
      <v>2005</v>
    </nc>
  </rcc>
  <rcc rId="1333" sId="1">
    <nc r="D46">
      <v>3</v>
    </nc>
  </rcc>
  <rcc rId="1334" sId="1">
    <nc r="E46" t="inlineStr">
      <is>
        <t>10/02 al 12/02/2026</t>
      </is>
    </nc>
  </rcc>
  <rcc rId="1335" sId="1" numFmtId="19">
    <nc r="F46">
      <v>46063</v>
    </nc>
  </rcc>
  <rcc rId="1336" sId="1" numFmtId="19">
    <nc r="G46">
      <v>46065</v>
    </nc>
  </rcc>
  <rfmt sheetId="1" sqref="I46" start="0" length="0">
    <dxf>
      <numFmt numFmtId="164" formatCode="_-* #,##0_-;\-* #,##0_-;_-* &quot;-&quot;??_-;_-@_-"/>
    </dxf>
  </rfmt>
  <rcc rId="1337" sId="1">
    <nc r="K46" t="inlineStr">
      <is>
        <t>Alquiler</t>
      </is>
    </nc>
  </rcc>
  <rcc rId="1338" sId="1" numFmtId="34">
    <nc r="I46">
      <v>12</v>
    </nc>
  </rcc>
  <rcc rId="1339" sId="1">
    <nc r="H46">
      <f>12*263</f>
    </nc>
  </rcc>
  <rcc rId="1340" sId="1">
    <nc r="J46" t="inlineStr">
      <is>
        <t>Montevideo</t>
      </is>
    </nc>
  </rcc>
  <rcv guid="{D015136D-255F-4042-9389-EB535F138010}" action="delete"/>
  <rdn rId="0" localSheetId="1" customView="1" name="Z_D015136D_255F_4042_9389_EB535F138010_.wvu.FilterData" hidden="1" oldHidden="1">
    <formula>DATA!$A$1:$AK$43</formula>
    <oldFormula>DATA!$A$1:$AK$43</oldFormula>
  </rdn>
  <rcv guid="{D015136D-255F-4042-9389-EB535F138010}" action="add"/>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2" sId="1">
    <oc r="D46">
      <v>3</v>
    </oc>
    <nc r="D46">
      <v>2</v>
    </nc>
  </rcc>
  <rcc rId="1343" sId="1">
    <oc r="E46" t="inlineStr">
      <is>
        <t>10/02 al 12/02/2026</t>
      </is>
    </oc>
    <nc r="E46" t="inlineStr">
      <is>
        <t>19/02 al 20/02/2026</t>
      </is>
    </nc>
  </rcc>
</revisions>
</file>

<file path=xl/revisions/revisionLog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4" sId="1">
    <nc r="A46">
      <v>45</v>
    </nc>
  </rcc>
  <rcc rId="1345" sId="1">
    <nc r="A47">
      <v>46</v>
    </nc>
  </rcc>
  <rfmt sheetId="1" sqref="A46:A47">
    <dxf>
      <fill>
        <patternFill patternType="none">
          <bgColor auto="1"/>
        </patternFill>
      </fill>
    </dxf>
  </rfmt>
  <rcv guid="{D015136D-255F-4042-9389-EB535F138010}" action="delete"/>
  <rdn rId="0" localSheetId="1" customView="1" name="Z_D015136D_255F_4042_9389_EB535F138010_.wvu.FilterData" hidden="1" oldHidden="1">
    <formula>DATA!$A$1:$AK$43</formula>
    <oldFormula>DATA!$A$1:$AK$43</oldFormula>
  </rdn>
  <rcv guid="{D015136D-255F-4042-9389-EB535F138010}" action="add"/>
</revisions>
</file>

<file path=xl/revisions/revisionLog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7" sId="1">
    <nc r="M39">
      <f>+N39-H39</f>
    </nc>
  </rcc>
  <rcc rId="1348" sId="1">
    <nc r="N39">
      <f>2901+2800.4+1518</f>
    </nc>
  </rcc>
  <rcc rId="1349" sId="1">
    <nc r="P39">
      <f>20+1</f>
    </nc>
  </rcc>
  <rcc rId="1350" sId="1">
    <nc r="Q39">
      <f>+P39+O39</f>
    </nc>
  </rcc>
  <rcc rId="1351" sId="1">
    <nc r="R39">
      <f>(N39/Q39)</f>
    </nc>
  </rcc>
  <rcc rId="1352" sId="1">
    <nc r="S39">
      <f>(('Costo por negocio'!$B$2-DATA!R39)*DATA!O39)+('Costo por negocio'!$C$2-DATA!R39)*DATA!P39</f>
    </nc>
  </rcc>
  <rcc rId="1353" sId="1">
    <nc r="U39" t="inlineStr">
      <is>
        <t>SI</t>
      </is>
    </nc>
  </rcc>
  <rcc rId="1354" sId="1">
    <nc r="V39" t="inlineStr">
      <is>
        <t>SI</t>
      </is>
    </nc>
  </rcc>
  <rcc rId="1355" sId="1">
    <nc r="W39" t="inlineStr">
      <is>
        <t>SI</t>
      </is>
    </nc>
  </rcc>
  <rcc rId="1356" sId="1" numFmtId="19">
    <nc r="T39">
      <v>46066</v>
    </nc>
  </rcc>
  <rcc rId="1357" sId="1">
    <nc r="Y39" t="inlineStr">
      <is>
        <t>BED 2529</t>
      </is>
    </nc>
  </rcc>
  <rfmt sheetId="1" sqref="A38:AK38" start="0" length="2147483647">
    <dxf>
      <font>
        <color theme="0"/>
      </font>
    </dxf>
  </rfmt>
  <rfmt sheetId="1" sqref="A38:AK38">
    <dxf>
      <fill>
        <patternFill patternType="solid">
          <bgColor rgb="FF92D050"/>
        </patternFill>
      </fill>
    </dxf>
  </rfmt>
  <rfmt sheetId="1" sqref="A38:AK38" start="0" length="2147483647">
    <dxf>
      <font>
        <color auto="1"/>
      </font>
    </dxf>
  </rfmt>
  <rcc rId="1358" sId="1" odxf="1" dxf="1" numFmtId="34">
    <nc r="AD39">
      <v>79309</v>
    </nc>
    <odxf>
      <font>
        <name val="Calibri"/>
        <scheme val="none"/>
      </font>
      <fill>
        <patternFill patternType="none">
          <bgColor indexed="65"/>
        </patternFill>
      </fill>
    </odxf>
    <ndxf>
      <font>
        <color auto="1"/>
        <name val="Calibri"/>
        <scheme val="none"/>
      </font>
      <fill>
        <patternFill patternType="solid">
          <bgColor rgb="FF92D050"/>
        </patternFill>
      </fill>
    </ndxf>
  </rcc>
  <rcc rId="1359" sId="1" odxf="1" dxf="1" numFmtId="27">
    <nc r="AE39">
      <v>46062.666666666664</v>
    </nc>
    <odxf>
      <font>
        <name val="Calibri"/>
        <scheme val="none"/>
      </font>
      <fill>
        <patternFill patternType="none">
          <bgColor indexed="65"/>
        </patternFill>
      </fill>
    </odxf>
    <ndxf>
      <font>
        <color auto="1"/>
        <name val="Calibri"/>
        <scheme val="none"/>
      </font>
      <fill>
        <patternFill patternType="solid">
          <bgColor rgb="FF92D050"/>
        </patternFill>
      </fill>
    </ndxf>
  </rcc>
  <rcc rId="1360" sId="1" odxf="1" dxf="1" numFmtId="34">
    <nc r="AF39">
      <v>80279</v>
    </nc>
    <odxf>
      <font>
        <name val="Calibri"/>
        <scheme val="none"/>
      </font>
      <fill>
        <patternFill patternType="none">
          <bgColor indexed="65"/>
        </patternFill>
      </fill>
    </odxf>
    <ndxf>
      <font>
        <color auto="1"/>
        <name val="Calibri"/>
        <scheme val="none"/>
      </font>
      <fill>
        <patternFill patternType="solid">
          <bgColor rgb="FF92D050"/>
        </patternFill>
      </fill>
    </ndxf>
  </rcc>
  <rcc rId="1361" sId="1" odxf="1" dxf="1" numFmtId="27">
    <nc r="AG39">
      <v>46065.381944444445</v>
    </nc>
    <odxf>
      <font>
        <name val="Calibri"/>
        <scheme val="none"/>
      </font>
      <fill>
        <patternFill patternType="none">
          <bgColor indexed="65"/>
        </patternFill>
      </fill>
    </odxf>
    <ndxf>
      <font>
        <color auto="1"/>
        <name val="Calibri"/>
        <scheme val="none"/>
      </font>
      <fill>
        <patternFill patternType="solid">
          <bgColor rgb="FF92D050"/>
        </patternFill>
      </fill>
    </ndxf>
  </rcc>
  <rcc rId="1362" sId="1" odxf="1" dxf="1">
    <nc r="AH39">
      <f>+AF39-AD39</f>
    </nc>
    <odxf>
      <font>
        <name val="Calibri"/>
        <scheme val="none"/>
      </font>
      <fill>
        <patternFill patternType="none">
          <bgColor indexed="65"/>
        </patternFill>
      </fill>
    </odxf>
    <ndxf>
      <font>
        <color auto="1"/>
        <name val="Calibri"/>
        <scheme val="none"/>
      </font>
      <fill>
        <patternFill patternType="solid">
          <bgColor rgb="FF92D050"/>
        </patternFill>
      </fill>
    </ndxf>
  </rcc>
  <rcc rId="1363" sId="1" odxf="1" dxf="1">
    <nc r="AI39">
      <v>3</v>
    </nc>
    <odxf>
      <font>
        <name val="Calibri"/>
        <scheme val="none"/>
      </font>
      <fill>
        <patternFill patternType="none">
          <bgColor indexed="65"/>
        </patternFill>
      </fill>
    </odxf>
    <ndxf>
      <font>
        <color auto="1"/>
        <name val="Calibri"/>
        <scheme val="none"/>
      </font>
      <fill>
        <patternFill patternType="solid">
          <bgColor rgb="FF92D050"/>
        </patternFill>
      </fill>
    </ndxf>
  </rcc>
  <rcc rId="1364" sId="1" odxf="1" dxf="1">
    <nc r="AJ39">
      <f>+AI39*5</f>
    </nc>
    <odxf>
      <font>
        <name val="Calibri"/>
        <scheme val="none"/>
      </font>
      <fill>
        <patternFill patternType="none">
          <bgColor indexed="65"/>
        </patternFill>
      </fill>
    </odxf>
    <ndxf>
      <font>
        <color auto="1"/>
        <name val="Calibri"/>
        <scheme val="none"/>
      </font>
      <fill>
        <patternFill patternType="solid">
          <bgColor rgb="FF92D050"/>
        </patternFill>
      </fill>
    </ndxf>
  </rcc>
  <rcc rId="1365" sId="1" odxf="1" dxf="1">
    <nc r="AK39">
      <f>+Q39-AJ39</f>
    </nc>
    <odxf>
      <font>
        <name val="Calibri"/>
        <scheme val="none"/>
      </font>
      <fill>
        <patternFill patternType="none">
          <bgColor indexed="65"/>
        </patternFill>
      </fill>
    </odxf>
    <ndxf>
      <font>
        <color auto="1"/>
        <name val="Calibri"/>
        <scheme val="none"/>
      </font>
      <fill>
        <patternFill patternType="solid">
          <bgColor rgb="FF92D050"/>
        </patternFill>
      </fill>
    </ndxf>
  </rcc>
  <rfmt sheetId="1" sqref="A38:AK38">
    <dxf>
      <fill>
        <patternFill patternType="none">
          <bgColor auto="1"/>
        </patternFill>
      </fill>
    </dxf>
  </rfmt>
  <rcc rId="1366" sId="1">
    <nc r="AM39">
      <f>+AH39/Q39</f>
    </nc>
  </rcc>
  <rcc rId="1367" sId="1">
    <nc r="AN39">
      <f>+Q39/AI39</f>
    </nc>
  </rcc>
  <rcc rId="1368" sId="1">
    <nc r="AQ39">
      <f>+N39/78.54</f>
    </nc>
  </rcc>
  <rcc rId="1369" sId="1">
    <nc r="AR39">
      <f>+AH39/11</f>
    </nc>
  </rcc>
  <rcc rId="1370" sId="1">
    <nc r="AS39">
      <f>+AR39-AQ39</f>
    </nc>
  </rcc>
  <rcc rId="1371" sId="1">
    <nc r="AT39">
      <f>+AH39/AQ39</f>
    </nc>
  </rcc>
  <rfmt sheetId="1" sqref="A39:AK39">
    <dxf>
      <fill>
        <patternFill>
          <bgColor rgb="FF92D050"/>
        </patternFill>
      </fill>
    </dxf>
  </rfmt>
  <rcv guid="{D015136D-255F-4042-9389-EB535F138010}" action="delete"/>
  <rdn rId="0" localSheetId="1" customView="1" name="Z_D015136D_255F_4042_9389_EB535F138010_.wvu.FilterData" hidden="1" oldHidden="1">
    <formula>DATA!$A$1:$AK$43</formula>
    <oldFormula>DATA!$A$1:$AK$43</oldFormula>
  </rdn>
  <rcv guid="{D015136D-255F-4042-9389-EB535F138010}" action="add"/>
</revisions>
</file>

<file path=xl/revisions/revisionLog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3" sId="1">
    <nc r="M35">
      <f>+N35-H35</f>
    </nc>
  </rcc>
  <rcc rId="1374" sId="1">
    <nc r="N35">
      <f>2527+2349.5+1428.6+1266.7</f>
    </nc>
  </rcc>
  <rcc rId="1375" sId="1">
    <nc r="P35">
      <f>20+2</f>
    </nc>
  </rcc>
  <rcc rId="1376" sId="1">
    <nc r="Q35">
      <f>+P35+O35</f>
    </nc>
  </rcc>
  <rcc rId="1377" sId="1">
    <nc r="R35">
      <f>(N35/Q35)</f>
    </nc>
  </rcc>
  <rcc rId="1378" sId="1">
    <nc r="S35">
      <f>(('Costo por negocio'!$B$2-DATA!R35)*DATA!O35)+('Costo por negocio'!$C$2-DATA!R35)*DATA!P35</f>
    </nc>
  </rcc>
  <rcc rId="1379" sId="1">
    <nc r="U35" t="inlineStr">
      <is>
        <t>SI</t>
      </is>
    </nc>
  </rcc>
  <rcc rId="1380" sId="1">
    <nc r="V35" t="inlineStr">
      <is>
        <t>SI</t>
      </is>
    </nc>
  </rcc>
  <rcc rId="1381" sId="1">
    <nc r="W35" t="inlineStr">
      <is>
        <t>SI</t>
      </is>
    </nc>
  </rcc>
  <rcc rId="1382" sId="1" numFmtId="19">
    <nc r="T35">
      <v>46066</v>
    </nc>
  </rcc>
  <rcc rId="1383" sId="1">
    <nc r="Y35" t="inlineStr">
      <is>
        <t>BEB 9257</t>
      </is>
    </nc>
  </rcc>
  <rcc rId="1384" sId="1" numFmtId="34">
    <nc r="AD35">
      <v>81267</v>
    </nc>
  </rcc>
  <rcc rId="1385" sId="1" numFmtId="27">
    <nc r="AE35">
      <v>46062.708333333336</v>
    </nc>
  </rcc>
  <rcc rId="1386" sId="1" numFmtId="34">
    <nc r="AF35">
      <v>82641</v>
    </nc>
  </rcc>
  <rcc rId="1387" sId="1" numFmtId="27">
    <nc r="AG35">
      <v>46066.388194444444</v>
    </nc>
  </rcc>
  <rcc rId="1388" sId="1">
    <nc r="AH35">
      <f>+AF35-AD35</f>
    </nc>
  </rcc>
  <rcc rId="1389" sId="1">
    <nc r="AI35">
      <v>3</v>
    </nc>
  </rcc>
  <rcc rId="1390" sId="1">
    <nc r="AJ35">
      <f>+AI35*5</f>
    </nc>
  </rcc>
  <rcc rId="1391" sId="1">
    <nc r="AK35">
      <f>+Q35-AJ35</f>
    </nc>
  </rcc>
  <rcc rId="1392" sId="1">
    <nc r="AM35">
      <f>+AH35/Q35</f>
    </nc>
  </rcc>
  <rcc rId="1393" sId="1">
    <nc r="AN35">
      <f>+Q35/AI35</f>
    </nc>
  </rcc>
  <rcc rId="1394" sId="1">
    <nc r="AQ35">
      <f>+N35/78.54</f>
    </nc>
  </rcc>
  <rcc rId="1395" sId="1">
    <nc r="AR35">
      <f>+AH35/11</f>
    </nc>
  </rcc>
  <rcc rId="1396" sId="1">
    <nc r="AS35">
      <f>+AR35-AQ35</f>
    </nc>
  </rcc>
  <rcc rId="1397" sId="1">
    <nc r="AT35">
      <f>+AH35/AQ35</f>
    </nc>
  </rcc>
  <rfmt sheetId="1" sqref="A35:AK35">
    <dxf>
      <fill>
        <patternFill patternType="solid">
          <bgColor rgb="FF92D050"/>
        </patternFill>
      </fill>
    </dxf>
  </rfmt>
  <rcv guid="{D015136D-255F-4042-9389-EB535F138010}" action="delete"/>
  <rdn rId="0" localSheetId="1" customView="1" name="Z_D015136D_255F_4042_9389_EB535F138010_.wvu.FilterData" hidden="1" oldHidden="1">
    <formula>DATA!$A$1:$AK$43</formula>
    <oldFormula>DATA!$A$1:$AK$43</oldFormula>
  </rdn>
  <rcv guid="{D015136D-255F-4042-9389-EB535F138010}" action="add"/>
</revisions>
</file>

<file path=xl/revisions/revisionLog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9" sId="1">
    <nc r="M38">
      <f>+N38-H38</f>
    </nc>
  </rcc>
  <rcc rId="1400" sId="1">
    <nc r="N38">
      <f>3066.5+400.6</f>
    </nc>
  </rcc>
  <rcc rId="1401" sId="1">
    <nc r="O38">
      <f>20+10</f>
    </nc>
  </rcc>
  <rcc rId="1402" sId="1">
    <nc r="Q38">
      <f>+P38+O38</f>
    </nc>
  </rcc>
  <rcc rId="1403" sId="1">
    <nc r="R38">
      <f>(N38/Q38)</f>
    </nc>
  </rcc>
  <rcc rId="1404" sId="1">
    <nc r="S38">
      <f>(('Costo por negocio'!$B$2-DATA!R38)*DATA!O38)+('Costo por negocio'!$C$2-DATA!R38)*DATA!P38</f>
    </nc>
  </rcc>
  <rcc rId="1405" sId="1" numFmtId="19">
    <nc r="T38">
      <v>46066</v>
    </nc>
  </rcc>
  <rcc rId="1406" sId="1">
    <nc r="U38" t="inlineStr">
      <is>
        <t>SI</t>
      </is>
    </nc>
  </rcc>
  <rcc rId="1407" sId="1">
    <nc r="V38" t="inlineStr">
      <is>
        <t>SI</t>
      </is>
    </nc>
  </rcc>
  <rcc rId="1408" sId="1">
    <nc r="W38" t="inlineStr">
      <is>
        <t>SI</t>
      </is>
    </nc>
  </rcc>
  <rcc rId="1409" sId="1" numFmtId="34">
    <nc r="AD38">
      <v>82664</v>
    </nc>
  </rcc>
  <rcc rId="1410" sId="1" numFmtId="27">
    <nc r="AE38">
      <v>46062.375</v>
    </nc>
  </rcc>
  <rcc rId="1411" sId="1" numFmtId="34">
    <nc r="AF38">
      <v>83123</v>
    </nc>
  </rcc>
  <rcc rId="1412" sId="1" numFmtId="27">
    <nc r="AG38">
      <v>46066.385416666664</v>
    </nc>
  </rcc>
  <rcc rId="1413" sId="1">
    <nc r="AH38">
      <f>+AF38-AD38</f>
    </nc>
  </rcc>
  <rcc rId="1414" sId="1">
    <nc r="AI38">
      <v>4</v>
    </nc>
  </rcc>
  <rcc rId="1415" sId="1">
    <nc r="AJ38">
      <f>+AI38*5</f>
    </nc>
  </rcc>
  <rcc rId="1416" sId="1">
    <nc r="AK38">
      <f>+Q38-AJ38</f>
    </nc>
  </rcc>
  <rcc rId="1417" sId="1">
    <nc r="AM38">
      <f>+AH38/Q38</f>
    </nc>
  </rcc>
  <rcc rId="1418" sId="1">
    <nc r="AN38">
      <f>+Q38/AI38</f>
    </nc>
  </rcc>
  <rcc rId="1419" sId="1">
    <nc r="AQ38">
      <f>+N38/78.54</f>
    </nc>
  </rcc>
  <rcc rId="1420" sId="1">
    <nc r="AR38">
      <f>+AH38/11</f>
    </nc>
  </rcc>
  <rcc rId="1421" sId="1">
    <nc r="AS38">
      <f>+AR38-AQ38</f>
    </nc>
  </rcc>
  <rcc rId="1422" sId="1">
    <nc r="AT38">
      <f>+AH38/AQ38</f>
    </nc>
  </rcc>
  <rfmt sheetId="1" sqref="A38:AK38">
    <dxf>
      <fill>
        <patternFill patternType="solid">
          <bgColor rgb="FF92D050"/>
        </patternFill>
      </fill>
    </dxf>
  </rfmt>
  <rcv guid="{D015136D-255F-4042-9389-EB535F138010}" action="delete"/>
  <rdn rId="0" localSheetId="1" customView="1" name="Z_D015136D_255F_4042_9389_EB535F138010_.wvu.FilterData" hidden="1" oldHidden="1">
    <formula>DATA!$A$1:$AK$43</formula>
    <oldFormula>DATA!$A$1:$AK$43</oldFormula>
  </rdn>
  <rcv guid="{D015136D-255F-4042-9389-EB535F138010}" action="add"/>
</revisions>
</file>

<file path=xl/revisions/revisionLog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24" sId="1">
    <nc r="M37">
      <f>+N37-H37</f>
    </nc>
  </rcc>
  <rcc rId="1425" sId="1">
    <nc r="N37">
      <f>2200.5+1370.7</f>
    </nc>
  </rcc>
  <rcc rId="1426" sId="1" numFmtId="34">
    <nc r="O37">
      <v>6</v>
    </nc>
  </rcc>
  <rcc rId="1427" sId="1" numFmtId="34">
    <nc r="P37">
      <v>11</v>
    </nc>
  </rcc>
  <rcc rId="1428" sId="1">
    <nc r="Q37">
      <f>+P37+O37</f>
    </nc>
  </rcc>
  <rcc rId="1429" sId="1">
    <nc r="R37">
      <f>(N37/Q37)</f>
    </nc>
  </rcc>
  <rcc rId="1430" sId="1">
    <nc r="S37">
      <f>(('Costo por negocio'!$B$2-DATA!R37)*DATA!O37)+('Costo por negocio'!$C$2-DATA!R37)*DATA!P37</f>
    </nc>
  </rcc>
  <rcc rId="1431" sId="1" numFmtId="19">
    <nc r="T37">
      <v>46066</v>
    </nc>
  </rcc>
  <rcc rId="1432" sId="1">
    <nc r="U37" t="inlineStr">
      <is>
        <t>SI</t>
      </is>
    </nc>
  </rcc>
  <rcc rId="1433" sId="1">
    <nc r="V37" t="inlineStr">
      <is>
        <t>SI</t>
      </is>
    </nc>
  </rcc>
  <rcc rId="1434" sId="1">
    <nc r="W37" t="inlineStr">
      <is>
        <t>SI</t>
      </is>
    </nc>
  </rcc>
  <rcc rId="1435" sId="1">
    <nc r="Y38" t="inlineStr">
      <is>
        <t>BEC 5634</t>
      </is>
    </nc>
  </rcc>
  <rcc rId="1436" sId="1">
    <nc r="Y37" t="inlineStr">
      <is>
        <t>BEC 2029</t>
      </is>
    </nc>
  </rcc>
  <rcc rId="1437" sId="1" numFmtId="34">
    <nc r="AD37">
      <v>131518</v>
    </nc>
  </rcc>
  <rcc rId="1438" sId="1" numFmtId="27">
    <nc r="AE37">
      <v>46062.708333333336</v>
    </nc>
  </rcc>
  <rcc rId="1439" sId="1" numFmtId="34">
    <nc r="AF37">
      <v>132048</v>
    </nc>
  </rcc>
  <rcc rId="1440" sId="1" numFmtId="27">
    <nc r="AG37">
      <v>46066.381944444445</v>
    </nc>
  </rcc>
  <rcc rId="1441" sId="1">
    <nc r="AH37">
      <f>+AF37-AD37</f>
    </nc>
  </rcc>
  <rcc rId="1442" sId="1">
    <nc r="AI37">
      <v>3</v>
    </nc>
  </rcc>
  <rcc rId="1443" sId="1">
    <nc r="AJ37">
      <f>+AI37*5</f>
    </nc>
  </rcc>
  <rcc rId="1444" sId="1">
    <nc r="AK37">
      <f>+Q37-AJ37</f>
    </nc>
  </rcc>
  <rcc rId="1445" sId="1">
    <nc r="AM37">
      <f>+AH37/Q37</f>
    </nc>
  </rcc>
  <rcc rId="1446" sId="1">
    <nc r="AN37">
      <f>+Q37/AI37</f>
    </nc>
  </rcc>
  <rcc rId="1447" sId="1">
    <nc r="AQ37">
      <f>+N37/78.54</f>
    </nc>
  </rcc>
  <rcc rId="1448" sId="1">
    <nc r="AR37">
      <f>+AH37/11</f>
    </nc>
  </rcc>
  <rcc rId="1449" sId="1">
    <nc r="AS37">
      <f>+AR37-AQ37</f>
    </nc>
  </rcc>
  <rcc rId="1450" sId="1">
    <nc r="AT37">
      <f>+AH37/AQ37</f>
    </nc>
  </rcc>
  <rfmt sheetId="1" sqref="A37:AK37">
    <dxf>
      <fill>
        <patternFill patternType="solid">
          <bgColor rgb="FF92D050"/>
        </patternFill>
      </fill>
    </dxf>
  </rfmt>
  <rcv guid="{D015136D-255F-4042-9389-EB535F138010}" action="delete"/>
  <rdn rId="0" localSheetId="1" customView="1" name="Z_D015136D_255F_4042_9389_EB535F138010_.wvu.FilterData" hidden="1" oldHidden="1">
    <formula>DATA!$A$1:$AK$43</formula>
    <oldFormula>DATA!$A$1:$AK$43</oldFormula>
  </rdn>
  <rcv guid="{D015136D-255F-4042-9389-EB535F138010}" action="add"/>
</revisions>
</file>

<file path=xl/revisions/revisionLog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2" sId="1">
    <nc r="M36">
      <f>+N36-H36</f>
    </nc>
  </rcc>
  <rcc rId="1453" sId="1">
    <nc r="N36">
      <f>2200+1820.2+500</f>
    </nc>
  </rcc>
  <rcc rId="1454" sId="1" numFmtId="34">
    <nc r="P36">
      <v>10</v>
    </nc>
  </rcc>
  <rcc rId="1455" sId="1">
    <nc r="Q36">
      <f>+P36+O36</f>
    </nc>
  </rcc>
  <rcc rId="1456" sId="1">
    <nc r="R36">
      <f>(N36/Q36)</f>
    </nc>
  </rcc>
  <rcc rId="1457" sId="1">
    <nc r="S36">
      <f>(('Costo por negocio'!$B$2-DATA!R36)*DATA!O36)+('Costo por negocio'!$C$2-DATA!R36)*DATA!P36</f>
    </nc>
  </rcc>
  <rcc rId="1458" sId="1" numFmtId="19">
    <nc r="T36">
      <v>46066</v>
    </nc>
  </rcc>
  <rcc rId="1459" sId="1">
    <nc r="U36" t="inlineStr">
      <is>
        <t>SI</t>
      </is>
    </nc>
  </rcc>
  <rcc rId="1460" sId="1">
    <nc r="V36" t="inlineStr">
      <is>
        <t>SI</t>
      </is>
    </nc>
  </rcc>
  <rcc rId="1461" sId="1">
    <nc r="W36" t="inlineStr">
      <is>
        <t>SI</t>
      </is>
    </nc>
  </rcc>
  <rcc rId="1462" sId="1">
    <nc r="Y36" t="inlineStr">
      <is>
        <t>BEC 5478</t>
      </is>
    </nc>
  </rcc>
  <rcc rId="1463" sId="1" numFmtId="34">
    <nc r="AD36">
      <v>78049</v>
    </nc>
  </rcc>
  <rcc rId="1464" sId="1" numFmtId="27">
    <nc r="AE36">
      <v>46062.659722222219</v>
    </nc>
  </rcc>
  <rcc rId="1465" sId="1" numFmtId="34">
    <nc r="AF36">
      <v>78681</v>
    </nc>
  </rcc>
  <rcc rId="1466" sId="1" numFmtId="27">
    <nc r="AG36">
      <v>46066.378472222219</v>
    </nc>
  </rcc>
  <rcc rId="1467" sId="1">
    <nc r="AH36">
      <f>+AF36-AD36</f>
    </nc>
  </rcc>
  <rcc rId="1468" sId="1">
    <nc r="AI36">
      <v>3</v>
    </nc>
  </rcc>
  <rcc rId="1469" sId="1">
    <nc r="AJ36">
      <f>+AI36*5</f>
    </nc>
  </rcc>
  <rcc rId="1470" sId="1">
    <nc r="AK36">
      <f>+Q36-AJ36</f>
    </nc>
  </rcc>
  <rcc rId="1471" sId="1">
    <nc r="AM36">
      <f>+AH36/Q36</f>
    </nc>
  </rcc>
  <rcc rId="1472" sId="1">
    <nc r="AN36">
      <f>+Q36/AI36</f>
    </nc>
  </rcc>
  <rcc rId="1473" sId="1">
    <nc r="AQ36">
      <f>+N36/78.54</f>
    </nc>
  </rcc>
  <rcc rId="1474" sId="1">
    <nc r="AR36">
      <f>+AH36/11</f>
    </nc>
  </rcc>
  <rcc rId="1475" sId="1">
    <nc r="AS36">
      <f>+AR36-AQ36</f>
    </nc>
  </rcc>
  <rcc rId="1476" sId="1">
    <nc r="AT36">
      <f>+AH36/AQ36</f>
    </nc>
  </rcc>
  <rfmt sheetId="1" sqref="A36:AK36">
    <dxf>
      <fill>
        <patternFill patternType="solid">
          <bgColor rgb="FF92D050"/>
        </patternFill>
      </fill>
    </dxf>
  </rfmt>
  <rcv guid="{D015136D-255F-4042-9389-EB535F138010}" action="delete"/>
  <rdn rId="0" localSheetId="1" customView="1" name="Z_D015136D_255F_4042_9389_EB535F138010_.wvu.FilterData" hidden="1" oldHidden="1">
    <formula>DATA!$A$1:$AK$43</formula>
    <oldFormula>DATA!$A$1:$AK$43</oldFormula>
  </rdn>
  <rcv guid="{D015136D-255F-4042-9389-EB535F138010}" action="add"/>
</revisions>
</file>

<file path=xl/revisions/revisionLog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8" sId="1">
    <nc r="B48" t="inlineStr">
      <is>
        <t>Claudia Parrilla</t>
      </is>
    </nc>
  </rcc>
  <rcc rId="1479" sId="1">
    <nc r="C48">
      <v>2005</v>
    </nc>
  </rcc>
  <rcc rId="1480" sId="1">
    <nc r="H48">
      <f>12*263</f>
    </nc>
  </rcc>
  <rcc rId="1481" sId="1">
    <nc r="I48">
      <v>12</v>
    </nc>
  </rcc>
  <rcc rId="1482" sId="1">
    <nc r="J48" t="inlineStr">
      <is>
        <t>Montevideo</t>
      </is>
    </nc>
  </rcc>
  <rcc rId="1483" sId="1">
    <nc r="K48" t="inlineStr">
      <is>
        <t>Alquiler</t>
      </is>
    </nc>
  </rcc>
  <rfmt sheetId="1" sqref="A48">
    <dxf>
      <fill>
        <patternFill patternType="solid">
          <bgColor rgb="FFFFFF00"/>
        </patternFill>
      </fill>
    </dxf>
  </rfmt>
  <rcc rId="1484" sId="1">
    <nc r="D48">
      <v>3</v>
    </nc>
  </rcc>
  <rcc rId="1485" sId="1">
    <nc r="E48" t="inlineStr">
      <is>
        <t>24/02 al 26/02/2026</t>
      </is>
    </nc>
  </rcc>
  <rcc rId="1486" sId="1" numFmtId="19">
    <nc r="F48">
      <v>46077</v>
    </nc>
  </rcc>
  <rcc rId="1487" sId="1" numFmtId="19">
    <nc r="G48">
      <v>46079</v>
    </nc>
  </rcc>
  <rcc rId="1488" sId="1" numFmtId="19">
    <oc r="F46">
      <v>46063</v>
    </oc>
    <nc r="F46">
      <v>46072</v>
    </nc>
  </rcc>
  <rcc rId="1489" sId="1" numFmtId="19">
    <oc r="G46">
      <v>46065</v>
    </oc>
    <nc r="G46">
      <v>46073</v>
    </nc>
  </rcc>
  <rcv guid="{D015136D-255F-4042-9389-EB535F138010}" action="delete"/>
  <rdn rId="0" localSheetId="1" customView="1" name="Z_D015136D_255F_4042_9389_EB535F138010_.wvu.FilterData" hidden="1" oldHidden="1">
    <formula>DATA!$A$1:$AK$47</formula>
    <oldFormula>DATA!$A$1:$AK$43</oldFormula>
  </rdn>
  <rcv guid="{D015136D-255F-4042-9389-EB535F138010}" action="add"/>
</revisions>
</file>

<file path=xl/revisions/revisionLog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49" start="0" length="0">
    <dxf>
      <fill>
        <patternFill patternType="solid">
          <bgColor rgb="FFFFFF00"/>
        </patternFill>
      </fill>
    </dxf>
  </rfmt>
  <rcc rId="1491" sId="1">
    <nc r="B49" t="inlineStr">
      <is>
        <t>Ignacio Ceroni</t>
      </is>
    </nc>
  </rcc>
  <rcc rId="1492" sId="1">
    <nc r="C49">
      <v>3007</v>
    </nc>
  </rcc>
  <rcc rId="1493" sId="1">
    <nc r="D49">
      <v>4</v>
    </nc>
  </rcc>
  <rcc rId="1494" sId="1">
    <nc r="I49">
      <v>20</v>
    </nc>
  </rcc>
  <rcc rId="1495" sId="1">
    <nc r="J49" t="inlineStr">
      <is>
        <t>Montevideo</t>
      </is>
    </nc>
  </rcc>
  <rcc rId="1496" sId="1">
    <nc r="K49" t="inlineStr">
      <is>
        <t>Alquiler</t>
      </is>
    </nc>
  </rcc>
  <rcc rId="1497" sId="1" numFmtId="19">
    <nc r="F49">
      <v>46076</v>
    </nc>
  </rcc>
  <rcc rId="1498" sId="1" numFmtId="19">
    <nc r="G49">
      <v>46079</v>
    </nc>
  </rcc>
  <rcc rId="1499" sId="1">
    <nc r="E49" t="inlineStr">
      <is>
        <t>23/02 al 26/02/2026</t>
      </is>
    </nc>
  </rcc>
  <rcc rId="1500" sId="1" numFmtId="34">
    <nc r="H49">
      <v>6000</v>
    </nc>
  </rcc>
  <rcc rId="1501" sId="1">
    <oc r="I48">
      <v>12</v>
    </oc>
    <nc r="I48">
      <v>15</v>
    </nc>
  </rcc>
  <rcc rId="1502" sId="1" numFmtId="34">
    <oc r="I46">
      <v>12</v>
    </oc>
    <nc r="I46">
      <v>15</v>
    </nc>
  </rcc>
  <rcv guid="{D015136D-255F-4042-9389-EB535F138010}" action="delete"/>
  <rdn rId="0" localSheetId="1" customView="1" name="Z_D015136D_255F_4042_9389_EB535F138010_.wvu.FilterData" hidden="1" oldHidden="1">
    <formula>DATA!$A$1:$AK$47</formula>
    <oldFormula>DATA!$A$1:$AK$47</oldFormula>
  </rdn>
  <rcv guid="{D015136D-255F-4042-9389-EB535F138010}" action="add"/>
</revisions>
</file>

<file path=xl/revisions/revisionLog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4" sId="1">
    <oc r="J49" t="inlineStr">
      <is>
        <t>Montevideo</t>
      </is>
    </oc>
    <nc r="J49" t="inlineStr">
      <is>
        <t>Montevideo, Paysandú</t>
      </is>
    </nc>
  </rcc>
  <rfmt sheetId="1" sqref="A50" start="0" length="0">
    <dxf>
      <fill>
        <patternFill patternType="solid">
          <bgColor rgb="FFFFFF00"/>
        </patternFill>
      </fill>
    </dxf>
  </rfmt>
  <rcc rId="1505" sId="1">
    <nc r="B50" t="inlineStr">
      <is>
        <t>Ricardo Cardona</t>
      </is>
    </nc>
  </rcc>
  <rcc rId="1506" sId="1">
    <nc r="C50">
      <v>1512</v>
    </nc>
  </rcc>
  <rcc rId="1507" sId="1">
    <nc r="I50">
      <v>15</v>
    </nc>
  </rcc>
  <rcc rId="1508" sId="1">
    <nc r="K50" t="inlineStr">
      <is>
        <t>Alquiler</t>
      </is>
    </nc>
  </rcc>
  <rcc rId="1509" sId="1">
    <nc r="D50">
      <v>3</v>
    </nc>
  </rcc>
  <rcc rId="1510" sId="1">
    <nc r="E50" t="inlineStr">
      <is>
        <t>24/02 al 26/02/2026</t>
      </is>
    </nc>
  </rcc>
  <rcc rId="1511" sId="1" numFmtId="19">
    <nc r="F50">
      <v>46077</v>
    </nc>
  </rcc>
  <rcc rId="1512" sId="1" numFmtId="19">
    <nc r="G50">
      <v>46079</v>
    </nc>
  </rcc>
  <rcc rId="1513" sId="1">
    <nc r="J50" t="inlineStr">
      <is>
        <t>Montevideo, Paysandú</t>
      </is>
    </nc>
  </rcc>
  <rcc rId="1514" sId="1" numFmtId="34">
    <nc r="H50">
      <v>7000</v>
    </nc>
  </rcc>
  <rcv guid="{D015136D-255F-4042-9389-EB535F138010}" action="delete"/>
  <rdn rId="0" localSheetId="1" customView="1" name="Z_D015136D_255F_4042_9389_EB535F138010_.wvu.FilterData" hidden="1" oldHidden="1">
    <formula>DATA!$A$1:$AK$47</formula>
    <oldFormula>DATA!$A$1:$AK$47</oldFormula>
  </rdn>
  <rcv guid="{D015136D-255F-4042-9389-EB535F138010}" action="add"/>
</revisions>
</file>

<file path=xl/revisions/revisionLog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6" sId="1">
    <nc r="A48">
      <v>47</v>
    </nc>
  </rcc>
  <rcc rId="1517" sId="1">
    <nc r="A49">
      <v>48</v>
    </nc>
  </rcc>
  <rcc rId="1518" sId="1">
    <nc r="A50">
      <v>49</v>
    </nc>
  </rcc>
  <rfmt sheetId="1" sqref="A51" start="0" length="0">
    <dxf>
      <fill>
        <patternFill patternType="solid">
          <bgColor rgb="FFFFFF00"/>
        </patternFill>
      </fill>
    </dxf>
  </rfmt>
  <rcc rId="1519" sId="1">
    <nc r="B51" t="inlineStr">
      <is>
        <t>Luis Amicone</t>
      </is>
    </nc>
  </rcc>
  <rcc rId="1520" sId="1">
    <nc r="C51">
      <v>3075</v>
    </nc>
  </rcc>
  <rcc rId="1521" sId="1">
    <nc r="I51">
      <v>15</v>
    </nc>
  </rcc>
  <rcc rId="1522" sId="1">
    <nc r="K51" t="inlineStr">
      <is>
        <t>Alquiler</t>
      </is>
    </nc>
  </rcc>
  <rcc rId="1523" sId="1">
    <nc r="A51">
      <v>50</v>
    </nc>
  </rcc>
  <rcc rId="1524" sId="1">
    <nc r="D51">
      <v>3</v>
    </nc>
  </rcc>
  <rcc rId="1525" sId="1">
    <nc r="E51" t="inlineStr">
      <is>
        <t>24/02 al 26/02/2026</t>
      </is>
    </nc>
  </rcc>
  <rcc rId="1526" sId="1" numFmtId="19">
    <nc r="F51">
      <v>46077</v>
    </nc>
  </rcc>
  <rcc rId="1527" sId="1" numFmtId="19">
    <nc r="G51">
      <v>46079</v>
    </nc>
  </rcc>
  <rcc rId="1528" sId="1">
    <nc r="J51" t="inlineStr">
      <is>
        <t>Montevideo, Soriano</t>
      </is>
    </nc>
  </rcc>
  <rcc rId="1529" sId="1" numFmtId="34">
    <nc r="H51">
      <v>7000</v>
    </nc>
  </rcc>
  <rfmt sheetId="1" sqref="A52" start="0" length="0">
    <dxf>
      <fill>
        <patternFill patternType="solid">
          <bgColor rgb="FFFFFF00"/>
        </patternFill>
      </fill>
    </dxf>
  </rfmt>
  <rcc rId="1530" sId="1">
    <nc r="B52" t="inlineStr">
      <is>
        <t>Fernando López</t>
      </is>
    </nc>
  </rcc>
  <rcc rId="1531" sId="1">
    <nc r="C52">
      <v>3117</v>
    </nc>
  </rcc>
  <rcc rId="1532" sId="1">
    <nc r="J52" t="inlineStr">
      <is>
        <t>Montevideo</t>
      </is>
    </nc>
  </rcc>
  <rcc rId="1533" sId="1">
    <nc r="A52">
      <v>51</v>
    </nc>
  </rcc>
  <rcc rId="1534" sId="1" numFmtId="34">
    <nc r="H52">
      <v>4000</v>
    </nc>
  </rcc>
  <rcc rId="1535" sId="1">
    <nc r="I52">
      <v>15</v>
    </nc>
  </rcc>
  <rcc rId="1536" sId="1">
    <nc r="K52" t="inlineStr">
      <is>
        <t>Alquiler</t>
      </is>
    </nc>
  </rcc>
  <rcc rId="1537" sId="1">
    <nc r="D52">
      <v>3</v>
    </nc>
  </rcc>
  <rcc rId="1538" sId="1">
    <nc r="E52" t="inlineStr">
      <is>
        <t>24/02 al 26/02/2026</t>
      </is>
    </nc>
  </rcc>
  <rcc rId="1539" sId="1" numFmtId="19">
    <nc r="F52">
      <v>46077</v>
    </nc>
  </rcc>
  <rcc rId="1540" sId="1" numFmtId="19">
    <nc r="G52">
      <v>46079</v>
    </nc>
  </rcc>
</revisions>
</file>

<file path=xl/revisions/revisionLog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DATA!$A$1:$AK$52</formula>
    <oldFormula>DATA!$A$1:$AK$52</oldFormula>
  </rdn>
  <rcv guid="{D015136D-255F-4042-9389-EB535F138010}" action="add"/>
</revisions>
</file>

<file path=xl/revisions/revisionLog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0" sId="1">
    <nc r="B53" t="inlineStr">
      <is>
        <t>Lorena Cabrera</t>
      </is>
    </nc>
  </rcc>
  <rcc rId="1601" sId="1">
    <nc r="C53">
      <v>1618</v>
    </nc>
  </rcc>
  <rcc rId="1602" sId="1" numFmtId="34">
    <nc r="H53">
      <v>4500</v>
    </nc>
  </rcc>
  <rcc rId="1603" sId="1">
    <nc r="I53">
      <v>15</v>
    </nc>
  </rcc>
  <rcc rId="1604" sId="1">
    <nc r="K53" t="inlineStr">
      <is>
        <t>Alquiler</t>
      </is>
    </nc>
  </rcc>
  <rcc rId="1605" sId="1">
    <nc r="D53">
      <v>3</v>
    </nc>
  </rcc>
  <rcc rId="1606" sId="1">
    <nc r="E53" t="inlineStr">
      <is>
        <t>24/02 al 26/02/2026</t>
      </is>
    </nc>
  </rcc>
  <rcc rId="1607" sId="1" numFmtId="19">
    <nc r="F53">
      <v>46077</v>
    </nc>
  </rcc>
  <rcc rId="1608" sId="1" numFmtId="19">
    <nc r="G53">
      <v>46079</v>
    </nc>
  </rcc>
  <rfmt sheetId="1" sqref="A53">
    <dxf>
      <fill>
        <patternFill patternType="solid">
          <bgColor rgb="FFFFFF00"/>
        </patternFill>
      </fill>
    </dxf>
  </rfmt>
  <rcc rId="1609" sId="1">
    <nc r="J53" t="inlineStr">
      <is>
        <t>Canelones, Maldonado</t>
      </is>
    </nc>
  </rcc>
  <rcv guid="{D015136D-255F-4042-9389-EB535F138010}" action="delete"/>
  <rdn rId="0" localSheetId="1" customView="1" name="Z_D015136D_255F_4042_9389_EB535F138010_.wvu.FilterData" hidden="1" oldHidden="1">
    <formula>DATA!$A$1:$AK$52</formula>
    <oldFormula>DATA!$A$1:$AK$52</oldFormula>
  </rdn>
  <rcv guid="{D015136D-255F-4042-9389-EB535F138010}" action="add"/>
</revisions>
</file>

<file path=xl/revisions/revisionLog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611" sId="1" ref="A53:XFD53" action="insertRow"/>
  <rcc rId="1612" sId="1">
    <nc r="B53" t="inlineStr">
      <is>
        <t>Ignacio Ceroni</t>
      </is>
    </nc>
  </rcc>
  <rcc rId="1613" sId="1">
    <nc r="C53">
      <v>3007</v>
    </nc>
  </rcc>
  <rcc rId="1614" sId="1">
    <nc r="K53" t="inlineStr">
      <is>
        <t>Alquiler</t>
      </is>
    </nc>
  </rcc>
  <rcc rId="1615" sId="1">
    <nc r="A53">
      <v>52</v>
    </nc>
  </rcc>
  <rcc rId="1616" sId="1">
    <nc r="E53" t="inlineStr">
      <is>
        <t>18/02 al 20/02/2026</t>
      </is>
    </nc>
  </rcc>
  <rcc rId="1617" sId="1" numFmtId="19">
    <nc r="F53">
      <v>46071</v>
    </nc>
  </rcc>
  <rcc rId="1618" sId="1" numFmtId="19">
    <nc r="G53">
      <v>46073</v>
    </nc>
  </rcc>
  <rcc rId="1619" sId="1">
    <nc r="D53">
      <v>3</v>
    </nc>
  </rcc>
  <rcc rId="1620" sId="1">
    <nc r="I53">
      <v>15</v>
    </nc>
  </rcc>
  <rcc rId="1621" sId="1">
    <nc r="J53" t="inlineStr">
      <is>
        <t>Montevideo</t>
      </is>
    </nc>
  </rcc>
  <rcc rId="1622" sId="1">
    <nc r="M53">
      <f>+N53-H53</f>
    </nc>
  </rcc>
  <rcc rId="1623" sId="1" numFmtId="34">
    <nc r="N53">
      <v>2780</v>
    </nc>
  </rcc>
  <rcc rId="1624" sId="1" numFmtId="34">
    <nc r="O53">
      <v>20</v>
    </nc>
  </rcc>
  <rcc rId="1625" sId="1">
    <nc r="Q53">
      <f>+P53+O53</f>
    </nc>
  </rcc>
  <rcc rId="1626" sId="1">
    <nc r="R53">
      <f>(N53/Q53)</f>
    </nc>
  </rcc>
  <rcc rId="1627" sId="1">
    <nc r="S53">
      <f>(('Costo por negocio'!$B$2-DATA!R53)*DATA!O53)+('Costo por negocio'!$C$2-DATA!R53)*DATA!P53</f>
    </nc>
  </rcc>
  <rcc rId="1628" sId="1">
    <nc r="U53" t="inlineStr">
      <is>
        <t>SI</t>
      </is>
    </nc>
  </rcc>
  <rcc rId="1629" sId="1">
    <nc r="V53" t="inlineStr">
      <is>
        <t>SI</t>
      </is>
    </nc>
  </rcc>
  <rcc rId="1630" sId="1">
    <nc r="W53" t="inlineStr">
      <is>
        <t>SI</t>
      </is>
    </nc>
  </rcc>
  <rcc rId="1631" sId="1" numFmtId="19">
    <nc r="T53">
      <v>46077</v>
    </nc>
  </rcc>
  <rcc rId="1632" sId="1">
    <nc r="Y53" t="inlineStr">
      <is>
        <t>BED 6748</t>
      </is>
    </nc>
  </rcc>
  <rcc rId="1633" sId="1" numFmtId="34">
    <nc r="AD53">
      <v>101712</v>
    </nc>
  </rcc>
  <rcc rId="1634" sId="1" numFmtId="27">
    <nc r="AE53">
      <v>46071.375</v>
    </nc>
  </rcc>
  <rcc rId="1635" sId="1" numFmtId="34">
    <nc r="AF53">
      <v>102075</v>
    </nc>
  </rcc>
  <rcc rId="1636" sId="1" numFmtId="27">
    <nc r="AG53">
      <v>46073.71875</v>
    </nc>
  </rcc>
  <rcc rId="1637" sId="1">
    <nc r="AH53">
      <f>+AF53-AD53</f>
    </nc>
  </rcc>
  <rcc rId="1638" sId="1">
    <nc r="AI53">
      <v>3</v>
    </nc>
  </rcc>
  <rcc rId="1639" sId="1">
    <nc r="AJ53">
      <f>+AI53*5</f>
    </nc>
  </rcc>
  <rcc rId="1640" sId="1">
    <nc r="AK53">
      <f>+Q53-AJ53</f>
    </nc>
  </rcc>
  <rcc rId="1641" sId="1">
    <nc r="AM53">
      <f>+AH53/Q53</f>
    </nc>
  </rcc>
  <rcc rId="1642" sId="1">
    <nc r="AN53">
      <f>+Q53/AI53</f>
    </nc>
  </rcc>
  <rcc rId="1643" sId="1">
    <nc r="AQ53">
      <f>+N53/78.54</f>
    </nc>
  </rcc>
  <rcc rId="1644" sId="1">
    <nc r="AR53">
      <f>+AH53/11</f>
    </nc>
  </rcc>
  <rcc rId="1645" sId="1">
    <nc r="AS53">
      <f>+AR53-AQ53</f>
    </nc>
  </rcc>
  <rcc rId="1646" sId="1">
    <nc r="AT53">
      <f>+AH53/AQ53</f>
    </nc>
  </rcc>
  <rfmt sheetId="1" sqref="A53:AK53">
    <dxf>
      <fill>
        <patternFill patternType="solid">
          <bgColor rgb="FF92D050"/>
        </patternFill>
      </fill>
    </dxf>
  </rfmt>
  <rcv guid="{D015136D-255F-4042-9389-EB535F138010}" action="delete"/>
  <rdn rId="0" localSheetId="1" customView="1" name="Z_D015136D_255F_4042_9389_EB535F138010_.wvu.FilterData" hidden="1" oldHidden="1">
    <formula>DATA!$A$1:$AK$54</formula>
    <oldFormula>DATA!$A$1:$AK$52</oldFormula>
  </rdn>
  <rcv guid="{D015136D-255F-4042-9389-EB535F138010}" action="add"/>
</revisions>
</file>

<file path=xl/revisions/revisionLog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648" sId="1" ref="A54:XFD54" action="insertRow"/>
  <rcc rId="1649" sId="1">
    <nc r="B54" t="inlineStr">
      <is>
        <t>Natalia Greco</t>
      </is>
    </nc>
  </rcc>
  <rcc rId="1650" sId="1">
    <nc r="C54">
      <v>3164</v>
    </nc>
  </rcc>
  <rcc rId="1651" sId="1">
    <nc r="I54">
      <v>15</v>
    </nc>
  </rcc>
  <rcc rId="1652" sId="1">
    <nc r="K54" t="inlineStr">
      <is>
        <t>Alquiler</t>
      </is>
    </nc>
  </rcc>
  <rcc rId="1653" sId="1" numFmtId="19">
    <nc r="F54">
      <v>46071</v>
    </nc>
  </rcc>
  <rcc rId="1654" sId="1">
    <nc r="J54" t="inlineStr">
      <is>
        <t>Montevideo, Colonia</t>
      </is>
    </nc>
  </rcc>
  <rcc rId="1655" sId="1">
    <nc r="A54">
      <v>53</v>
    </nc>
  </rcc>
  <rcc rId="1656" sId="1">
    <nc r="D54">
      <v>2</v>
    </nc>
  </rcc>
  <rcc rId="1657" sId="1">
    <nc r="E54" t="inlineStr">
      <is>
        <t>18/02 al 19/02/2026</t>
      </is>
    </nc>
  </rcc>
  <rcc rId="1658" sId="1" numFmtId="19">
    <nc r="G54">
      <v>46072</v>
    </nc>
  </rcc>
  <rcc rId="1659" sId="1" xfDxf="1" dxf="1" numFmtId="34">
    <nc r="N54">
      <v>3050.1</v>
    </nc>
    <ndxf>
      <font>
        <name val="Calibri"/>
        <scheme val="none"/>
      </font>
      <numFmt numFmtId="35" formatCode="_-* #,##0.00_-;\-* #,##0.00_-;_-* &quot;-&quot;??_-;_-@_-"/>
      <fill>
        <patternFill patternType="solid">
          <bgColor rgb="FF92D050"/>
        </patternFill>
      </fill>
      <border outline="0">
        <left style="thin">
          <color indexed="64"/>
        </left>
        <right style="thin">
          <color indexed="64"/>
        </right>
        <top style="thin">
          <color indexed="64"/>
        </top>
        <bottom style="thin">
          <color indexed="64"/>
        </bottom>
      </border>
    </ndxf>
  </rcc>
  <rcc rId="1660" sId="1" numFmtId="34">
    <nc r="M54">
      <f>+N54-H54</f>
    </nc>
  </rcc>
  <rcc rId="1661" sId="1" numFmtId="34">
    <nc r="O54">
      <v>7</v>
    </nc>
  </rcc>
  <rcc rId="1662" sId="1" numFmtId="34">
    <nc r="P54">
      <v>7</v>
    </nc>
  </rcc>
  <rcc rId="1663" sId="1">
    <nc r="Q54">
      <f>+P54+O54</f>
    </nc>
  </rcc>
  <rcc rId="1664" sId="1">
    <nc r="R54">
      <f>(N54/Q54)</f>
    </nc>
  </rcc>
  <rcc rId="1665" sId="1">
    <nc r="S54">
      <f>(('Costo por negocio'!$B$2-DATA!R54)*DATA!O54)+('Costo por negocio'!$C$2-DATA!R54)*DATA!P54</f>
    </nc>
  </rcc>
  <rcc rId="1666" sId="1" numFmtId="19">
    <nc r="T54">
      <v>46077</v>
    </nc>
  </rcc>
  <rcc rId="1667" sId="1">
    <nc r="U54" t="inlineStr">
      <is>
        <t>SI</t>
      </is>
    </nc>
  </rcc>
  <rcc rId="1668" sId="1">
    <nc r="V54" t="inlineStr">
      <is>
        <t>SI</t>
      </is>
    </nc>
  </rcc>
  <rcc rId="1669" sId="1">
    <nc r="W54" t="inlineStr">
      <is>
        <t>SI</t>
      </is>
    </nc>
  </rcc>
  <rcc rId="1670" sId="1">
    <nc r="Y54" t="inlineStr">
      <is>
        <t>BAB 1469</t>
      </is>
    </nc>
  </rcc>
  <rcc rId="1671" sId="1" numFmtId="34">
    <nc r="AD54">
      <v>110468</v>
    </nc>
  </rcc>
  <rcc rId="1672" sId="1" numFmtId="27">
    <nc r="AE54">
      <v>46071.375</v>
    </nc>
  </rcc>
  <rcc rId="1673" sId="1" numFmtId="34">
    <nc r="AF54">
      <v>110598</v>
    </nc>
  </rcc>
  <rcc rId="1674" sId="1" numFmtId="27">
    <nc r="AG54">
      <v>46073.378472222219</v>
    </nc>
  </rcc>
  <rcc rId="1675" sId="1">
    <nc r="AH54">
      <f>+AF54-AD54</f>
    </nc>
  </rcc>
  <rcc rId="1676" sId="1">
    <nc r="AI54">
      <v>3</v>
    </nc>
  </rcc>
  <rcc rId="1677" sId="1">
    <nc r="AJ54">
      <f>+AI54*5</f>
    </nc>
  </rcc>
  <rcc rId="1678" sId="1">
    <nc r="AK54">
      <f>+Q54-AJ54</f>
    </nc>
  </rcc>
  <rcc rId="1679" sId="1">
    <nc r="AM54">
      <f>+AH54/Q54</f>
    </nc>
  </rcc>
  <rcc rId="1680" sId="1">
    <nc r="AN54">
      <f>+Q54/AI54</f>
    </nc>
  </rcc>
  <rcc rId="1681" sId="1">
    <nc r="AQ54">
      <f>+N54/78.54</f>
    </nc>
  </rcc>
  <rcc rId="1682" sId="1">
    <nc r="AR54">
      <f>+AH54/11</f>
    </nc>
  </rcc>
  <rcc rId="1683" sId="1">
    <nc r="AS54">
      <f>+AR54-AQ54</f>
    </nc>
  </rcc>
  <rcc rId="1684" sId="1">
    <nc r="AT54">
      <f>+AH54/AQ54</f>
    </nc>
  </rcc>
  <rcv guid="{D015136D-255F-4042-9389-EB535F138010}" action="delete"/>
  <rdn rId="0" localSheetId="1" customView="1" name="Z_D015136D_255F_4042_9389_EB535F138010_.wvu.FilterData" hidden="1" oldHidden="1">
    <formula>DATA!$A$1:$AK$55</formula>
    <oldFormula>DATA!$A$1:$AK$55</oldFormula>
  </rdn>
  <rcv guid="{D015136D-255F-4042-9389-EB535F138010}" action="add"/>
</revisions>
</file>

<file path=xl/revisions/revisionLog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52:AK52">
    <dxf>
      <fill>
        <patternFill patternType="solid">
          <bgColor rgb="FFFF0000"/>
        </patternFill>
      </fill>
    </dxf>
  </rfmt>
  <rcc rId="1686" sId="1">
    <nc r="X52" t="inlineStr">
      <is>
        <t>Para descontar</t>
      </is>
    </nc>
  </rcc>
  <rcv guid="{D015136D-255F-4042-9389-EB535F138010}" action="delete"/>
  <rdn rId="0" localSheetId="1" customView="1" name="Z_D015136D_255F_4042_9389_EB535F138010_.wvu.FilterData" hidden="1" oldHidden="1">
    <formula>DATA!$A$1:$AK$55</formula>
    <oldFormula>DATA!$A$1:$AK$55</oldFormula>
  </rdn>
  <rcv guid="{D015136D-255F-4042-9389-EB535F138010}" action="add"/>
</revisions>
</file>

<file path=xl/revisions/revisionLog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DATA!$A$1:$AK$55</formula>
    <oldFormula>DATA!$A$1:$AK$55</oldFormula>
  </rdn>
  <rcv guid="{D015136D-255F-4042-9389-EB535F138010}" action="add"/>
</revisions>
</file>

<file path=xl/revisions/revisionLog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56" start="0" length="0">
    <dxf>
      <fill>
        <patternFill patternType="solid">
          <bgColor rgb="FFFFFF00"/>
        </patternFill>
      </fill>
    </dxf>
  </rfmt>
  <rcc rId="1689" sId="1">
    <nc r="B56" t="inlineStr">
      <is>
        <t>Claudia Parrilla</t>
      </is>
    </nc>
  </rcc>
  <rcc rId="1690" sId="1">
    <nc r="C56">
      <v>2005</v>
    </nc>
  </rcc>
  <rcc rId="1691" sId="1">
    <nc r="D56">
      <v>3</v>
    </nc>
  </rcc>
  <rcc rId="1692" sId="1">
    <nc r="I56">
      <v>15</v>
    </nc>
  </rcc>
  <rcc rId="1693" sId="1">
    <nc r="J56" t="inlineStr">
      <is>
        <t>Montevideo</t>
      </is>
    </nc>
  </rcc>
  <rcc rId="1694" sId="1">
    <nc r="K56" t="inlineStr">
      <is>
        <t>Alquiler</t>
      </is>
    </nc>
  </rcc>
  <rcc rId="1695" sId="1">
    <nc r="E56" t="inlineStr">
      <is>
        <t>03/03 al 05/03/2026</t>
      </is>
    </nc>
  </rcc>
  <rcc rId="1696" sId="1" numFmtId="19">
    <nc r="F56">
      <v>46084</v>
    </nc>
  </rcc>
  <rcc rId="1697" sId="1" numFmtId="19">
    <nc r="G56">
      <v>46086</v>
    </nc>
  </rcc>
  <rcc rId="1698" sId="1">
    <nc r="H56">
      <f>18*263</f>
    </nc>
  </rcc>
  <rcv guid="{D015136D-255F-4042-9389-EB535F138010}" action="delete"/>
  <rdn rId="0" localSheetId="1" customView="1" name="Z_D015136D_255F_4042_9389_EB535F138010_.wvu.FilterData" hidden="1" oldHidden="1">
    <formula>DATA!$A$1:$AK$55</formula>
    <oldFormula>DATA!$A$1:$AK$55</oldFormula>
  </rdn>
  <rcv guid="{D015136D-255F-4042-9389-EB535F138010}" action="add"/>
</revisions>
</file>

<file path=xl/revisions/revisionLog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57" start="0" length="0">
    <dxf>
      <fill>
        <patternFill patternType="solid">
          <bgColor rgb="FFFFFF00"/>
        </patternFill>
      </fill>
    </dxf>
  </rfmt>
  <rcc rId="1700" sId="1">
    <nc r="B57" t="inlineStr">
      <is>
        <t>Ricardo Cardona</t>
      </is>
    </nc>
  </rcc>
  <rcc rId="1701" sId="1">
    <nc r="C57">
      <v>1512</v>
    </nc>
  </rcc>
  <rcc rId="1702" sId="1">
    <nc r="I57">
      <v>15</v>
    </nc>
  </rcc>
  <rcc rId="1703" sId="1">
    <nc r="K57" t="inlineStr">
      <is>
        <t>Alquiler</t>
      </is>
    </nc>
  </rcc>
  <rcc rId="1704" sId="1">
    <nc r="D57">
      <v>3</v>
    </nc>
  </rcc>
  <rcc rId="1705" sId="1">
    <nc r="E57" t="inlineStr">
      <is>
        <t>03/03 al 05/03/2026</t>
      </is>
    </nc>
  </rcc>
  <rcc rId="1706" sId="1" numFmtId="19">
    <nc r="F57">
      <v>46084</v>
    </nc>
  </rcc>
  <rcc rId="1707" sId="1" numFmtId="19">
    <nc r="G57">
      <v>46086</v>
    </nc>
  </rcc>
  <rcc rId="1708" sId="1">
    <nc r="J57" t="inlineStr">
      <is>
        <t>Montevideo, Río Negro, Flores, Durazno</t>
      </is>
    </nc>
  </rcc>
  <rcc rId="1709" sId="1" numFmtId="34">
    <nc r="H57">
      <v>6000</v>
    </nc>
  </rcc>
  <rcv guid="{D015136D-255F-4042-9389-EB535F138010}" action="delete"/>
  <rdn rId="0" localSheetId="1" customView="1" name="Z_D015136D_255F_4042_9389_EB535F138010_.wvu.FilterData" hidden="1" oldHidden="1">
    <formula>DATA!$A$1:$AK$55</formula>
    <oldFormula>DATA!$A$1:$AK$55</oldFormula>
  </rdn>
  <rcv guid="{D015136D-255F-4042-9389-EB535F138010}" action="add"/>
</revisions>
</file>

<file path=xl/revisions/revisionLog1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58" start="0" length="0">
    <dxf>
      <fill>
        <patternFill patternType="solid">
          <bgColor rgb="FFFFFF00"/>
        </patternFill>
      </fill>
    </dxf>
  </rfmt>
  <rcc rId="1711" sId="1">
    <nc r="B58" t="inlineStr">
      <is>
        <t>Ignacio Ceroni</t>
      </is>
    </nc>
  </rcc>
  <rcc rId="1712" sId="1">
    <nc r="C58">
      <v>3007</v>
    </nc>
  </rcc>
  <rcc rId="1713" sId="1">
    <nc r="D58">
      <v>4</v>
    </nc>
  </rcc>
  <rcc rId="1714" sId="1">
    <nc r="I58">
      <v>20</v>
    </nc>
  </rcc>
  <rcc rId="1715" sId="1">
    <nc r="K58" t="inlineStr">
      <is>
        <t>Alquiler</t>
      </is>
    </nc>
  </rcc>
  <rcc rId="1716" sId="1">
    <nc r="E58" t="inlineStr">
      <is>
        <t>02/03 al 05/03/2026</t>
      </is>
    </nc>
  </rcc>
  <rcc rId="1717" sId="1" numFmtId="19">
    <nc r="F58">
      <v>46083</v>
    </nc>
  </rcc>
  <rcc rId="1718" sId="1" numFmtId="19">
    <nc r="G58">
      <v>46086</v>
    </nc>
  </rcc>
  <rcc rId="1719" sId="1">
    <nc r="J58" t="inlineStr">
      <is>
        <t>Montevideo, Durazno</t>
      </is>
    </nc>
  </rcc>
  <rcc rId="1720" sId="1" numFmtId="34">
    <nc r="H58">
      <v>5000</v>
    </nc>
  </rcc>
  <rcv guid="{D015136D-255F-4042-9389-EB535F138010}" action="delete"/>
  <rdn rId="0" localSheetId="1" customView="1" name="Z_D015136D_255F_4042_9389_EB535F138010_.wvu.FilterData" hidden="1" oldHidden="1">
    <formula>DATA!$A$1:$AK$55</formula>
    <oldFormula>DATA!$A$1:$AK$55</oldFormula>
  </rdn>
  <rcv guid="{D015136D-255F-4042-9389-EB535F138010}" action="add"/>
</revisions>
</file>

<file path=xl/revisions/revisionLog1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59" start="0" length="0">
    <dxf>
      <fill>
        <patternFill patternType="solid">
          <bgColor rgb="FFFFFF00"/>
        </patternFill>
      </fill>
    </dxf>
  </rfmt>
  <rcc rId="1722" sId="1">
    <nc r="B59" t="inlineStr">
      <is>
        <t>Luis Amicone</t>
      </is>
    </nc>
  </rcc>
  <rcc rId="1723" sId="1">
    <nc r="C59">
      <v>3075</v>
    </nc>
  </rcc>
  <rcc rId="1724" sId="1">
    <nc r="I59">
      <v>15</v>
    </nc>
  </rcc>
  <rcc rId="1725" sId="1">
    <nc r="K59" t="inlineStr">
      <is>
        <t>Alquiler</t>
      </is>
    </nc>
  </rcc>
  <rcc rId="1726" sId="1">
    <nc r="D59">
      <v>3</v>
    </nc>
  </rcc>
  <rcc rId="1727" sId="1">
    <nc r="E59" t="inlineStr">
      <is>
        <t>03/03 al 05/03/2026</t>
      </is>
    </nc>
  </rcc>
  <rcc rId="1728" sId="1" numFmtId="19">
    <nc r="F59">
      <v>46084</v>
    </nc>
  </rcc>
  <rcc rId="1729" sId="1" numFmtId="19">
    <nc r="G59">
      <v>46086</v>
    </nc>
  </rcc>
  <rcc rId="1730" sId="1">
    <nc r="J59" t="inlineStr">
      <is>
        <t>Montevideo, Soriano, Colonia</t>
      </is>
    </nc>
  </rcc>
  <rcc rId="1731" sId="1" numFmtId="34">
    <nc r="H59">
      <v>8000</v>
    </nc>
  </rcc>
  <rcv guid="{D015136D-255F-4042-9389-EB535F138010}" action="delete"/>
  <rdn rId="0" localSheetId="1" customView="1" name="Z_D015136D_255F_4042_9389_EB535F138010_.wvu.FilterData" hidden="1" oldHidden="1">
    <formula>DATA!$A$1:$AK$55</formula>
    <oldFormula>DATA!$A$1:$AK$55</oldFormula>
  </rdn>
  <rcv guid="{D015136D-255F-4042-9389-EB535F138010}" action="add"/>
</revisions>
</file>

<file path=xl/revisions/revisionLog1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60" start="0" length="0">
    <dxf>
      <fill>
        <patternFill patternType="solid">
          <bgColor rgb="FFFFFF00"/>
        </patternFill>
      </fill>
    </dxf>
  </rfmt>
  <rcc rId="1733" sId="1">
    <nc r="B60" t="inlineStr">
      <is>
        <t>Lorena Cabrera</t>
      </is>
    </nc>
  </rcc>
  <rcc rId="1734" sId="1">
    <nc r="C60">
      <v>1618</v>
    </nc>
  </rcc>
  <rcc rId="1735" sId="1" numFmtId="34">
    <nc r="H60">
      <v>4500</v>
    </nc>
  </rcc>
  <rcc rId="1736" sId="1">
    <nc r="I60">
      <v>15</v>
    </nc>
  </rcc>
  <rcc rId="1737" sId="1">
    <nc r="J60" t="inlineStr">
      <is>
        <t>Canelones, Maldonado</t>
      </is>
    </nc>
  </rcc>
  <rcc rId="1738" sId="1">
    <nc r="K60" t="inlineStr">
      <is>
        <t>Alquiler</t>
      </is>
    </nc>
  </rcc>
  <rcc rId="1739" sId="1">
    <nc r="D60">
      <v>3</v>
    </nc>
  </rcc>
  <rcc rId="1740" sId="1">
    <nc r="E60" t="inlineStr">
      <is>
        <t>03/03 al 05/03/2026</t>
      </is>
    </nc>
  </rcc>
  <rcc rId="1741" sId="1" numFmtId="19">
    <nc r="F60">
      <v>46084</v>
    </nc>
  </rcc>
  <rcc rId="1742" sId="1" numFmtId="19">
    <nc r="G60">
      <v>46086</v>
    </nc>
  </rcc>
  <rcv guid="{D015136D-255F-4042-9389-EB535F138010}" action="delete"/>
  <rdn rId="0" localSheetId="1" customView="1" name="Z_D015136D_255F_4042_9389_EB535F138010_.wvu.FilterData" hidden="1" oldHidden="1">
    <formula>DATA!$A$1:$AK$55</formula>
    <oldFormula>DATA!$A$1:$AK$55</oldFormula>
  </rdn>
  <rcv guid="{D015136D-255F-4042-9389-EB535F138010}" action="add"/>
</revisions>
</file>

<file path=xl/revisions/revisionLog1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4" sId="1">
    <nc r="A55">
      <v>54</v>
    </nc>
  </rcc>
  <rcc rId="1745" sId="1">
    <nc r="A56">
      <v>55</v>
    </nc>
  </rcc>
  <rcc rId="1746" sId="1">
    <nc r="A57">
      <v>56</v>
    </nc>
  </rcc>
  <rcc rId="1747" sId="1">
    <nc r="A58">
      <v>57</v>
    </nc>
  </rcc>
  <rcc rId="1748" sId="1">
    <nc r="A59">
      <v>58</v>
    </nc>
  </rcc>
  <rcc rId="1749" sId="1">
    <nc r="A60">
      <v>59</v>
    </nc>
  </rcc>
  <rfmt sheetId="1" sqref="A55:A60">
    <dxf>
      <fill>
        <patternFill patternType="none">
          <bgColor auto="1"/>
        </patternFill>
      </fill>
    </dxf>
  </rfmt>
  <rcv guid="{D015136D-255F-4042-9389-EB535F138010}" action="delete"/>
  <rdn rId="0" localSheetId="1" customView="1" name="Z_D015136D_255F_4042_9389_EB535F138010_.wvu.FilterData" hidden="1" oldHidden="1">
    <formula>DATA!$A$1:$AK$60</formula>
    <oldFormula>DATA!$A$1:$AK$55</oldFormula>
  </rdn>
  <rcv guid="{D015136D-255F-4042-9389-EB535F138010}" action="add"/>
</revisions>
</file>

<file path=xl/revisions/revisionLog1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1" sId="1">
    <nc r="M48">
      <f>+N48-H48</f>
    </nc>
  </rcc>
  <rcc rId="1752" sId="1">
    <nc r="N48">
      <f>376.9+3750</f>
    </nc>
  </rcc>
  <rcc rId="1753" sId="1">
    <nc r="O48">
      <f>20+2</f>
    </nc>
  </rcc>
  <rcc rId="1754" sId="1">
    <nc r="Q48">
      <f>+P48+O48</f>
    </nc>
  </rcc>
  <rcc rId="1755" sId="1">
    <nc r="R48">
      <f>(N48/Q48)</f>
    </nc>
  </rcc>
  <rcc rId="1756" sId="1">
    <nc r="S48">
      <f>(('Costo por negocio'!$B$2-DATA!R48)*DATA!O48)+('Costo por negocio'!$C$2-DATA!R48)*DATA!P48</f>
    </nc>
  </rcc>
  <rcc rId="1757" sId="1">
    <nc r="U48" t="inlineStr">
      <is>
        <t>SI</t>
      </is>
    </nc>
  </rcc>
  <rcc rId="1758" sId="1">
    <nc r="V48" t="inlineStr">
      <is>
        <t>SI</t>
      </is>
    </nc>
  </rcc>
  <rcc rId="1759" sId="1">
    <nc r="W48" t="inlineStr">
      <is>
        <t>SI</t>
      </is>
    </nc>
  </rcc>
  <rcc rId="1760" sId="1">
    <nc r="Q49">
      <f>+P49+O49</f>
    </nc>
  </rcc>
  <rcc rId="1761" sId="1">
    <nc r="R49">
      <f>(N49/Q49)</f>
    </nc>
  </rcc>
  <rcc rId="1762" sId="1">
    <nc r="S49">
      <f>(('Costo por negocio'!$B$2-DATA!R49)*DATA!O49)+('Costo por negocio'!$C$2-DATA!R49)*DATA!P49</f>
    </nc>
  </rcc>
  <rcc rId="1763" sId="1" numFmtId="19">
    <nc r="T49">
      <v>46073</v>
    </nc>
  </rcc>
  <rcc rId="1764" sId="1">
    <nc r="U49" t="inlineStr">
      <is>
        <t>SI</t>
      </is>
    </nc>
  </rcc>
  <rcc rId="1765" sId="1">
    <nc r="V49" t="inlineStr">
      <is>
        <t>SI</t>
      </is>
    </nc>
  </rcc>
  <rcc rId="1766" sId="1">
    <nc r="W49" t="inlineStr">
      <is>
        <t>SI</t>
      </is>
    </nc>
  </rcc>
  <rcc rId="1767" sId="1">
    <nc r="Q50">
      <f>+P50+O50</f>
    </nc>
  </rcc>
  <rcc rId="1768" sId="1">
    <nc r="R50">
      <f>(N50/Q50)</f>
    </nc>
  </rcc>
  <rcc rId="1769" sId="1">
    <nc r="S50">
      <f>(('Costo por negocio'!$B$2-DATA!R50)*DATA!O50)+('Costo por negocio'!$C$2-DATA!R50)*DATA!P50</f>
    </nc>
  </rcc>
  <rcc rId="1770" sId="1" numFmtId="19">
    <nc r="T50">
      <v>46073</v>
    </nc>
  </rcc>
  <rcc rId="1771" sId="1">
    <nc r="U50" t="inlineStr">
      <is>
        <t>SI</t>
      </is>
    </nc>
  </rcc>
  <rcc rId="1772" sId="1">
    <nc r="V50" t="inlineStr">
      <is>
        <t>SI</t>
      </is>
    </nc>
  </rcc>
  <rcc rId="1773" sId="1">
    <nc r="W50" t="inlineStr">
      <is>
        <t>SI</t>
      </is>
    </nc>
  </rcc>
  <rcc rId="1774" sId="1">
    <nc r="Q51">
      <f>+P51+O51</f>
    </nc>
  </rcc>
  <rcc rId="1775" sId="1">
    <nc r="R51">
      <f>(N51/Q51)</f>
    </nc>
  </rcc>
  <rcc rId="1776" sId="1">
    <nc r="S51">
      <f>(('Costo por negocio'!$B$2-DATA!R51)*DATA!O51)+('Costo por negocio'!$C$2-DATA!R51)*DATA!P51</f>
    </nc>
  </rcc>
  <rcc rId="1777" sId="1" numFmtId="19">
    <nc r="T51">
      <v>46073</v>
    </nc>
  </rcc>
  <rcc rId="1778" sId="1">
    <nc r="U51" t="inlineStr">
      <is>
        <t>SI</t>
      </is>
    </nc>
  </rcc>
  <rcc rId="1779" sId="1">
    <nc r="V51" t="inlineStr">
      <is>
        <t>SI</t>
      </is>
    </nc>
  </rcc>
  <rcc rId="1780" sId="1">
    <nc r="W51" t="inlineStr">
      <is>
        <t>SI</t>
      </is>
    </nc>
  </rcc>
  <rcc rId="1781" sId="1">
    <nc r="Q52">
      <f>+P52+O52</f>
    </nc>
  </rcc>
  <rcc rId="1782" sId="1">
    <nc r="R52">
      <f>(N52/Q52)</f>
    </nc>
  </rcc>
  <rcc rId="1783" sId="1">
    <nc r="S52">
      <f>(('Costo por negocio'!$B$2-DATA!R52)*DATA!O52)+('Costo por negocio'!$C$2-DATA!R52)*DATA!P52</f>
    </nc>
  </rcc>
  <rcc rId="1784" sId="1" numFmtId="19">
    <nc r="T52">
      <v>46073</v>
    </nc>
  </rcc>
  <rcc rId="1785" sId="1">
    <nc r="U52" t="inlineStr">
      <is>
        <t>SI</t>
      </is>
    </nc>
  </rcc>
  <rcc rId="1786" sId="1">
    <nc r="V52" t="inlineStr">
      <is>
        <t>SI</t>
      </is>
    </nc>
  </rcc>
  <rcc rId="1787" sId="1">
    <nc r="W52" t="inlineStr">
      <is>
        <t>SI</t>
      </is>
    </nc>
  </rcc>
  <rcc rId="1788" sId="1">
    <oc r="Q53">
      <f>+P53+O53</f>
    </oc>
    <nc r="Q53">
      <f>+P53+O53</f>
    </nc>
  </rcc>
  <rcc rId="1789" sId="1">
    <oc r="R53">
      <f>(N53/Q53)</f>
    </oc>
    <nc r="R53">
      <f>(N53/Q53)</f>
    </nc>
  </rcc>
  <rcc rId="1790" sId="1">
    <oc r="S53">
      <f>(('Costo por negocio'!$B$2-DATA!R53)*DATA!O53)+('Costo por negocio'!$C$2-DATA!R53)*DATA!P53</f>
    </oc>
    <nc r="S53">
      <f>(('Costo por negocio'!$B$2-DATA!R53)*DATA!O53)+('Costo por negocio'!$C$2-DATA!R53)*DATA!P53</f>
    </nc>
  </rcc>
  <rcc rId="1791" sId="1" numFmtId="19">
    <oc r="T53">
      <v>46077</v>
    </oc>
    <nc r="T53">
      <v>46073</v>
    </nc>
  </rcc>
  <rcc rId="1792" sId="1">
    <oc r="Q54">
      <f>+P54+O54</f>
    </oc>
    <nc r="Q54">
      <f>+P54+O54</f>
    </nc>
  </rcc>
  <rcc rId="1793" sId="1">
    <oc r="R54">
      <f>(N54/Q54)</f>
    </oc>
    <nc r="R54">
      <f>(N54/Q54)</f>
    </nc>
  </rcc>
  <rcc rId="1794" sId="1">
    <oc r="S54">
      <f>(('Costo por negocio'!$B$2-DATA!R54)*DATA!O54)+('Costo por negocio'!$C$2-DATA!R54)*DATA!P54</f>
    </oc>
    <nc r="S54">
      <f>(('Costo por negocio'!$B$2-DATA!R54)*DATA!O54)+('Costo por negocio'!$C$2-DATA!R54)*DATA!P54</f>
    </nc>
  </rcc>
  <rcc rId="1795" sId="1" numFmtId="19">
    <oc r="T54">
      <v>46077</v>
    </oc>
    <nc r="T54">
      <v>46073</v>
    </nc>
  </rcc>
  <rcc rId="1796" sId="1" numFmtId="19">
    <nc r="T48">
      <v>46080</v>
    </nc>
  </rcc>
  <rcc rId="1797" sId="1">
    <nc r="Y48" t="inlineStr">
      <is>
        <t>BED 6748</t>
      </is>
    </nc>
  </rcc>
  <rcc rId="1798" sId="1" numFmtId="34">
    <nc r="AD48">
      <v>102684</v>
    </nc>
  </rcc>
  <rcc rId="1799" sId="1" numFmtId="27">
    <nc r="AE48">
      <v>46077.375</v>
    </nc>
  </rcc>
  <rcc rId="1800" sId="1" numFmtId="34">
    <nc r="AF48">
      <v>103344</v>
    </nc>
  </rcc>
  <rcc rId="1801" sId="1" numFmtId="27">
    <nc r="AG48">
      <v>46080.392361111109</v>
    </nc>
  </rcc>
  <rcc rId="1802" sId="1">
    <nc r="AH48">
      <f>+AF48-AD48</f>
    </nc>
  </rcc>
  <rcc rId="1803" sId="1">
    <nc r="AI48">
      <v>3</v>
    </nc>
  </rcc>
  <rcc rId="1804" sId="1">
    <nc r="AJ48">
      <f>+AI48*5</f>
    </nc>
  </rcc>
  <rcc rId="1805" sId="1">
    <nc r="AK48">
      <f>+Q48-AJ48</f>
    </nc>
  </rcc>
  <rcc rId="1806" sId="1">
    <nc r="AM48">
      <f>+AH48/Q48</f>
    </nc>
  </rcc>
  <rcc rId="1807" sId="1">
    <nc r="AN48">
      <f>+Q48/AI48</f>
    </nc>
  </rcc>
  <rcc rId="1808" sId="1">
    <nc r="AQ48">
      <f>+N48/78.54</f>
    </nc>
  </rcc>
  <rcc rId="1809" sId="1">
    <nc r="AR48">
      <f>+AH48/11</f>
    </nc>
  </rcc>
  <rcc rId="1810" sId="1">
    <nc r="AS48">
      <f>+AR48-AQ48</f>
    </nc>
  </rcc>
  <rcc rId="1811" sId="1">
    <nc r="AT48">
      <f>+AH48/AQ48</f>
    </nc>
  </rcc>
  <rfmt sheetId="1" sqref="A48:AK48">
    <dxf>
      <fill>
        <patternFill patternType="solid">
          <bgColor rgb="FF92D050"/>
        </patternFill>
      </fill>
    </dxf>
  </rfmt>
  <rcv guid="{D015136D-255F-4042-9389-EB535F138010}" action="delete"/>
  <rdn rId="0" localSheetId="1" customView="1" name="Z_D015136D_255F_4042_9389_EB535F138010_.wvu.FilterData" hidden="1" oldHidden="1">
    <formula>DATA!$A$1:$AK$60</formula>
    <oldFormula>DATA!$A$1:$AK$60</oldFormula>
  </rdn>
  <rcv guid="{D015136D-255F-4042-9389-EB535F138010}" action="add"/>
</revisions>
</file>

<file path=xl/revisions/revisionLog1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3" sId="1">
    <nc r="M51">
      <f>+N51-H51</f>
    </nc>
  </rcc>
  <rcc rId="1814" sId="1">
    <nc r="N51">
      <f>1950+1172.3+2342+206</f>
    </nc>
  </rcc>
  <rcc rId="1815" sId="1" numFmtId="34">
    <nc r="P51">
      <v>20</v>
    </nc>
  </rcc>
  <rcc rId="1816" sId="1">
    <nc r="Y51" t="inlineStr">
      <is>
        <t>BEC 5477</t>
      </is>
    </nc>
  </rcc>
  <rcc rId="1817" sId="1" numFmtId="34">
    <nc r="AD51">
      <v>83063</v>
    </nc>
  </rcc>
  <rcc rId="1818" sId="1" numFmtId="27">
    <nc r="AE51">
      <v>46076.666666666664</v>
    </nc>
  </rcc>
  <rcc rId="1819" sId="1" numFmtId="34">
    <nc r="AF51">
      <v>84037</v>
    </nc>
  </rcc>
  <rcc rId="1820" sId="1" numFmtId="27">
    <nc r="AG51">
      <v>46079.388888888891</v>
    </nc>
  </rcc>
  <rcc rId="1821" sId="1">
    <nc r="AH51">
      <f>+AF51-AD51</f>
    </nc>
  </rcc>
  <rcc rId="1822" sId="1">
    <nc r="AI51">
      <v>3</v>
    </nc>
  </rcc>
  <rcc rId="1823" sId="1">
    <nc r="AJ51">
      <f>+AI51*5</f>
    </nc>
  </rcc>
  <rcc rId="1824" sId="1">
    <nc r="AK51">
      <f>+Q51-AJ51</f>
    </nc>
  </rcc>
  <rcc rId="1825" sId="1">
    <nc r="AM51">
      <f>+AH51/Q51</f>
    </nc>
  </rcc>
  <rcc rId="1826" sId="1">
    <nc r="AN51">
      <f>+Q51/AI51</f>
    </nc>
  </rcc>
  <rcc rId="1827" sId="1">
    <nc r="AQ51">
      <f>+N51/78.54</f>
    </nc>
  </rcc>
  <rcc rId="1828" sId="1">
    <nc r="AR51">
      <f>+AH51/11</f>
    </nc>
  </rcc>
  <rcc rId="1829" sId="1">
    <nc r="AS51">
      <f>+AR51-AQ51</f>
    </nc>
  </rcc>
  <rcc rId="1830" sId="1">
    <nc r="AT51">
      <f>+AH51/AQ51</f>
    </nc>
  </rcc>
  <rfmt sheetId="1" sqref="A51:AK51">
    <dxf>
      <fill>
        <patternFill patternType="solid">
          <bgColor rgb="FF92D050"/>
        </patternFill>
      </fill>
    </dxf>
  </rfmt>
  <rcv guid="{D015136D-255F-4042-9389-EB535F138010}" action="delete"/>
  <rdn rId="0" localSheetId="1" customView="1" name="Z_D015136D_255F_4042_9389_EB535F138010_.wvu.FilterData" hidden="1" oldHidden="1">
    <formula>DATA!$A$1:$AK$60</formula>
    <oldFormula>DATA!$A$1:$AK$60</oldFormula>
  </rdn>
  <rcv guid="{D015136D-255F-4042-9389-EB535F138010}" action="add"/>
</revisions>
</file>

<file path=xl/revisions/revisionLog1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2" sId="1">
    <nc r="M50">
      <f>+N50-H50</f>
    </nc>
  </rcc>
  <rcc rId="1833" sId="1">
    <nc r="N50">
      <f>2300+2107+2043.2+1395.2</f>
    </nc>
  </rcc>
  <rcc rId="1834" sId="1" numFmtId="34">
    <nc r="P50">
      <v>10</v>
    </nc>
  </rcc>
  <rcc rId="1835" sId="1">
    <nc r="J67">
      <v>0</v>
    </nc>
  </rcc>
  <rcc rId="1836" sId="1">
    <nc r="Y50" t="inlineStr">
      <is>
        <t>BED 8126</t>
      </is>
    </nc>
  </rcc>
  <rcc rId="1837" sId="1" numFmtId="34">
    <nc r="AD50">
      <v>121844</v>
    </nc>
  </rcc>
  <rcc rId="1838" sId="1" numFmtId="27">
    <nc r="AE50">
      <v>46076.708333333336</v>
    </nc>
  </rcc>
  <rcc rId="1839" sId="1" numFmtId="34">
    <nc r="AF50">
      <v>123017</v>
    </nc>
  </rcc>
  <rcc rId="1840" sId="1" numFmtId="27">
    <nc r="AG50">
      <v>46080.381944444445</v>
    </nc>
  </rcc>
  <rcc rId="1841" sId="1">
    <nc r="AH50">
      <f>+AF50-AD50</f>
    </nc>
  </rcc>
  <rcc rId="1842" sId="1">
    <nc r="AI50">
      <v>3</v>
    </nc>
  </rcc>
  <rcc rId="1843" sId="1">
    <nc r="AJ50">
      <f>+AI50*5</f>
    </nc>
  </rcc>
  <rcc rId="1844" sId="1">
    <nc r="AK50">
      <f>+Q50-AJ50</f>
    </nc>
  </rcc>
  <rcc rId="1845" sId="1">
    <nc r="AM50">
      <f>+AH50/Q50</f>
    </nc>
  </rcc>
  <rcc rId="1846" sId="1">
    <nc r="AN50">
      <f>+Q50/AI50</f>
    </nc>
  </rcc>
  <rcc rId="1847" sId="1">
    <nc r="AQ50">
      <f>+N50/78.54</f>
    </nc>
  </rcc>
  <rcc rId="1848" sId="1">
    <nc r="AR50">
      <f>+AH50/11</f>
    </nc>
  </rcc>
  <rcc rId="1849" sId="1">
    <nc r="AS50">
      <f>+AR50-AQ50</f>
    </nc>
  </rcc>
  <rcc rId="1850" sId="1">
    <nc r="AT50">
      <f>+AH50/AQ50</f>
    </nc>
  </rcc>
  <rfmt sheetId="1" sqref="A50:AK50">
    <dxf>
      <fill>
        <patternFill patternType="solid">
          <bgColor rgb="FF92D050"/>
        </patternFill>
      </fill>
    </dxf>
  </rfmt>
  <rcv guid="{D015136D-255F-4042-9389-EB535F138010}" action="delete"/>
  <rdn rId="0" localSheetId="1" customView="1" name="Z_D015136D_255F_4042_9389_EB535F138010_.wvu.FilterData" hidden="1" oldHidden="1">
    <formula>DATA!$A$1:$AK$60</formula>
    <oldFormula>DATA!$A$1:$AK$60</oldFormula>
  </rdn>
  <rcv guid="{D015136D-255F-4042-9389-EB535F138010}" action="add"/>
</revisions>
</file>

<file path=xl/revisions/revisionLog1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2" sId="1">
    <nc r="B61" t="inlineStr">
      <is>
        <t>Agustin Buñevaz</t>
      </is>
    </nc>
  </rcc>
  <rcc rId="1853" sId="1">
    <nc r="C61">
      <v>3152</v>
    </nc>
  </rcc>
  <rcc rId="1854" sId="1">
    <nc r="J61" t="inlineStr">
      <is>
        <t>Montevideo, Canelones</t>
      </is>
    </nc>
  </rcc>
  <rcc rId="1855" sId="1">
    <nc r="A61">
      <v>60</v>
    </nc>
  </rcc>
  <rcc rId="1856" sId="1">
    <nc r="K61" t="inlineStr">
      <is>
        <t>Alquiler</t>
      </is>
    </nc>
  </rcc>
  <rcc rId="1857" sId="1">
    <nc r="D61">
      <v>2</v>
    </nc>
  </rcc>
  <rcc rId="1858" sId="1">
    <nc r="E61" t="inlineStr">
      <is>
        <t>25/02 al 26/02/2026</t>
      </is>
    </nc>
  </rcc>
  <rcc rId="1859" sId="1" numFmtId="19">
    <nc r="F61">
      <v>46078</v>
    </nc>
  </rcc>
  <rcc rId="1860" sId="1" numFmtId="19">
    <nc r="G61">
      <v>46079</v>
    </nc>
  </rcc>
  <rcc rId="1861" sId="1">
    <nc r="I61">
      <v>10</v>
    </nc>
  </rcc>
  <rcv guid="{D015136D-255F-4042-9389-EB535F138010}" action="delete"/>
  <rdn rId="0" localSheetId="1" customView="1" name="Z_D015136D_255F_4042_9389_EB535F138010_.wvu.FilterData" hidden="1" oldHidden="1">
    <formula>DATA!$A$1:$AK$60</formula>
    <oldFormula>DATA!$A$1:$AK$60</oldFormula>
  </rdn>
  <rcv guid="{D015136D-255F-4042-9389-EB535F138010}" action="add"/>
</revisions>
</file>

<file path=xl/revisions/revisionLog1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3" sId="1">
    <nc r="M61">
      <f>+N61-H61</f>
    </nc>
  </rcc>
  <rcc rId="1864" sId="1" numFmtId="34">
    <nc r="N61">
      <v>1578</v>
    </nc>
  </rcc>
  <rcc rId="1865" sId="1" numFmtId="34">
    <nc r="O61">
      <v>6</v>
    </nc>
  </rcc>
  <rcc rId="1866" sId="1">
    <nc r="Q61">
      <f>+P61+O61</f>
    </nc>
  </rcc>
  <rcc rId="1867" sId="1">
    <nc r="R61">
      <f>(N61/Q61)</f>
    </nc>
  </rcc>
  <rcc rId="1868" sId="1">
    <nc r="S61">
      <f>(('Costo por negocio'!$B$2-DATA!R61)*DATA!O61)+('Costo por negocio'!$C$2-DATA!R61)*DATA!P61</f>
    </nc>
  </rcc>
  <rcc rId="1869" sId="1">
    <nc r="U61" t="inlineStr">
      <is>
        <t>SI</t>
      </is>
    </nc>
  </rcc>
  <rcc rId="1870" sId="1">
    <nc r="V61" t="inlineStr">
      <is>
        <t>SI</t>
      </is>
    </nc>
  </rcc>
  <rcc rId="1871" sId="1">
    <nc r="W61" t="inlineStr">
      <is>
        <t>SI</t>
      </is>
    </nc>
  </rcc>
  <rcc rId="1872" sId="1" numFmtId="19">
    <nc r="T61">
      <v>46080</v>
    </nc>
  </rcc>
  <rcc rId="1873" sId="1">
    <nc r="Y61" t="inlineStr">
      <is>
        <t>BEC 2019</t>
      </is>
    </nc>
  </rcc>
  <rcc rId="1874" sId="1" numFmtId="27">
    <nc r="AE61">
      <v>46077.773611111108</v>
    </nc>
  </rcc>
  <rcc rId="1875" sId="1" numFmtId="27">
    <nc r="AG61">
      <v>46078.743750000001</v>
    </nc>
  </rcc>
  <rcc rId="1876" sId="1">
    <nc r="AH61">
      <f>+AF61-AD61</f>
    </nc>
  </rcc>
  <rcc rId="1877" sId="1" numFmtId="34">
    <nc r="AD61">
      <v>88505</v>
    </nc>
  </rcc>
  <rcc rId="1878" sId="1" numFmtId="34">
    <nc r="AF61">
      <v>88931</v>
    </nc>
  </rcc>
  <rcc rId="1879" sId="1">
    <nc r="AI61">
      <v>2</v>
    </nc>
  </rcc>
  <rcc rId="1880" sId="1">
    <nc r="AJ61">
      <f>+AI61*5</f>
    </nc>
  </rcc>
  <rcc rId="1881" sId="1">
    <nc r="AK61">
      <f>+Q61-AJ61</f>
    </nc>
  </rcc>
  <rcc rId="1882" sId="1">
    <nc r="AM61">
      <f>+AH61/Q61</f>
    </nc>
  </rcc>
  <rcc rId="1883" sId="1">
    <nc r="AN61">
      <f>+Q61/AI61</f>
    </nc>
  </rcc>
  <rcc rId="1884" sId="1">
    <nc r="AQ61">
      <f>+N61/78.54</f>
    </nc>
  </rcc>
  <rcc rId="1885" sId="1">
    <nc r="AR61">
      <f>+AH61/11</f>
    </nc>
  </rcc>
  <rcc rId="1886" sId="1">
    <nc r="AS61">
      <f>+AR61-AQ61</f>
    </nc>
  </rcc>
  <rcc rId="1887" sId="1">
    <nc r="AT61">
      <f>+AH61/AQ61</f>
    </nc>
  </rcc>
  <rfmt sheetId="1" sqref="A61:AK61">
    <dxf>
      <fill>
        <patternFill patternType="solid">
          <bgColor rgb="FF92D050"/>
        </patternFill>
      </fill>
    </dxf>
  </rfmt>
  <rcv guid="{D015136D-255F-4042-9389-EB535F138010}" action="delete"/>
  <rdn rId="0" localSheetId="1" customView="1" name="Z_D015136D_255F_4042_9389_EB535F138010_.wvu.FilterData" hidden="1" oldHidden="1">
    <formula>DATA!$A$1:$AK$60</formula>
    <oldFormula>DATA!$A$1:$AK$60</oldFormula>
  </rdn>
  <rcv guid="{D015136D-255F-4042-9389-EB535F138010}" action="add"/>
</revisions>
</file>

<file path=xl/revisions/revisionLog1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9" sId="1">
    <nc r="M49">
      <f>+N49-H49</f>
    </nc>
  </rcc>
  <rcc rId="1890" sId="1">
    <nc r="N49">
      <f>2980+2900+1788</f>
    </nc>
  </rcc>
  <rcc rId="1891" sId="1">
    <nc r="O49">
      <f>7+5</f>
    </nc>
  </rcc>
  <rcc rId="1892" sId="1">
    <nc r="P49">
      <f>13+13</f>
    </nc>
  </rcc>
  <rcc rId="1893" sId="1">
    <nc r="Y49" t="inlineStr">
      <is>
        <t>BEB 9057</t>
      </is>
    </nc>
  </rcc>
  <rcc rId="1894" sId="1" numFmtId="34">
    <nc r="AD49">
      <v>84444</v>
    </nc>
  </rcc>
  <rcc rId="1895" sId="1" numFmtId="27">
    <nc r="AE49">
      <v>46076.395833333336</v>
    </nc>
  </rcc>
  <rcc rId="1896" sId="1" numFmtId="34">
    <nc r="AF49">
      <v>85823</v>
    </nc>
  </rcc>
  <rcc rId="1897" sId="1" numFmtId="27">
    <nc r="AG49">
      <v>46080.4</v>
    </nc>
  </rcc>
  <rcc rId="1898" sId="1">
    <nc r="AH49">
      <f>+AF49-AD49</f>
    </nc>
  </rcc>
  <rcc rId="1899" sId="1">
    <nc r="AI49">
      <v>4</v>
    </nc>
  </rcc>
  <rcc rId="1900" sId="1">
    <nc r="AJ49">
      <f>+AI49*5</f>
    </nc>
  </rcc>
  <rcc rId="1901" sId="1">
    <nc r="AK49">
      <f>+Q49-AJ49</f>
    </nc>
  </rcc>
  <rcc rId="1902" sId="1">
    <nc r="AM49">
      <f>+AH49/Q49</f>
    </nc>
  </rcc>
  <rcc rId="1903" sId="1">
    <nc r="AN49">
      <f>+Q49/AI49</f>
    </nc>
  </rcc>
  <rcc rId="1904" sId="1">
    <nc r="AQ49">
      <f>+N49/78.54</f>
    </nc>
  </rcc>
  <rcc rId="1905" sId="1">
    <nc r="AR49">
      <f>+AH49/11</f>
    </nc>
  </rcc>
  <rcc rId="1906" sId="1">
    <nc r="AS49">
      <f>+AR49-AQ49</f>
    </nc>
  </rcc>
  <rcc rId="1907" sId="1">
    <nc r="AT49">
      <f>+AH49/AQ49</f>
    </nc>
  </rcc>
  <rfmt sheetId="1" sqref="A49:AK49">
    <dxf>
      <fill>
        <patternFill patternType="solid">
          <bgColor rgb="FF92D050"/>
        </patternFill>
      </fill>
    </dxf>
  </rfmt>
  <rcv guid="{D015136D-255F-4042-9389-EB535F138010}" action="delete"/>
  <rdn rId="0" localSheetId="1" customView="1" name="Z_D015136D_255F_4042_9389_EB535F138010_.wvu.FilterData" hidden="1" oldHidden="1">
    <formula>DATA!$A$1:$AK$60</formula>
    <oldFormula>DATA!$A$1:$AK$60</oldFormula>
  </rdn>
  <rcv guid="{D015136D-255F-4042-9389-EB535F138010}" action="add"/>
</revisions>
</file>

<file path=xl/revisions/revisionLog1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9" sId="1" numFmtId="34">
    <oc r="AD61">
      <v>88505</v>
    </oc>
    <nc r="AD61">
      <v>86505</v>
    </nc>
  </rcc>
  <rcc rId="1910" sId="1" numFmtId="34">
    <oc r="AF61">
      <v>88931</v>
    </oc>
    <nc r="AF61">
      <v>86931</v>
    </nc>
  </rcc>
</revisions>
</file>

<file path=xl/revisions/revisionLog1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1" sId="1">
    <oc r="J67">
      <v>0</v>
    </oc>
    <nc r="J67"/>
  </rcc>
  <rcv guid="{D015136D-255F-4042-9389-EB535F138010}" action="delete"/>
  <rdn rId="0" localSheetId="1" customView="1" name="Z_D015136D_255F_4042_9389_EB535F138010_.wvu.FilterData" hidden="1" oldHidden="1">
    <formula>DATA!$A$1:$AK$60</formula>
    <oldFormula>DATA!$A$1:$AK$60</oldFormula>
  </rdn>
  <rcv guid="{D015136D-255F-4042-9389-EB535F138010}" action="add"/>
</revisions>
</file>

<file path=xl/revisions/revisionLog1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3" sId="1">
    <nc r="M55">
      <f>+N55-H55</f>
    </nc>
  </rcc>
  <rcc rId="1914" sId="1">
    <nc r="N55">
      <f>1000+3450.2</f>
    </nc>
  </rcc>
  <rcc rId="1915" sId="1" numFmtId="34">
    <nc r="P55">
      <v>7</v>
    </nc>
  </rcc>
  <rcc rId="1916" sId="1">
    <nc r="Q55">
      <f>+P55+O55</f>
    </nc>
  </rcc>
  <rcc rId="1917" sId="1">
    <nc r="R55">
      <f>(N55/Q55)</f>
    </nc>
  </rcc>
  <rcc rId="1918" sId="1">
    <nc r="S55">
      <f>(('Costo por negocio'!$B$2-DATA!R55)*DATA!O55)+('Costo por negocio'!$C$2-DATA!R55)*DATA!P55</f>
    </nc>
  </rcc>
  <rcc rId="1919" sId="1">
    <nc r="U55" t="inlineStr">
      <is>
        <t>SI</t>
      </is>
    </nc>
  </rcc>
  <rcc rId="1920" sId="1">
    <nc r="V55" t="inlineStr">
      <is>
        <t>SI</t>
      </is>
    </nc>
  </rcc>
  <rcc rId="1921" sId="1">
    <nc r="W55" t="inlineStr">
      <is>
        <t>SI</t>
      </is>
    </nc>
  </rcc>
  <rcc rId="1922" sId="1" numFmtId="19">
    <nc r="T55">
      <v>46083</v>
    </nc>
  </rcc>
  <rcc rId="1923" sId="1">
    <nc r="Y55" t="inlineStr">
      <is>
        <t>BED 2527</t>
      </is>
    </nc>
  </rcc>
  <rcc rId="1924" sId="1" numFmtId="34">
    <nc r="AD55">
      <v>104105</v>
    </nc>
  </rcc>
  <rcc rId="1925" sId="1" numFmtId="27">
    <nc r="AE55">
      <v>46076.73333333333</v>
    </nc>
  </rcc>
  <rcc rId="1926" sId="1" numFmtId="34">
    <nc r="AF55">
      <v>104978</v>
    </nc>
  </rcc>
  <rcc rId="1927" sId="1">
    <nc r="AH55">
      <f>+AF55-AD55</f>
    </nc>
  </rcc>
  <rcc rId="1928" sId="1" numFmtId="27">
    <nc r="AG55">
      <v>46080.375</v>
    </nc>
  </rcc>
  <rcc rId="1929" sId="1">
    <nc r="AI55">
      <v>3</v>
    </nc>
  </rcc>
  <rcc rId="1930" sId="1">
    <nc r="AJ55">
      <f>+AI55*5</f>
    </nc>
  </rcc>
  <rcc rId="1931" sId="1">
    <nc r="AK55">
      <f>+Q55-AJ55</f>
    </nc>
  </rcc>
  <rcc rId="1932" sId="1">
    <nc r="AM55">
      <f>+AH55/Q55</f>
    </nc>
  </rcc>
  <rcc rId="1933" sId="1">
    <nc r="AN55">
      <f>+Q55/AI55</f>
    </nc>
  </rcc>
  <rcc rId="1934" sId="1">
    <nc r="AQ55">
      <f>+N55/78.54</f>
    </nc>
  </rcc>
  <rcc rId="1935" sId="1">
    <nc r="AR55">
      <f>+AH55/11</f>
    </nc>
  </rcc>
  <rcc rId="1936" sId="1">
    <nc r="AS55">
      <f>+AR55-AQ55</f>
    </nc>
  </rcc>
  <rcc rId="1937" sId="1">
    <nc r="AT55">
      <f>+AH55/AQ55</f>
    </nc>
  </rcc>
  <rfmt sheetId="1" sqref="A55:AK55">
    <dxf>
      <fill>
        <patternFill patternType="solid">
          <bgColor rgb="FF92D050"/>
        </patternFill>
      </fill>
    </dxf>
  </rfmt>
</revisions>
</file>

<file path=xl/revisions/revisionLog1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38" sId="1">
    <nc r="M47">
      <f>+N47-H47</f>
    </nc>
  </rcc>
  <rcc rId="1939" sId="1" numFmtId="34">
    <nc r="N47">
      <v>3000</v>
    </nc>
  </rcc>
  <rcc rId="1940" sId="1">
    <nc r="O47">
      <f>10+9</f>
    </nc>
  </rcc>
  <rcc rId="1941" sId="1">
    <nc r="Q47">
      <f>+P47+O47</f>
    </nc>
  </rcc>
  <rcc rId="1942" sId="1">
    <nc r="R47">
      <f>(N47/Q47)</f>
    </nc>
  </rcc>
  <rcc rId="1943" sId="1">
    <nc r="S47">
      <f>(('Costo por negocio'!$B$2-DATA!R47)*DATA!O47)+('Costo por negocio'!$C$2-DATA!R47)*DATA!P47</f>
    </nc>
  </rcc>
  <rcc rId="1944" sId="1">
    <nc r="U47" t="inlineStr">
      <is>
        <t>SI</t>
      </is>
    </nc>
  </rcc>
  <rcc rId="1945" sId="1">
    <nc r="V47" t="inlineStr">
      <is>
        <t>SI</t>
      </is>
    </nc>
  </rcc>
  <rcc rId="1946" sId="1">
    <nc r="W47" t="inlineStr">
      <is>
        <t>SI</t>
      </is>
    </nc>
  </rcc>
  <rcc rId="1947" sId="1" numFmtId="19">
    <nc r="T47">
      <v>46083</v>
    </nc>
  </rcc>
  <rcc rId="1948" sId="1">
    <nc r="Y47" t="inlineStr">
      <is>
        <t>SCL 8868</t>
      </is>
    </nc>
  </rcc>
  <rfmt sheetId="1" sqref="A47:AK47">
    <dxf>
      <fill>
        <patternFill patternType="solid">
          <bgColor rgb="FF92D050"/>
        </patternFill>
      </fill>
    </dxf>
  </rfmt>
  <rcc rId="1949" sId="1" numFmtId="34">
    <oc r="AD55">
      <v>104105</v>
    </oc>
    <nc r="AD55">
      <v>104115</v>
    </nc>
  </rcc>
  <rcc rId="1950" sId="1" numFmtId="34">
    <oc r="AF55">
      <v>104978</v>
    </oc>
    <nc r="AF55">
      <v>104875</v>
    </nc>
  </rcc>
</revisions>
</file>

<file path=xl/revisions/revisionLog1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51" sId="1" odxf="1" dxf="1">
    <nc r="A62">
      <v>61</v>
    </nc>
    <ndxf>
      <fill>
        <patternFill patternType="solid">
          <bgColor rgb="FF92D050"/>
        </patternFill>
      </fill>
    </ndxf>
  </rcc>
  <rcc rId="1952" sId="1" odxf="1" dxf="1">
    <nc r="B62" t="inlineStr">
      <is>
        <t>Luis Amicone</t>
      </is>
    </nc>
    <ndxf>
      <fill>
        <patternFill patternType="solid">
          <bgColor rgb="FF92D050"/>
        </patternFill>
      </fill>
    </ndxf>
  </rcc>
  <rcc rId="1953" sId="1" odxf="1" dxf="1">
    <nc r="C62">
      <v>3075</v>
    </nc>
    <ndxf>
      <fill>
        <patternFill patternType="solid">
          <bgColor rgb="FF92D050"/>
        </patternFill>
      </fill>
    </ndxf>
  </rcc>
  <rfmt sheetId="1" sqref="D62" start="0" length="0">
    <dxf>
      <fill>
        <patternFill patternType="solid">
          <bgColor rgb="FF92D050"/>
        </patternFill>
      </fill>
    </dxf>
  </rfmt>
  <rfmt sheetId="1" sqref="E62" start="0" length="0">
    <dxf>
      <fill>
        <patternFill patternType="solid">
          <bgColor rgb="FF92D050"/>
        </patternFill>
      </fill>
    </dxf>
  </rfmt>
  <rfmt sheetId="1" sqref="F62" start="0" length="0">
    <dxf>
      <fill>
        <patternFill patternType="solid">
          <bgColor rgb="FF92D050"/>
        </patternFill>
      </fill>
    </dxf>
  </rfmt>
  <rfmt sheetId="1" sqref="G62" start="0" length="0">
    <dxf>
      <fill>
        <patternFill patternType="solid">
          <bgColor rgb="FF92D050"/>
        </patternFill>
      </fill>
    </dxf>
  </rfmt>
  <rfmt sheetId="1" sqref="H62" start="0" length="0">
    <dxf>
      <fill>
        <patternFill patternType="solid">
          <bgColor rgb="FF92D050"/>
        </patternFill>
      </fill>
    </dxf>
  </rfmt>
  <rfmt sheetId="1" sqref="I62" start="0" length="0">
    <dxf>
      <fill>
        <patternFill patternType="solid">
          <bgColor rgb="FF92D050"/>
        </patternFill>
      </fill>
    </dxf>
  </rfmt>
  <rfmt sheetId="1" sqref="J62" start="0" length="0">
    <dxf>
      <fill>
        <patternFill patternType="solid">
          <bgColor rgb="FF92D050"/>
        </patternFill>
      </fill>
    </dxf>
  </rfmt>
  <rfmt sheetId="1" sqref="K62" start="0" length="0">
    <dxf>
      <fill>
        <patternFill patternType="solid">
          <bgColor rgb="FF92D050"/>
        </patternFill>
      </fill>
    </dxf>
  </rfmt>
  <rfmt sheetId="1" sqref="L62" start="0" length="0">
    <dxf>
      <fill>
        <patternFill patternType="solid">
          <bgColor rgb="FF92D050"/>
        </patternFill>
      </fill>
    </dxf>
  </rfmt>
  <rfmt sheetId="1" sqref="M62" start="0" length="0">
    <dxf>
      <fill>
        <patternFill patternType="solid">
          <bgColor rgb="FF92D050"/>
        </patternFill>
      </fill>
    </dxf>
  </rfmt>
  <rfmt sheetId="1" sqref="N62" start="0" length="0">
    <dxf>
      <fill>
        <patternFill patternType="solid">
          <bgColor rgb="FF92D050"/>
        </patternFill>
      </fill>
    </dxf>
  </rfmt>
  <rfmt sheetId="1" sqref="O62" start="0" length="0">
    <dxf>
      <fill>
        <patternFill patternType="solid">
          <bgColor rgb="FF92D050"/>
        </patternFill>
      </fill>
    </dxf>
  </rfmt>
  <rfmt sheetId="1" sqref="P62" start="0" length="0">
    <dxf>
      <fill>
        <patternFill patternType="solid">
          <bgColor rgb="FF92D050"/>
        </patternFill>
      </fill>
    </dxf>
  </rfmt>
  <rfmt sheetId="1" sqref="Q62" start="0" length="0">
    <dxf>
      <fill>
        <patternFill patternType="solid">
          <bgColor rgb="FF92D050"/>
        </patternFill>
      </fill>
    </dxf>
  </rfmt>
  <rfmt sheetId="1" sqref="R62" start="0" length="0">
    <dxf>
      <fill>
        <patternFill patternType="solid">
          <bgColor rgb="FF92D050"/>
        </patternFill>
      </fill>
    </dxf>
  </rfmt>
  <rfmt sheetId="1" sqref="S62" start="0" length="0">
    <dxf>
      <fill>
        <patternFill patternType="solid">
          <bgColor rgb="FF92D050"/>
        </patternFill>
      </fill>
    </dxf>
  </rfmt>
  <rfmt sheetId="1" sqref="T62" start="0" length="0">
    <dxf>
      <fill>
        <patternFill patternType="solid">
          <bgColor rgb="FF92D050"/>
        </patternFill>
      </fill>
    </dxf>
  </rfmt>
  <rfmt sheetId="1" sqref="U62" start="0" length="0">
    <dxf>
      <fill>
        <patternFill patternType="solid">
          <bgColor rgb="FF92D050"/>
        </patternFill>
      </fill>
    </dxf>
  </rfmt>
  <rfmt sheetId="1" sqref="V62" start="0" length="0">
    <dxf>
      <fill>
        <patternFill patternType="solid">
          <bgColor rgb="FF92D050"/>
        </patternFill>
      </fill>
    </dxf>
  </rfmt>
  <rfmt sheetId="1" sqref="W62" start="0" length="0">
    <dxf>
      <fill>
        <patternFill patternType="solid">
          <bgColor rgb="FF92D050"/>
        </patternFill>
      </fill>
    </dxf>
  </rfmt>
  <rfmt sheetId="1" sqref="X62" start="0" length="0">
    <dxf>
      <fill>
        <patternFill patternType="solid">
          <bgColor rgb="FF92D050"/>
        </patternFill>
      </fill>
    </dxf>
  </rfmt>
  <rfmt sheetId="1" sqref="Y62" start="0" length="0">
    <dxf>
      <fill>
        <patternFill patternType="solid">
          <bgColor rgb="FF92D050"/>
        </patternFill>
      </fill>
    </dxf>
  </rfmt>
  <rfmt sheetId="1" sqref="Z62" start="0" length="0">
    <dxf>
      <fill>
        <patternFill patternType="solid">
          <bgColor rgb="FF92D050"/>
        </patternFill>
      </fill>
    </dxf>
  </rfmt>
  <rfmt sheetId="1" sqref="AA62" start="0" length="0">
    <dxf>
      <fill>
        <patternFill patternType="solid">
          <bgColor rgb="FF92D050"/>
        </patternFill>
      </fill>
    </dxf>
  </rfmt>
  <rfmt sheetId="1" sqref="AB62" start="0" length="0">
    <dxf>
      <fill>
        <patternFill patternType="solid">
          <bgColor rgb="FF92D050"/>
        </patternFill>
      </fill>
    </dxf>
  </rfmt>
  <rfmt sheetId="1" sqref="AC62" start="0" length="0">
    <dxf>
      <fill>
        <patternFill patternType="solid">
          <bgColor rgb="FF92D050"/>
        </patternFill>
      </fill>
    </dxf>
  </rfmt>
  <rfmt sheetId="1" sqref="AD62" start="0" length="0">
    <dxf>
      <fill>
        <patternFill patternType="solid">
          <bgColor rgb="FF92D050"/>
        </patternFill>
      </fill>
    </dxf>
  </rfmt>
  <rfmt sheetId="1" sqref="AE62" start="0" length="0">
    <dxf>
      <fill>
        <patternFill patternType="solid">
          <bgColor rgb="FF92D050"/>
        </patternFill>
      </fill>
    </dxf>
  </rfmt>
  <rfmt sheetId="1" sqref="AF62" start="0" length="0">
    <dxf>
      <fill>
        <patternFill patternType="solid">
          <bgColor rgb="FF92D050"/>
        </patternFill>
      </fill>
    </dxf>
  </rfmt>
  <rfmt sheetId="1" sqref="AG62" start="0" length="0">
    <dxf>
      <fill>
        <patternFill patternType="solid">
          <bgColor rgb="FF92D050"/>
        </patternFill>
      </fill>
    </dxf>
  </rfmt>
  <rfmt sheetId="1" sqref="AH62" start="0" length="0">
    <dxf>
      <fill>
        <patternFill patternType="solid">
          <bgColor rgb="FF92D050"/>
        </patternFill>
      </fill>
    </dxf>
  </rfmt>
  <rfmt sheetId="1" sqref="AI62" start="0" length="0">
    <dxf>
      <fill>
        <patternFill patternType="solid">
          <bgColor rgb="FF92D050"/>
        </patternFill>
      </fill>
    </dxf>
  </rfmt>
  <rfmt sheetId="1" sqref="AJ62" start="0" length="0">
    <dxf>
      <fill>
        <patternFill patternType="solid">
          <bgColor rgb="FF92D050"/>
        </patternFill>
      </fill>
    </dxf>
  </rfmt>
  <rfmt sheetId="1" sqref="AK62" start="0" length="0">
    <dxf>
      <fill>
        <patternFill patternType="solid">
          <bgColor rgb="FF92D050"/>
        </patternFill>
      </fill>
    </dxf>
  </rfmt>
  <rcc rId="1954" sId="1">
    <nc r="D62">
      <v>10</v>
    </nc>
  </rcc>
  <rcc rId="1955" sId="1">
    <nc r="E62" t="inlineStr">
      <is>
        <t>12/02 al 28/02/2026</t>
      </is>
    </nc>
  </rcc>
  <rcc rId="1956" sId="1" numFmtId="19">
    <nc r="F62">
      <v>46065</v>
    </nc>
  </rcc>
  <rcc rId="1957" sId="1" numFmtId="19">
    <nc r="G62">
      <v>46081</v>
    </nc>
  </rcc>
  <rcc rId="1958" sId="1">
    <nc r="J62" t="inlineStr">
      <is>
        <t>Montevideo</t>
      </is>
    </nc>
  </rcc>
  <rcc rId="1959" sId="1">
    <nc r="K62" t="inlineStr">
      <is>
        <t>Propio</t>
      </is>
    </nc>
  </rcc>
  <rcc rId="1960" sId="1">
    <nc r="M62">
      <f>+N62-H62</f>
    </nc>
  </rcc>
  <rcc rId="1961" sId="1">
    <nc r="N62">
      <f>2000+1000</f>
    </nc>
  </rcc>
  <rcc rId="1962" sId="1">
    <nc r="O62">
      <f>11+2</f>
    </nc>
  </rcc>
  <rcc rId="1963" sId="1">
    <nc r="Q62">
      <f>+P62+O62</f>
    </nc>
  </rcc>
  <rcc rId="1964" sId="1">
    <nc r="R62">
      <f>(N62/Q62)</f>
    </nc>
  </rcc>
  <rcc rId="1965" sId="1">
    <nc r="S62">
      <f>(('Costo por negocio'!$B$2-DATA!R62)*DATA!O62)+('Costo por negocio'!$C$2-DATA!R62)*DATA!P62</f>
    </nc>
  </rcc>
  <rcc rId="1966" sId="1">
    <nc r="U62" t="inlineStr">
      <is>
        <t>SI</t>
      </is>
    </nc>
  </rcc>
  <rcc rId="1967" sId="1">
    <nc r="V62" t="inlineStr">
      <is>
        <t>SI</t>
      </is>
    </nc>
  </rcc>
  <rcc rId="1968" sId="1">
    <nc r="W62" t="inlineStr">
      <is>
        <t>SI</t>
      </is>
    </nc>
  </rcc>
  <rcc rId="1969" sId="1" numFmtId="19">
    <oc r="T61">
      <v>46080</v>
    </oc>
    <nc r="T61">
      <v>46083</v>
    </nc>
  </rcc>
  <rcc rId="1970" sId="1" numFmtId="19">
    <nc r="T62">
      <v>46083</v>
    </nc>
  </rcc>
  <rcc rId="1971" sId="1">
    <nc r="Y62" t="inlineStr">
      <is>
        <t>SDA 5511</t>
      </is>
    </nc>
  </rcc>
  <rcc rId="1972" sId="1" odxf="1" dxf="1">
    <nc r="A63">
      <v>62</v>
    </nc>
    <ndxf>
      <fill>
        <patternFill patternType="solid">
          <bgColor rgb="FF92D050"/>
        </patternFill>
      </fill>
    </ndxf>
  </rcc>
  <rcc rId="1973" sId="1" odxf="1" dxf="1">
    <nc r="B63" t="inlineStr">
      <is>
        <t>Agustin Buñevaz</t>
      </is>
    </nc>
    <ndxf>
      <fill>
        <patternFill patternType="solid">
          <bgColor rgb="FF92D050"/>
        </patternFill>
      </fill>
    </ndxf>
  </rcc>
  <rcc rId="1974" sId="1" odxf="1" dxf="1">
    <nc r="C63">
      <v>3152</v>
    </nc>
    <ndxf>
      <fill>
        <patternFill patternType="solid">
          <bgColor rgb="FF92D050"/>
        </patternFill>
      </fill>
    </ndxf>
  </rcc>
  <rfmt sheetId="1" sqref="D63" start="0" length="0">
    <dxf>
      <fill>
        <patternFill patternType="solid">
          <bgColor rgb="FF92D050"/>
        </patternFill>
      </fill>
    </dxf>
  </rfmt>
  <rfmt sheetId="1" sqref="E63" start="0" length="0">
    <dxf>
      <fill>
        <patternFill patternType="solid">
          <bgColor rgb="FF92D050"/>
        </patternFill>
      </fill>
    </dxf>
  </rfmt>
  <rfmt sheetId="1" sqref="F63" start="0" length="0">
    <dxf>
      <fill>
        <patternFill patternType="solid">
          <bgColor rgb="FF92D050"/>
        </patternFill>
      </fill>
    </dxf>
  </rfmt>
  <rfmt sheetId="1" sqref="G63" start="0" length="0">
    <dxf>
      <fill>
        <patternFill patternType="solid">
          <bgColor rgb="FF92D050"/>
        </patternFill>
      </fill>
    </dxf>
  </rfmt>
  <rfmt sheetId="1" sqref="H63" start="0" length="0">
    <dxf>
      <fill>
        <patternFill patternType="solid">
          <bgColor rgb="FF92D050"/>
        </patternFill>
      </fill>
    </dxf>
  </rfmt>
  <rcc rId="1975" sId="1" odxf="1" dxf="1">
    <nc r="I63">
      <v>10</v>
    </nc>
    <ndxf>
      <fill>
        <patternFill patternType="solid">
          <bgColor rgb="FF92D050"/>
        </patternFill>
      </fill>
    </ndxf>
  </rcc>
  <rcc rId="1976" sId="1" odxf="1" dxf="1">
    <nc r="J63" t="inlineStr">
      <is>
        <t>Montevideo, Canelones</t>
      </is>
    </nc>
    <ndxf>
      <fill>
        <patternFill patternType="solid">
          <bgColor rgb="FF92D050"/>
        </patternFill>
      </fill>
    </ndxf>
  </rcc>
  <rfmt sheetId="1" sqref="K63" start="0" length="0">
    <dxf>
      <fill>
        <patternFill patternType="solid">
          <bgColor rgb="FF92D050"/>
        </patternFill>
      </fill>
    </dxf>
  </rfmt>
  <rfmt sheetId="1" sqref="L63" start="0" length="0">
    <dxf>
      <fill>
        <patternFill patternType="solid">
          <bgColor rgb="FF92D050"/>
        </patternFill>
      </fill>
    </dxf>
  </rfmt>
  <rfmt sheetId="1" sqref="M63" start="0" length="0">
    <dxf>
      <fill>
        <patternFill patternType="solid">
          <bgColor rgb="FF92D050"/>
        </patternFill>
      </fill>
    </dxf>
  </rfmt>
  <rfmt sheetId="1" sqref="N63" start="0" length="0">
    <dxf>
      <fill>
        <patternFill patternType="solid">
          <bgColor rgb="FF92D050"/>
        </patternFill>
      </fill>
    </dxf>
  </rfmt>
  <rfmt sheetId="1" sqref="O63" start="0" length="0">
    <dxf>
      <fill>
        <patternFill patternType="solid">
          <bgColor rgb="FF92D050"/>
        </patternFill>
      </fill>
    </dxf>
  </rfmt>
  <rfmt sheetId="1" sqref="P63" start="0" length="0">
    <dxf>
      <fill>
        <patternFill patternType="solid">
          <bgColor rgb="FF92D050"/>
        </patternFill>
      </fill>
    </dxf>
  </rfmt>
  <rfmt sheetId="1" sqref="Q63" start="0" length="0">
    <dxf>
      <fill>
        <patternFill patternType="solid">
          <bgColor rgb="FF92D050"/>
        </patternFill>
      </fill>
    </dxf>
  </rfmt>
  <rfmt sheetId="1" sqref="R63" start="0" length="0">
    <dxf>
      <fill>
        <patternFill patternType="solid">
          <bgColor rgb="FF92D050"/>
        </patternFill>
      </fill>
    </dxf>
  </rfmt>
  <rfmt sheetId="1" sqref="S63" start="0" length="0">
    <dxf>
      <fill>
        <patternFill patternType="solid">
          <bgColor rgb="FF92D050"/>
        </patternFill>
      </fill>
    </dxf>
  </rfmt>
  <rfmt sheetId="1" sqref="T63" start="0" length="0">
    <dxf>
      <fill>
        <patternFill patternType="solid">
          <bgColor rgb="FF92D050"/>
        </patternFill>
      </fill>
    </dxf>
  </rfmt>
  <rfmt sheetId="1" sqref="U63" start="0" length="0">
    <dxf>
      <fill>
        <patternFill patternType="solid">
          <bgColor rgb="FF92D050"/>
        </patternFill>
      </fill>
    </dxf>
  </rfmt>
  <rfmt sheetId="1" sqref="V63" start="0" length="0">
    <dxf>
      <fill>
        <patternFill patternType="solid">
          <bgColor rgb="FF92D050"/>
        </patternFill>
      </fill>
    </dxf>
  </rfmt>
  <rfmt sheetId="1" sqref="W63" start="0" length="0">
    <dxf>
      <fill>
        <patternFill patternType="solid">
          <bgColor rgb="FF92D050"/>
        </patternFill>
      </fill>
    </dxf>
  </rfmt>
  <rfmt sheetId="1" sqref="X63" start="0" length="0">
    <dxf>
      <fill>
        <patternFill patternType="solid">
          <bgColor rgb="FF92D050"/>
        </patternFill>
      </fill>
    </dxf>
  </rfmt>
  <rfmt sheetId="1" sqref="Y63" start="0" length="0">
    <dxf>
      <fill>
        <patternFill patternType="solid">
          <bgColor rgb="FF92D050"/>
        </patternFill>
      </fill>
    </dxf>
  </rfmt>
  <rfmt sheetId="1" sqref="Z63" start="0" length="0">
    <dxf>
      <fill>
        <patternFill patternType="solid">
          <bgColor rgb="FF92D050"/>
        </patternFill>
      </fill>
    </dxf>
  </rfmt>
  <rfmt sheetId="1" sqref="AA63" start="0" length="0">
    <dxf>
      <fill>
        <patternFill patternType="solid">
          <bgColor rgb="FF92D050"/>
        </patternFill>
      </fill>
    </dxf>
  </rfmt>
  <rfmt sheetId="1" sqref="AB63" start="0" length="0">
    <dxf>
      <fill>
        <patternFill patternType="solid">
          <bgColor rgb="FF92D050"/>
        </patternFill>
      </fill>
    </dxf>
  </rfmt>
  <rfmt sheetId="1" sqref="AC63" start="0" length="0">
    <dxf>
      <fill>
        <patternFill patternType="solid">
          <bgColor rgb="FF92D050"/>
        </patternFill>
      </fill>
    </dxf>
  </rfmt>
  <rfmt sheetId="1" sqref="AD63" start="0" length="0">
    <dxf>
      <fill>
        <patternFill patternType="solid">
          <bgColor rgb="FF92D050"/>
        </patternFill>
      </fill>
    </dxf>
  </rfmt>
  <rfmt sheetId="1" sqref="AE63" start="0" length="0">
    <dxf>
      <fill>
        <patternFill patternType="solid">
          <bgColor rgb="FF92D050"/>
        </patternFill>
      </fill>
    </dxf>
  </rfmt>
  <rfmt sheetId="1" sqref="AF63" start="0" length="0">
    <dxf>
      <fill>
        <patternFill patternType="solid">
          <bgColor rgb="FF92D050"/>
        </patternFill>
      </fill>
    </dxf>
  </rfmt>
  <rfmt sheetId="1" sqref="AG63" start="0" length="0">
    <dxf>
      <fill>
        <patternFill patternType="solid">
          <bgColor rgb="FF92D050"/>
        </patternFill>
      </fill>
    </dxf>
  </rfmt>
  <rfmt sheetId="1" sqref="AH63" start="0" length="0">
    <dxf>
      <fill>
        <patternFill patternType="solid">
          <bgColor rgb="FF92D050"/>
        </patternFill>
      </fill>
    </dxf>
  </rfmt>
  <rfmt sheetId="1" sqref="AI63" start="0" length="0">
    <dxf>
      <fill>
        <patternFill patternType="solid">
          <bgColor rgb="FF92D050"/>
        </patternFill>
      </fill>
    </dxf>
  </rfmt>
  <rfmt sheetId="1" sqref="AJ63" start="0" length="0">
    <dxf>
      <fill>
        <patternFill patternType="solid">
          <bgColor rgb="FF92D050"/>
        </patternFill>
      </fill>
    </dxf>
  </rfmt>
  <rfmt sheetId="1" sqref="AK63" start="0" length="0">
    <dxf>
      <fill>
        <patternFill patternType="solid">
          <bgColor rgb="FF92D050"/>
        </patternFill>
      </fill>
    </dxf>
  </rfmt>
  <rcc rId="1977" sId="1">
    <nc r="D63">
      <v>10</v>
    </nc>
  </rcc>
  <rcc rId="1978" sId="1">
    <nc r="E63" t="inlineStr">
      <is>
        <t>12/02 al 28/02/2026</t>
      </is>
    </nc>
  </rcc>
  <rcc rId="1979" sId="1" numFmtId="19">
    <nc r="F63">
      <v>46065</v>
    </nc>
  </rcc>
  <rcc rId="1980" sId="1" numFmtId="19">
    <nc r="G63">
      <v>46081</v>
    </nc>
  </rcc>
  <rcc rId="1981" sId="1">
    <nc r="K63" t="inlineStr">
      <is>
        <t>Alquiler</t>
      </is>
    </nc>
  </rcc>
  <rcc rId="1982" sId="1">
    <nc r="M63">
      <f>+N63-H63</f>
    </nc>
  </rcc>
  <rcc rId="1983" sId="1">
    <nc r="N63">
      <f>1052+779+1052</f>
    </nc>
  </rcc>
  <rcc rId="1984" sId="1" numFmtId="34">
    <nc r="O63">
      <v>11</v>
    </nc>
  </rcc>
  <rcc rId="1985" sId="1">
    <nc r="Q63">
      <f>+P63+O63</f>
    </nc>
  </rcc>
  <rcc rId="1986" sId="1">
    <nc r="R63">
      <f>(N63/Q63)</f>
    </nc>
  </rcc>
  <rcc rId="1987" sId="1">
    <nc r="S63">
      <f>(('Costo por negocio'!$B$2-DATA!R63)*DATA!O63)+('Costo por negocio'!$C$2-DATA!R63)*DATA!P63</f>
    </nc>
  </rcc>
  <rcc rId="1988" sId="1" numFmtId="19">
    <nc r="T63">
      <v>46083</v>
    </nc>
  </rcc>
  <rcc rId="1989" sId="1">
    <nc r="U63" t="inlineStr">
      <is>
        <t>SI</t>
      </is>
    </nc>
  </rcc>
  <rcc rId="1990" sId="1">
    <nc r="V63" t="inlineStr">
      <is>
        <t>SI</t>
      </is>
    </nc>
  </rcc>
  <rcc rId="1991" sId="1">
    <nc r="W63" t="inlineStr">
      <is>
        <t>SI</t>
      </is>
    </nc>
  </rcc>
  <rcc rId="1992" sId="1">
    <nc r="Y63" t="inlineStr">
      <is>
        <t>ABK 2846</t>
      </is>
    </nc>
  </rcc>
  <rcv guid="{D015136D-255F-4042-9389-EB535F138010}" action="delete"/>
  <rdn rId="0" localSheetId="1" customView="1" name="Z_D015136D_255F_4042_9389_EB535F138010_.wvu.FilterData" hidden="1" oldHidden="1">
    <formula>DATA!$A$1:$AK$61</formula>
    <oldFormula>DATA!$A$1:$AK$60</oldFormula>
  </rdn>
  <rcv guid="{D015136D-255F-4042-9389-EB535F138010}" action="add"/>
</revisions>
</file>

<file path=xl/revisions/revisionLog1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94" sId="1">
    <oc r="K63" t="inlineStr">
      <is>
        <t>Alquiler</t>
      </is>
    </oc>
    <nc r="K63" t="inlineStr">
      <is>
        <t>Propio</t>
      </is>
    </nc>
  </rcc>
  <rfmt sheetId="1" sqref="D64" start="0" length="0">
    <dxf>
      <fill>
        <patternFill patternType="solid">
          <bgColor rgb="FF92D050"/>
        </patternFill>
      </fill>
    </dxf>
  </rfmt>
  <rfmt sheetId="1" sqref="E64" start="0" length="0">
    <dxf>
      <fill>
        <patternFill patternType="solid">
          <bgColor rgb="FF92D050"/>
        </patternFill>
      </fill>
    </dxf>
  </rfmt>
  <rfmt sheetId="1" sqref="F64" start="0" length="0">
    <dxf>
      <fill>
        <patternFill patternType="solid">
          <bgColor rgb="FF92D050"/>
        </patternFill>
      </fill>
    </dxf>
  </rfmt>
  <rfmt sheetId="1" sqref="G64" start="0" length="0">
    <dxf>
      <fill>
        <patternFill patternType="solid">
          <bgColor rgb="FF92D050"/>
        </patternFill>
      </fill>
    </dxf>
  </rfmt>
  <rcc rId="1995" sId="1" odxf="1" dxf="1">
    <nc r="A64">
      <v>63</v>
    </nc>
    <ndxf>
      <fill>
        <patternFill patternType="solid">
          <bgColor rgb="FF92D050"/>
        </patternFill>
      </fill>
    </ndxf>
  </rcc>
  <rcc rId="1996" sId="1" odxf="1" dxf="1">
    <nc r="B64" t="inlineStr">
      <is>
        <t>Lucia Santamaría</t>
      </is>
    </nc>
    <ndxf>
      <fill>
        <patternFill patternType="solid">
          <bgColor rgb="FF92D050"/>
        </patternFill>
      </fill>
    </ndxf>
  </rcc>
  <rcc rId="1997" sId="1" odxf="1" dxf="1">
    <nc r="C64">
      <v>3065</v>
    </nc>
    <ndxf>
      <fill>
        <patternFill patternType="solid">
          <bgColor rgb="FF92D050"/>
        </patternFill>
      </fill>
    </ndxf>
  </rcc>
  <rcc rId="1998" sId="1">
    <nc r="D64">
      <v>10</v>
    </nc>
  </rcc>
  <rcc rId="1999" sId="1">
    <nc r="E64" t="inlineStr">
      <is>
        <t>12/02 al 28/02/2026</t>
      </is>
    </nc>
  </rcc>
  <rcc rId="2000" sId="1" numFmtId="19">
    <nc r="F64">
      <v>46065</v>
    </nc>
  </rcc>
  <rcc rId="2001" sId="1" numFmtId="19">
    <nc r="G64">
      <v>46081</v>
    </nc>
  </rcc>
  <rfmt sheetId="1" sqref="H64" start="0" length="0">
    <dxf>
      <fill>
        <patternFill patternType="solid">
          <bgColor rgb="FF92D050"/>
        </patternFill>
      </fill>
    </dxf>
  </rfmt>
  <rfmt sheetId="1" sqref="I64" start="0" length="0">
    <dxf>
      <fill>
        <patternFill patternType="solid">
          <bgColor rgb="FF92D050"/>
        </patternFill>
      </fill>
    </dxf>
  </rfmt>
  <rfmt sheetId="1" sqref="J64" start="0" length="0">
    <dxf>
      <fill>
        <patternFill patternType="solid">
          <bgColor rgb="FF92D050"/>
        </patternFill>
      </fill>
    </dxf>
  </rfmt>
  <rcc rId="2002" sId="1" odxf="1" dxf="1">
    <nc r="K64" t="inlineStr">
      <is>
        <t>Propio</t>
      </is>
    </nc>
    <ndxf>
      <fill>
        <patternFill patternType="solid">
          <bgColor rgb="FF92D050"/>
        </patternFill>
      </fill>
    </ndxf>
  </rcc>
  <rfmt sheetId="1" sqref="L64" start="0" length="0">
    <dxf>
      <fill>
        <patternFill patternType="solid">
          <bgColor rgb="FF92D050"/>
        </patternFill>
      </fill>
    </dxf>
  </rfmt>
  <rfmt sheetId="1" sqref="M64" start="0" length="0">
    <dxf>
      <fill>
        <patternFill patternType="solid">
          <bgColor rgb="FF92D050"/>
        </patternFill>
      </fill>
    </dxf>
  </rfmt>
  <rfmt sheetId="1" sqref="N64" start="0" length="0">
    <dxf>
      <fill>
        <patternFill patternType="solid">
          <bgColor rgb="FF92D050"/>
        </patternFill>
      </fill>
    </dxf>
  </rfmt>
  <rfmt sheetId="1" sqref="O64" start="0" length="0">
    <dxf>
      <fill>
        <patternFill patternType="solid">
          <bgColor rgb="FF92D050"/>
        </patternFill>
      </fill>
    </dxf>
  </rfmt>
  <rfmt sheetId="1" sqref="P64" start="0" length="0">
    <dxf>
      <fill>
        <patternFill patternType="solid">
          <bgColor rgb="FF92D050"/>
        </patternFill>
      </fill>
    </dxf>
  </rfmt>
  <rfmt sheetId="1" sqref="Q64" start="0" length="0">
    <dxf>
      <fill>
        <patternFill patternType="solid">
          <bgColor rgb="FF92D050"/>
        </patternFill>
      </fill>
    </dxf>
  </rfmt>
  <rfmt sheetId="1" sqref="R64" start="0" length="0">
    <dxf>
      <fill>
        <patternFill patternType="solid">
          <bgColor rgb="FF92D050"/>
        </patternFill>
      </fill>
    </dxf>
  </rfmt>
  <rfmt sheetId="1" sqref="S64" start="0" length="0">
    <dxf>
      <fill>
        <patternFill patternType="solid">
          <bgColor rgb="FF92D050"/>
        </patternFill>
      </fill>
    </dxf>
  </rfmt>
  <rfmt sheetId="1" sqref="T64" start="0" length="0">
    <dxf>
      <fill>
        <patternFill patternType="solid">
          <bgColor rgb="FF92D050"/>
        </patternFill>
      </fill>
    </dxf>
  </rfmt>
  <rfmt sheetId="1" sqref="U64" start="0" length="0">
    <dxf>
      <fill>
        <patternFill patternType="solid">
          <bgColor rgb="FF92D050"/>
        </patternFill>
      </fill>
    </dxf>
  </rfmt>
  <rfmt sheetId="1" sqref="V64" start="0" length="0">
    <dxf>
      <fill>
        <patternFill patternType="solid">
          <bgColor rgb="FF92D050"/>
        </patternFill>
      </fill>
    </dxf>
  </rfmt>
  <rfmt sheetId="1" sqref="W64" start="0" length="0">
    <dxf>
      <fill>
        <patternFill patternType="solid">
          <bgColor rgb="FF92D050"/>
        </patternFill>
      </fill>
    </dxf>
  </rfmt>
  <rfmt sheetId="1" sqref="X64" start="0" length="0">
    <dxf>
      <fill>
        <patternFill patternType="solid">
          <bgColor rgb="FF92D050"/>
        </patternFill>
      </fill>
    </dxf>
  </rfmt>
  <rfmt sheetId="1" sqref="Y64" start="0" length="0">
    <dxf>
      <fill>
        <patternFill patternType="solid">
          <bgColor rgb="FF92D050"/>
        </patternFill>
      </fill>
    </dxf>
  </rfmt>
  <rfmt sheetId="1" sqref="Z64" start="0" length="0">
    <dxf>
      <fill>
        <patternFill patternType="solid">
          <bgColor rgb="FF92D050"/>
        </patternFill>
      </fill>
    </dxf>
  </rfmt>
  <rfmt sheetId="1" sqref="AA64" start="0" length="0">
    <dxf>
      <fill>
        <patternFill patternType="solid">
          <bgColor rgb="FF92D050"/>
        </patternFill>
      </fill>
    </dxf>
  </rfmt>
  <rfmt sheetId="1" sqref="AB64" start="0" length="0">
    <dxf>
      <fill>
        <patternFill patternType="solid">
          <bgColor rgb="FF92D050"/>
        </patternFill>
      </fill>
    </dxf>
  </rfmt>
  <rfmt sheetId="1" sqref="AC64" start="0" length="0">
    <dxf>
      <fill>
        <patternFill patternType="solid">
          <bgColor rgb="FF92D050"/>
        </patternFill>
      </fill>
    </dxf>
  </rfmt>
  <rfmt sheetId="1" sqref="AD64" start="0" length="0">
    <dxf>
      <fill>
        <patternFill patternType="solid">
          <bgColor rgb="FF92D050"/>
        </patternFill>
      </fill>
    </dxf>
  </rfmt>
  <rfmt sheetId="1" sqref="AE64" start="0" length="0">
    <dxf>
      <fill>
        <patternFill patternType="solid">
          <bgColor rgb="FF92D050"/>
        </patternFill>
      </fill>
    </dxf>
  </rfmt>
  <rfmt sheetId="1" sqref="AF64" start="0" length="0">
    <dxf>
      <fill>
        <patternFill patternType="solid">
          <bgColor rgb="FF92D050"/>
        </patternFill>
      </fill>
    </dxf>
  </rfmt>
  <rfmt sheetId="1" sqref="AG64" start="0" length="0">
    <dxf>
      <fill>
        <patternFill patternType="solid">
          <bgColor rgb="FF92D050"/>
        </patternFill>
      </fill>
    </dxf>
  </rfmt>
  <rfmt sheetId="1" sqref="AH64" start="0" length="0">
    <dxf>
      <fill>
        <patternFill patternType="solid">
          <bgColor rgb="FF92D050"/>
        </patternFill>
      </fill>
    </dxf>
  </rfmt>
  <rfmt sheetId="1" sqref="AI64" start="0" length="0">
    <dxf>
      <fill>
        <patternFill patternType="solid">
          <bgColor rgb="FF92D050"/>
        </patternFill>
      </fill>
    </dxf>
  </rfmt>
  <rfmt sheetId="1" sqref="AJ64" start="0" length="0">
    <dxf>
      <fill>
        <patternFill patternType="solid">
          <bgColor rgb="FF92D050"/>
        </patternFill>
      </fill>
    </dxf>
  </rfmt>
  <rfmt sheetId="1" sqref="AK64" start="0" length="0">
    <dxf>
      <fill>
        <patternFill patternType="solid">
          <bgColor rgb="FF92D050"/>
        </patternFill>
      </fill>
    </dxf>
  </rfmt>
  <rcc rId="2003" sId="1">
    <nc r="J64" t="inlineStr">
      <is>
        <t>Montevideo</t>
      </is>
    </nc>
  </rcc>
  <rcc rId="2004" sId="1">
    <oc r="I63">
      <v>10</v>
    </oc>
    <nc r="I63"/>
  </rcc>
  <rcc rId="2005" sId="1">
    <nc r="M64">
      <f>+N64-H64</f>
    </nc>
  </rcc>
  <rcc rId="2006" sId="1">
    <nc r="N64">
      <f>2613.6+2630+1000.4</f>
    </nc>
  </rcc>
  <rcc rId="2007" sId="1">
    <nc r="O64">
      <f>20+20+3</f>
    </nc>
  </rcc>
  <rcc rId="2008" sId="1">
    <nc r="Q64">
      <f>+P64+O64</f>
    </nc>
  </rcc>
  <rcc rId="2009" sId="1">
    <nc r="R64">
      <f>(N64/Q64)</f>
    </nc>
  </rcc>
  <rcc rId="2010" sId="1">
    <nc r="S64">
      <f>(('Costo por negocio'!$B$2-DATA!R64)*DATA!O64)+('Costo por negocio'!$C$2-DATA!R64)*DATA!P64</f>
    </nc>
  </rcc>
  <rcc rId="2011" sId="1" numFmtId="19">
    <nc r="T64">
      <v>46083</v>
    </nc>
  </rcc>
  <rcc rId="2012" sId="1">
    <nc r="U64" t="inlineStr">
      <is>
        <t>SI</t>
      </is>
    </nc>
  </rcc>
  <rcc rId="2013" sId="1">
    <nc r="V64" t="inlineStr">
      <is>
        <t>SI</t>
      </is>
    </nc>
  </rcc>
  <rcc rId="2014" sId="1">
    <nc r="W64" t="inlineStr">
      <is>
        <t>SI</t>
      </is>
    </nc>
  </rcc>
  <rcc rId="2015" sId="1">
    <nc r="Y64" t="inlineStr">
      <is>
        <t>SBI 6680</t>
      </is>
    </nc>
  </rcc>
  <rcc rId="2016" sId="1" odxf="1" dxf="1">
    <nc r="A65">
      <v>64</v>
    </nc>
    <ndxf>
      <fill>
        <patternFill patternType="solid">
          <bgColor rgb="FF92D050"/>
        </patternFill>
      </fill>
    </ndxf>
  </rcc>
  <rcc rId="2017" sId="1" odxf="1" dxf="1">
    <nc r="B65" t="inlineStr">
      <is>
        <t>Rolando Ball</t>
      </is>
    </nc>
    <ndxf>
      <fill>
        <patternFill patternType="solid">
          <bgColor rgb="FF92D050"/>
        </patternFill>
      </fill>
    </ndxf>
  </rcc>
  <rcc rId="2018" sId="1" odxf="1" dxf="1">
    <nc r="C65">
      <v>1332</v>
    </nc>
    <ndxf>
      <fill>
        <patternFill patternType="solid">
          <bgColor rgb="FF92D050"/>
        </patternFill>
      </fill>
    </ndxf>
  </rcc>
  <rfmt sheetId="1" sqref="D65" start="0" length="0">
    <dxf>
      <fill>
        <patternFill patternType="solid">
          <bgColor rgb="FF92D050"/>
        </patternFill>
      </fill>
    </dxf>
  </rfmt>
  <rfmt sheetId="1" sqref="E65" start="0" length="0">
    <dxf>
      <fill>
        <patternFill patternType="solid">
          <bgColor rgb="FF92D050"/>
        </patternFill>
      </fill>
    </dxf>
  </rfmt>
  <rfmt sheetId="1" sqref="F65" start="0" length="0">
    <dxf>
      <fill>
        <patternFill patternType="solid">
          <bgColor rgb="FF92D050"/>
        </patternFill>
      </fill>
    </dxf>
  </rfmt>
  <rfmt sheetId="1" sqref="G65" start="0" length="0">
    <dxf>
      <fill>
        <patternFill patternType="solid">
          <bgColor rgb="FF92D050"/>
        </patternFill>
      </fill>
    </dxf>
  </rfmt>
  <rfmt sheetId="1" sqref="H65" start="0" length="0">
    <dxf>
      <fill>
        <patternFill patternType="solid">
          <bgColor rgb="FF92D050"/>
        </patternFill>
      </fill>
    </dxf>
  </rfmt>
  <rfmt sheetId="1" sqref="I65" start="0" length="0">
    <dxf>
      <fill>
        <patternFill patternType="solid">
          <bgColor rgb="FF92D050"/>
        </patternFill>
      </fill>
    </dxf>
  </rfmt>
  <rcc rId="2019" sId="1" odxf="1" dxf="1">
    <nc r="J65" t="inlineStr">
      <is>
        <t>Rocha</t>
      </is>
    </nc>
    <ndxf>
      <fill>
        <patternFill patternType="solid">
          <bgColor rgb="FF92D050"/>
        </patternFill>
      </fill>
    </ndxf>
  </rcc>
  <rcc rId="2020" sId="1" odxf="1" dxf="1">
    <nc r="K65" t="inlineStr">
      <is>
        <t>Propio</t>
      </is>
    </nc>
    <ndxf>
      <fill>
        <patternFill patternType="solid">
          <bgColor rgb="FF92D050"/>
        </patternFill>
      </fill>
    </ndxf>
  </rcc>
  <rfmt sheetId="1" sqref="L65" start="0" length="0">
    <dxf>
      <fill>
        <patternFill patternType="solid">
          <bgColor rgb="FF92D050"/>
        </patternFill>
      </fill>
    </dxf>
  </rfmt>
  <rfmt sheetId="1" sqref="M65" start="0" length="0">
    <dxf>
      <fill>
        <patternFill patternType="solid">
          <bgColor rgb="FF92D050"/>
        </patternFill>
      </fill>
    </dxf>
  </rfmt>
  <rfmt sheetId="1" sqref="N65" start="0" length="0">
    <dxf>
      <fill>
        <patternFill patternType="solid">
          <bgColor rgb="FF92D050"/>
        </patternFill>
      </fill>
    </dxf>
  </rfmt>
  <rfmt sheetId="1" sqref="O65" start="0" length="0">
    <dxf>
      <fill>
        <patternFill patternType="solid">
          <bgColor rgb="FF92D050"/>
        </patternFill>
      </fill>
    </dxf>
  </rfmt>
  <rfmt sheetId="1" sqref="P65" start="0" length="0">
    <dxf>
      <fill>
        <patternFill patternType="solid">
          <bgColor rgb="FF92D050"/>
        </patternFill>
      </fill>
    </dxf>
  </rfmt>
  <rfmt sheetId="1" sqref="Q65" start="0" length="0">
    <dxf>
      <fill>
        <patternFill patternType="solid">
          <bgColor rgb="FF92D050"/>
        </patternFill>
      </fill>
    </dxf>
  </rfmt>
  <rfmt sheetId="1" sqref="R65" start="0" length="0">
    <dxf>
      <fill>
        <patternFill patternType="solid">
          <bgColor rgb="FF92D050"/>
        </patternFill>
      </fill>
    </dxf>
  </rfmt>
  <rfmt sheetId="1" sqref="S65" start="0" length="0">
    <dxf>
      <fill>
        <patternFill patternType="solid">
          <bgColor rgb="FF92D050"/>
        </patternFill>
      </fill>
    </dxf>
  </rfmt>
  <rfmt sheetId="1" sqref="T65" start="0" length="0">
    <dxf>
      <fill>
        <patternFill patternType="solid">
          <bgColor rgb="FF92D050"/>
        </patternFill>
      </fill>
    </dxf>
  </rfmt>
  <rfmt sheetId="1" sqref="U65" start="0" length="0">
    <dxf>
      <fill>
        <patternFill patternType="solid">
          <bgColor rgb="FF92D050"/>
        </patternFill>
      </fill>
    </dxf>
  </rfmt>
  <rfmt sheetId="1" sqref="V65" start="0" length="0">
    <dxf>
      <fill>
        <patternFill patternType="solid">
          <bgColor rgb="FF92D050"/>
        </patternFill>
      </fill>
    </dxf>
  </rfmt>
  <rfmt sheetId="1" sqref="W65" start="0" length="0">
    <dxf>
      <fill>
        <patternFill patternType="solid">
          <bgColor rgb="FF92D050"/>
        </patternFill>
      </fill>
    </dxf>
  </rfmt>
  <rfmt sheetId="1" sqref="X65" start="0" length="0">
    <dxf>
      <fill>
        <patternFill patternType="solid">
          <bgColor rgb="FF92D050"/>
        </patternFill>
      </fill>
    </dxf>
  </rfmt>
  <rfmt sheetId="1" sqref="Y65" start="0" length="0">
    <dxf>
      <fill>
        <patternFill patternType="solid">
          <bgColor rgb="FF92D050"/>
        </patternFill>
      </fill>
    </dxf>
  </rfmt>
  <rfmt sheetId="1" sqref="Z65" start="0" length="0">
    <dxf>
      <fill>
        <patternFill patternType="solid">
          <bgColor rgb="FF92D050"/>
        </patternFill>
      </fill>
    </dxf>
  </rfmt>
  <rfmt sheetId="1" sqref="AA65" start="0" length="0">
    <dxf>
      <fill>
        <patternFill patternType="solid">
          <bgColor rgb="FF92D050"/>
        </patternFill>
      </fill>
    </dxf>
  </rfmt>
  <rfmt sheetId="1" sqref="AB65" start="0" length="0">
    <dxf>
      <fill>
        <patternFill patternType="solid">
          <bgColor rgb="FF92D050"/>
        </patternFill>
      </fill>
    </dxf>
  </rfmt>
  <rfmt sheetId="1" sqref="AC65" start="0" length="0">
    <dxf>
      <fill>
        <patternFill patternType="solid">
          <bgColor rgb="FF92D050"/>
        </patternFill>
      </fill>
    </dxf>
  </rfmt>
  <rfmt sheetId="1" sqref="AD65" start="0" length="0">
    <dxf>
      <fill>
        <patternFill patternType="solid">
          <bgColor rgb="FF92D050"/>
        </patternFill>
      </fill>
    </dxf>
  </rfmt>
  <rfmt sheetId="1" sqref="AE65" start="0" length="0">
    <dxf>
      <fill>
        <patternFill patternType="solid">
          <bgColor rgb="FF92D050"/>
        </patternFill>
      </fill>
    </dxf>
  </rfmt>
  <rfmt sheetId="1" sqref="AF65" start="0" length="0">
    <dxf>
      <fill>
        <patternFill patternType="solid">
          <bgColor rgb="FF92D050"/>
        </patternFill>
      </fill>
    </dxf>
  </rfmt>
  <rfmt sheetId="1" sqref="AG65" start="0" length="0">
    <dxf>
      <fill>
        <patternFill patternType="solid">
          <bgColor rgb="FF92D050"/>
        </patternFill>
      </fill>
    </dxf>
  </rfmt>
  <rfmt sheetId="1" sqref="AH65" start="0" length="0">
    <dxf>
      <fill>
        <patternFill patternType="solid">
          <bgColor rgb="FF92D050"/>
        </patternFill>
      </fill>
    </dxf>
  </rfmt>
  <rfmt sheetId="1" sqref="AI65" start="0" length="0">
    <dxf>
      <fill>
        <patternFill patternType="solid">
          <bgColor rgb="FF92D050"/>
        </patternFill>
      </fill>
    </dxf>
  </rfmt>
  <rfmt sheetId="1" sqref="AJ65" start="0" length="0">
    <dxf>
      <fill>
        <patternFill patternType="solid">
          <bgColor rgb="FF92D050"/>
        </patternFill>
      </fill>
    </dxf>
  </rfmt>
  <rfmt sheetId="1" sqref="AK65" start="0" length="0">
    <dxf>
      <fill>
        <patternFill patternType="solid">
          <bgColor rgb="FF92D050"/>
        </patternFill>
      </fill>
    </dxf>
  </rfmt>
  <rcc rId="2021" sId="1">
    <nc r="D65">
      <v>10</v>
    </nc>
  </rcc>
  <rcc rId="2022" sId="1">
    <nc r="E65" t="inlineStr">
      <is>
        <t>12/02 al 28/02/2026</t>
      </is>
    </nc>
  </rcc>
  <rcc rId="2023" sId="1" numFmtId="19">
    <nc r="F65">
      <v>46065</v>
    </nc>
  </rcc>
  <rcc rId="2024" sId="1" numFmtId="19">
    <nc r="G65">
      <v>46081</v>
    </nc>
  </rcc>
  <rcc rId="2025" sId="1">
    <nc r="M65">
      <f>+N65-H65</f>
    </nc>
  </rcc>
  <rcc rId="2026" sId="1">
    <nc r="N65">
      <f>1900+1850</f>
    </nc>
  </rcc>
  <rcc rId="2027" sId="1" numFmtId="34">
    <nc r="O65">
      <v>4</v>
    </nc>
  </rcc>
  <rcc rId="2028" sId="1" numFmtId="34">
    <nc r="P65">
      <v>7</v>
    </nc>
  </rcc>
  <rcc rId="2029" sId="1">
    <nc r="Q65">
      <f>+P65+O65</f>
    </nc>
  </rcc>
  <rcc rId="2030" sId="1">
    <nc r="R65">
      <f>(N65/Q65)</f>
    </nc>
  </rcc>
  <rcc rId="2031" sId="1">
    <nc r="S65">
      <f>(('Costo por negocio'!$B$2-DATA!R65)*DATA!O65)+('Costo por negocio'!$C$2-DATA!R65)*DATA!P65</f>
    </nc>
  </rcc>
  <rcc rId="2032" sId="1" numFmtId="19">
    <nc r="T65">
      <v>46083</v>
    </nc>
  </rcc>
  <rcc rId="2033" sId="1">
    <nc r="U65" t="inlineStr">
      <is>
        <t>SI</t>
      </is>
    </nc>
  </rcc>
  <rcc rId="2034" sId="1">
    <nc r="V65" t="inlineStr">
      <is>
        <t>SI</t>
      </is>
    </nc>
  </rcc>
  <rcc rId="2035" sId="1">
    <nc r="W65" t="inlineStr">
      <is>
        <t>SI</t>
      </is>
    </nc>
  </rcc>
  <rcc rId="2036" sId="1">
    <nc r="Y65" t="inlineStr">
      <is>
        <t>CBD 1303</t>
      </is>
    </nc>
  </rcc>
  <rcv guid="{D015136D-255F-4042-9389-EB535F138010}" action="delete"/>
  <rdn rId="0" localSheetId="1" customView="1" name="Z_D015136D_255F_4042_9389_EB535F138010_.wvu.FilterData" hidden="1" oldHidden="1">
    <formula>DATA!$A$1:$AK$64</formula>
    <oldFormula>DATA!$A$1:$AK$61</oldFormula>
  </rdn>
  <rcv guid="{D015136D-255F-4042-9389-EB535F138010}" action="add"/>
</revisions>
</file>

<file path=xl/revisions/revisionLog1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38" sId="3">
    <oc r="B5">
      <v>78.02</v>
    </oc>
    <nc r="B5">
      <v>77.790000000000006</v>
    </nc>
  </rcc>
  <rcc rId="2039" sId="3" numFmtId="4">
    <oc r="B6">
      <v>263.6092414529914</v>
    </oc>
    <nc r="B6">
      <v>262.83213141025641</v>
    </nc>
  </rcc>
  <rcc rId="2040" sId="3" numFmtId="4">
    <oc r="B7">
      <v>392.80902777777771</v>
    </oc>
    <nc r="B7">
      <v>391.65104166666669</v>
    </nc>
  </rcc>
  <rcc rId="2041" sId="3" numFmtId="22">
    <oc r="B3">
      <v>45962</v>
    </oc>
    <nc r="B3">
      <v>46023</v>
    </nc>
  </rcc>
  <rcc rId="2042" sId="3">
    <oc r="A1" t="inlineStr">
      <is>
        <t>AJUSTES DE PRECIOS DE COMBUSTIBLES DESDE 01/01/2026</t>
      </is>
    </oc>
    <nc r="A1" t="inlineStr">
      <is>
        <t>AJUSTES DE PRECIOS DE COMBUSTIBLES DESDE 01/03/2026</t>
      </is>
    </nc>
  </rcc>
  <rcc rId="2043" sId="3">
    <oc r="D4" t="inlineStr">
      <is>
        <t>Noviembre 2025 a Enero 2026</t>
      </is>
    </oc>
    <nc r="D4" t="inlineStr">
      <is>
        <t>Enero 2026 a Marzo 2026</t>
      </is>
    </nc>
  </rcc>
  <rcc rId="2044" sId="3" odxf="1" dxf="1">
    <oc r="E4" t="inlineStr">
      <is>
        <t>Noviembre 2025 a Enero 2026</t>
      </is>
    </oc>
    <nc r="E4" t="inlineStr">
      <is>
        <t>Enero 2026 a Marzo 2026</t>
      </is>
    </nc>
    <odxf/>
    <ndxf/>
  </rcc>
  <rcc rId="2045" sId="3">
    <oc r="C5">
      <v>77.790000000000006</v>
    </oc>
    <nc r="C5">
      <v>76.88</v>
    </nc>
  </rcc>
</revisions>
</file>

<file path=xl/revisions/revisionLog1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46" sId="3" numFmtId="22">
    <oc r="C3">
      <v>46023</v>
    </oc>
    <nc r="C3">
      <v>46082</v>
    </nc>
  </rcc>
</revisions>
</file>

<file path=xl/revisions/revisionLog1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55:AK55">
    <dxf>
      <fill>
        <patternFill>
          <bgColor rgb="FF00B050"/>
        </patternFill>
      </fill>
    </dxf>
  </rfmt>
  <rfmt sheetId="1" sqref="A47:AK47">
    <dxf>
      <fill>
        <patternFill>
          <bgColor rgb="FF00B050"/>
        </patternFill>
      </fill>
    </dxf>
  </rfmt>
  <rcc rId="2047" sId="1" odxf="1" dxf="1" numFmtId="19">
    <nc r="Z47">
      <v>46084</v>
    </nc>
    <odxf>
      <numFmt numFmtId="0" formatCode="General"/>
    </odxf>
    <ndxf>
      <numFmt numFmtId="19" formatCode="d/m/yyyy"/>
    </ndxf>
  </rcc>
  <rcc rId="2048" sId="1" odxf="1" dxf="1" numFmtId="19">
    <nc r="Z55">
      <v>46084</v>
    </nc>
    <odxf>
      <numFmt numFmtId="0" formatCode="General"/>
    </odxf>
    <ndxf>
      <numFmt numFmtId="19" formatCode="d/m/yyyy"/>
    </ndxf>
  </rcc>
  <rfmt sheetId="1" sqref="A62:AK65">
    <dxf>
      <fill>
        <patternFill>
          <bgColor rgb="FF00B050"/>
        </patternFill>
      </fill>
    </dxf>
  </rfmt>
  <rcc rId="2049" sId="1" odxf="1" dxf="1" numFmtId="19">
    <nc r="Z62">
      <v>46084</v>
    </nc>
    <odxf>
      <numFmt numFmtId="0" formatCode="General"/>
    </odxf>
    <ndxf>
      <numFmt numFmtId="19" formatCode="d/m/yyyy"/>
    </ndxf>
  </rcc>
  <rcc rId="2050" sId="1" odxf="1" dxf="1" numFmtId="19">
    <nc r="Z63">
      <v>46084</v>
    </nc>
    <odxf>
      <numFmt numFmtId="0" formatCode="General"/>
    </odxf>
    <ndxf>
      <numFmt numFmtId="19" formatCode="d/m/yyyy"/>
    </ndxf>
  </rcc>
  <rcc rId="2051" sId="1" odxf="1" dxf="1" numFmtId="19">
    <nc r="Z64">
      <v>46084</v>
    </nc>
    <odxf>
      <numFmt numFmtId="0" formatCode="General"/>
    </odxf>
    <ndxf>
      <numFmt numFmtId="19" formatCode="d/m/yyyy"/>
    </ndxf>
  </rcc>
  <rcc rId="2052" sId="1" odxf="1" dxf="1" numFmtId="19">
    <nc r="Z65">
      <v>46084</v>
    </nc>
    <odxf>
      <numFmt numFmtId="0" formatCode="General"/>
    </odxf>
    <ndxf>
      <numFmt numFmtId="19" formatCode="d/m/yyyy"/>
    </ndxf>
  </rcc>
  <rdn rId="0" localSheetId="1" customView="1" name="Z_D41D3FB0_5142_496B_B92F_3F303994F17B_.wvu.FilterData" hidden="1" oldHidden="1">
    <formula>DATA!$A$1:$AK$64</formula>
  </rdn>
  <rcv guid="{D41D3FB0-5142-496B-B92F-3F303994F17B}" action="add"/>
</revisions>
</file>

<file path=xl/revisions/revisionLog1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54" sId="1">
    <nc r="B66" t="inlineStr">
      <is>
        <t>Claudia Parrilla</t>
      </is>
    </nc>
  </rcc>
  <rcc rId="2055" sId="1">
    <nc r="C66">
      <v>2005</v>
    </nc>
  </rcc>
  <rcc rId="2056" sId="1">
    <nc r="D66">
      <v>3</v>
    </nc>
  </rcc>
  <rcc rId="2057" sId="1">
    <nc r="E66" t="inlineStr">
      <is>
        <t>03/03 al 05/03/2026</t>
      </is>
    </nc>
  </rcc>
  <rcc rId="2058" sId="1" numFmtId="19">
    <nc r="F66">
      <v>46084</v>
    </nc>
  </rcc>
  <rcc rId="2059" sId="1" numFmtId="19">
    <nc r="G66">
      <v>46086</v>
    </nc>
  </rcc>
  <rcc rId="2060" sId="1">
    <nc r="I66">
      <v>15</v>
    </nc>
  </rcc>
  <rcc rId="2061" sId="1">
    <nc r="J66" t="inlineStr">
      <is>
        <t>Montevideo</t>
      </is>
    </nc>
  </rcc>
  <rcc rId="2062" sId="1">
    <nc r="K66" t="inlineStr">
      <is>
        <t>Alquiler</t>
      </is>
    </nc>
  </rcc>
  <rcc rId="2063" sId="1">
    <nc r="H66">
      <f>20*263</f>
    </nc>
  </rcc>
  <rfmt sheetId="2" sqref="A3" start="0" length="0">
    <dxf>
      <numFmt numFmtId="22" formatCode="mmm\-yy"/>
    </dxf>
  </rfmt>
  <rcc rId="2064" sId="2" numFmtId="22">
    <nc r="A3">
      <v>46082</v>
    </nc>
  </rcc>
  <rcc rId="2065" sId="2">
    <nc r="B3">
      <v>260</v>
    </nc>
  </rcc>
  <rcc rId="2066" sId="2">
    <nc r="C3">
      <v>387</v>
    </nc>
  </rcc>
  <rcc rId="2067" sId="2">
    <oc r="B12">
      <f>B2</f>
    </oc>
    <nc r="B12">
      <f>B3</f>
    </nc>
  </rcc>
  <rcc rId="2068" sId="2">
    <oc r="C12">
      <f>C2</f>
    </oc>
    <nc r="C12">
      <f>C3</f>
    </nc>
  </rcc>
  <rcv guid="{D015136D-255F-4042-9389-EB535F138010}" action="delete"/>
  <rdn rId="0" localSheetId="1" customView="1" name="Z_D015136D_255F_4042_9389_EB535F138010_.wvu.FilterData" hidden="1" oldHidden="1">
    <formula>DATA!$A$1:$AK$64</formula>
    <oldFormula>DATA!$A$1:$AK$64</oldFormula>
  </rdn>
  <rcv guid="{D015136D-255F-4042-9389-EB535F138010}" action="add"/>
</revisions>
</file>

<file path=xl/revisions/revisionLog1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66">
    <dxf>
      <fill>
        <patternFill patternType="solid">
          <bgColor rgb="FFFFFF00"/>
        </patternFill>
      </fill>
    </dxf>
  </rfmt>
</revisions>
</file>

<file path=xl/revisions/revisionLog1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70" sId="1">
    <oc r="E66" t="inlineStr">
      <is>
        <t>03/03 al 05/03/2026</t>
      </is>
    </oc>
    <nc r="E66" t="inlineStr">
      <is>
        <t>10/03 al 12/03/2026</t>
      </is>
    </nc>
  </rcc>
  <rcc rId="2071" sId="1" numFmtId="19">
    <oc r="F66">
      <v>46084</v>
    </oc>
    <nc r="F66">
      <v>46091</v>
    </nc>
  </rcc>
  <rcc rId="2072" sId="1" numFmtId="19">
    <oc r="G66">
      <v>46086</v>
    </oc>
    <nc r="G66">
      <v>46093</v>
    </nc>
  </rcc>
  <rcc rId="2073" sId="1">
    <oc r="H66">
      <f>20*263</f>
    </oc>
    <nc r="H66">
      <f>20*260</f>
    </nc>
  </rcc>
</revisions>
</file>

<file path=xl/revisions/revisionLog1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67" start="0" length="0">
    <dxf>
      <fill>
        <patternFill patternType="solid">
          <bgColor rgb="FFFFFF00"/>
        </patternFill>
      </fill>
    </dxf>
  </rfmt>
  <rcc rId="2074" sId="1">
    <nc r="B67" t="inlineStr">
      <is>
        <t>Ricardo Cardona</t>
      </is>
    </nc>
  </rcc>
  <rcc rId="2075" sId="1">
    <nc r="C67">
      <v>1512</v>
    </nc>
  </rcc>
  <rcc rId="2076" sId="1">
    <nc r="I67">
      <v>15</v>
    </nc>
  </rcc>
  <rcc rId="2077" sId="1">
    <nc r="K67" t="inlineStr">
      <is>
        <t>Alquiler</t>
      </is>
    </nc>
  </rcc>
  <rcc rId="2078" sId="1">
    <nc r="D67">
      <v>3</v>
    </nc>
  </rcc>
  <rcc rId="2079" sId="1">
    <nc r="E67" t="inlineStr">
      <is>
        <t>10/03 al 12/03/2026</t>
      </is>
    </nc>
  </rcc>
  <rcc rId="2080" sId="1" numFmtId="19">
    <nc r="F67">
      <v>46091</v>
    </nc>
  </rcc>
  <rcc rId="2081" sId="1" numFmtId="19">
    <nc r="G67">
      <v>46093</v>
    </nc>
  </rcc>
  <rcc rId="2082" sId="1">
    <nc r="J67" t="inlineStr">
      <is>
        <t>Montevideo, Flores</t>
      </is>
    </nc>
  </rcc>
  <rcc rId="2083" sId="1" numFmtId="34">
    <nc r="H67">
      <v>4500</v>
    </nc>
  </rcc>
  <rcv guid="{D015136D-255F-4042-9389-EB535F138010}" action="delete"/>
  <rdn rId="0" localSheetId="1" customView="1" name="Z_D015136D_255F_4042_9389_EB535F138010_.wvu.FilterData" hidden="1" oldHidden="1">
    <formula>DATA!$A$1:$AK$66</formula>
    <oldFormula>DATA!$A$1:$AK$64</oldFormula>
  </rdn>
  <rcv guid="{D015136D-255F-4042-9389-EB535F138010}" action="add"/>
</revisions>
</file>

<file path=xl/revisions/revisionLog1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68" start="0" length="0">
    <dxf>
      <fill>
        <patternFill patternType="solid">
          <bgColor rgb="FFFFFF00"/>
        </patternFill>
      </fill>
    </dxf>
  </rfmt>
  <rcc rId="2085" sId="1">
    <nc r="B68" t="inlineStr">
      <is>
        <t>Natalia Greco</t>
      </is>
    </nc>
  </rcc>
  <rcc rId="2086" sId="1">
    <nc r="C68">
      <v>3164</v>
    </nc>
  </rcc>
  <rcc rId="2087" sId="1">
    <nc r="I68">
      <v>15</v>
    </nc>
  </rcc>
  <rcc rId="2088" sId="1">
    <nc r="K68" t="inlineStr">
      <is>
        <t>Alquiler</t>
      </is>
    </nc>
  </rcc>
  <rcc rId="2089" sId="1">
    <nc r="D68">
      <v>3</v>
    </nc>
  </rcc>
  <rcc rId="2090" sId="1">
    <nc r="E68" t="inlineStr">
      <is>
        <t>10/03 al 12/03/2026</t>
      </is>
    </nc>
  </rcc>
  <rcc rId="2091" sId="1" numFmtId="19">
    <nc r="F68">
      <v>46091</v>
    </nc>
  </rcc>
  <rcc rId="2092" sId="1" numFmtId="19">
    <nc r="G68">
      <v>46093</v>
    </nc>
  </rcc>
  <rcc rId="2093" sId="1" numFmtId="34">
    <nc r="H68">
      <v>5000</v>
    </nc>
  </rcc>
  <rcc rId="2094" sId="1">
    <nc r="J68" t="inlineStr">
      <is>
        <t>Montevideo</t>
      </is>
    </nc>
  </rcc>
  <rcv guid="{D015136D-255F-4042-9389-EB535F138010}" action="delete"/>
  <rdn rId="0" localSheetId="1" customView="1" name="Z_D015136D_255F_4042_9389_EB535F138010_.wvu.FilterData" hidden="1" oldHidden="1">
    <formula>DATA!$A$1:$AK$66</formula>
    <oldFormula>DATA!$A$1:$AK$66</oldFormula>
  </rdn>
  <rcv guid="{D015136D-255F-4042-9389-EB535F138010}" action="add"/>
</revisions>
</file>

<file path=xl/revisions/revisionLog1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69" start="0" length="0">
    <dxf>
      <fill>
        <patternFill patternType="solid">
          <bgColor rgb="FFFFFF00"/>
        </patternFill>
      </fill>
    </dxf>
  </rfmt>
  <rcc rId="2096" sId="1">
    <nc r="B69" t="inlineStr">
      <is>
        <t>Luis Amicone</t>
      </is>
    </nc>
  </rcc>
  <rcc rId="2097" sId="1">
    <nc r="C69">
      <v>3075</v>
    </nc>
  </rcc>
  <rcc rId="2098" sId="1" numFmtId="34">
    <nc r="H69">
      <v>8000</v>
    </nc>
  </rcc>
  <rcc rId="2099" sId="1">
    <nc r="I69">
      <v>15</v>
    </nc>
  </rcc>
  <rcc rId="2100" sId="1">
    <nc r="K69" t="inlineStr">
      <is>
        <t>Alquiler</t>
      </is>
    </nc>
  </rcc>
  <rcc rId="2101" sId="1">
    <nc r="D69">
      <v>3</v>
    </nc>
  </rcc>
  <rcc rId="2102" sId="1">
    <nc r="E69" t="inlineStr">
      <is>
        <t>10/03 al 12/03/2026</t>
      </is>
    </nc>
  </rcc>
  <rcc rId="2103" sId="1" numFmtId="19">
    <nc r="F69">
      <v>46091</v>
    </nc>
  </rcc>
  <rcc rId="2104" sId="1" numFmtId="19">
    <nc r="G69">
      <v>46093</v>
    </nc>
  </rcc>
  <rcc rId="2105" sId="1">
    <nc r="J69" t="inlineStr">
      <is>
        <t>Montevideo, Soriano</t>
      </is>
    </nc>
  </rcc>
  <rfmt sheetId="1" sqref="A70" start="0" length="0">
    <dxf>
      <fill>
        <patternFill patternType="solid">
          <bgColor rgb="FFFFFF00"/>
        </patternFill>
      </fill>
    </dxf>
  </rfmt>
  <rcc rId="2106" sId="1">
    <nc r="B70" t="inlineStr">
      <is>
        <t>Lorena Cabrera</t>
      </is>
    </nc>
  </rcc>
  <rcc rId="2107" sId="1">
    <nc r="C70">
      <v>1618</v>
    </nc>
  </rcc>
  <rcc rId="2108" sId="1">
    <nc r="D70">
      <v>3</v>
    </nc>
  </rcc>
  <rcc rId="2109" sId="1">
    <nc r="E70" t="inlineStr">
      <is>
        <t>10/03 al 12/03/2026</t>
      </is>
    </nc>
  </rcc>
  <rcc rId="2110" sId="1" numFmtId="19">
    <nc r="F70">
      <v>46091</v>
    </nc>
  </rcc>
  <rcc rId="2111" sId="1" numFmtId="19">
    <nc r="G70">
      <v>46093</v>
    </nc>
  </rcc>
  <rcc rId="2112" sId="1" numFmtId="34">
    <nc r="H70">
      <v>4500</v>
    </nc>
  </rcc>
  <rcc rId="2113" sId="1">
    <nc r="I70">
      <v>15</v>
    </nc>
  </rcc>
  <rcc rId="2114" sId="1">
    <nc r="J70" t="inlineStr">
      <is>
        <t>Canelones, Lavalleja</t>
      </is>
    </nc>
  </rcc>
  <rcc rId="2115" sId="1">
    <nc r="K70" t="inlineStr">
      <is>
        <t>Alquiler</t>
      </is>
    </nc>
  </rcc>
  <rfmt sheetId="1" sqref="A71" start="0" length="0">
    <dxf>
      <fill>
        <patternFill patternType="solid">
          <bgColor rgb="FFFFFF00"/>
        </patternFill>
      </fill>
    </dxf>
  </rfmt>
  <rcc rId="2116" sId="1">
    <nc r="B71" t="inlineStr">
      <is>
        <t>Ignacio Ceroni</t>
      </is>
    </nc>
  </rcc>
  <rcc rId="2117" sId="1">
    <nc r="C71">
      <v>3007</v>
    </nc>
  </rcc>
  <rcc rId="2118" sId="1">
    <nc r="D71">
      <v>4</v>
    </nc>
  </rcc>
  <rcc rId="2119" sId="1">
    <nc r="I71">
      <v>20</v>
    </nc>
  </rcc>
  <rcc rId="2120" sId="1">
    <nc r="K71" t="inlineStr">
      <is>
        <t>Alquiler</t>
      </is>
    </nc>
  </rcc>
  <rcc rId="2121" sId="1" numFmtId="19">
    <nc r="G71">
      <v>46093</v>
    </nc>
  </rcc>
  <rcc rId="2122" sId="1">
    <nc r="E71" t="inlineStr">
      <is>
        <t>09/03 al 12/03/2026</t>
      </is>
    </nc>
  </rcc>
  <rcc rId="2123" sId="1" numFmtId="19">
    <nc r="F71">
      <v>46090</v>
    </nc>
  </rcc>
  <rcc rId="2124" sId="1">
    <nc r="J71" t="inlineStr">
      <is>
        <t>Montevideo</t>
      </is>
    </nc>
  </rcc>
  <rcc rId="2125" sId="1" numFmtId="34">
    <nc r="H71">
      <v>3000</v>
    </nc>
  </rcc>
  <rcc rId="2126" sId="1">
    <nc r="A66">
      <v>65</v>
    </nc>
  </rcc>
  <rcc rId="2127" sId="1">
    <nc r="A67">
      <v>66</v>
    </nc>
  </rcc>
  <rcc rId="2128" sId="1">
    <nc r="A68">
      <v>67</v>
    </nc>
  </rcc>
  <rcc rId="2129" sId="1">
    <nc r="A69">
      <v>68</v>
    </nc>
  </rcc>
  <rcc rId="2130" sId="1">
    <nc r="A70">
      <v>69</v>
    </nc>
  </rcc>
  <rcc rId="2131" sId="1">
    <nc r="A71">
      <v>70</v>
    </nc>
  </rcc>
  <rcv guid="{D015136D-255F-4042-9389-EB535F138010}" action="delete"/>
  <rdn rId="0" localSheetId="1" customView="1" name="Z_D015136D_255F_4042_9389_EB535F138010_.wvu.FilterData" hidden="1" oldHidden="1">
    <formula>DATA!$A$1:$AK$66</formula>
    <oldFormula>DATA!$A$1:$AK$66</oldFormula>
  </rdn>
  <rcv guid="{D015136D-255F-4042-9389-EB535F138010}" action="add"/>
</revisions>
</file>

<file path=xl/revisions/revisionLog1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66:A71">
    <dxf>
      <fill>
        <patternFill patternType="none">
          <bgColor auto="1"/>
        </patternFill>
      </fill>
    </dxf>
  </rfmt>
  <rcv guid="{D015136D-255F-4042-9389-EB535F138010}" action="delete"/>
  <rdn rId="0" localSheetId="1" customView="1" name="Z_D015136D_255F_4042_9389_EB535F138010_.wvu.FilterData" hidden="1" oldHidden="1">
    <formula>DATA!$A$1:$AK$66</formula>
    <oldFormula>DATA!$A$1:$AK$66</oldFormula>
  </rdn>
  <rcv guid="{D015136D-255F-4042-9389-EB535F138010}" action="add"/>
</revisions>
</file>

<file path=xl/revisions/revisionLog1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DATA!$A$1:$AK$66</formula>
    <oldFormula>DATA!$A$1:$AK$66</oldFormula>
  </rdn>
  <rcv guid="{D015136D-255F-4042-9389-EB535F138010}" action="add"/>
</revisions>
</file>

<file path=xl/revisions/revisionLog1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35" sId="1" numFmtId="34">
    <nc r="Q56">
      <v>7</v>
    </nc>
  </rcc>
  <rcc rId="2136" sId="1">
    <nc r="R56">
      <f>+Q56+P56</f>
    </nc>
  </rcc>
  <rcc rId="2137" sId="1">
    <nc r="S56">
      <f>(O56/R56)</f>
    </nc>
  </rcc>
  <rcc rId="2138" sId="1">
    <nc r="T56">
      <f>(('Costo por negocio'!$B$2-DATA!S56)*DATA!P56)+('Costo por negocio'!$C$2-DATA!S56)*DATA!Q56</f>
    </nc>
  </rcc>
  <rcc rId="2139" sId="1">
    <nc r="U56">
      <v>46083</v>
    </nc>
  </rcc>
  <rcc rId="2140" sId="1">
    <nc r="V56" t="inlineStr">
      <is>
        <t>SI</t>
      </is>
    </nc>
  </rcc>
  <rcc rId="2141" sId="1">
    <nc r="W56" t="inlineStr">
      <is>
        <t>SI</t>
      </is>
    </nc>
  </rcc>
  <rcc rId="2142" sId="1">
    <nc r="X56" t="inlineStr">
      <is>
        <t>SI</t>
      </is>
    </nc>
  </rcc>
  <rcc rId="2143" sId="1">
    <nc r="Q56">
      <f>+P56+O56</f>
    </nc>
  </rcc>
  <rcc rId="2144" sId="1">
    <nc r="R56">
      <f>(N56/Q56)</f>
    </nc>
  </rcc>
  <rcc rId="2145" sId="1">
    <nc r="U56" t="inlineStr">
      <is>
        <t>SI</t>
      </is>
    </nc>
  </rcc>
  <rcc rId="2146" sId="1">
    <nc r="V56" t="inlineStr">
      <is>
        <t>SI</t>
      </is>
    </nc>
  </rcc>
  <rcc rId="2147" sId="1">
    <nc r="W56" t="inlineStr">
      <is>
        <t>SI</t>
      </is>
    </nc>
  </rcc>
  <rcc rId="2148" sId="1" numFmtId="19">
    <nc r="T56">
      <v>46087</v>
    </nc>
  </rcc>
  <rcc rId="2149" sId="1">
    <nc r="S56">
      <f>(('Costo por negocio'!$B$3-DATA!R56)*DATA!O56)+('Costo por negocio'!$C$3-DATA!R56)*DATA!P56</f>
    </nc>
  </rcc>
  <rcv guid="{D015136D-255F-4042-9389-EB535F138010}" action="delete"/>
  <rdn rId="0" localSheetId="1" customView="1" name="Z_D015136D_255F_4042_9389_EB535F138010_.wvu.FilterData" hidden="1" oldHidden="1">
    <formula>DATA!$A$1:$AK$66</formula>
    <oldFormula>DATA!$A$1:$AK$66</oldFormula>
  </rdn>
  <rcv guid="{D015136D-255F-4042-9389-EB535F138010}" action="add"/>
</revisions>
</file>

<file path=xl/revisions/revisionLog1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51" sId="1">
    <nc r="Y56" t="inlineStr">
      <is>
        <t>BEC 5947</t>
      </is>
    </nc>
  </rcc>
  <rcc rId="2152" sId="1" numFmtId="34">
    <nc r="AD56">
      <v>74661</v>
    </nc>
  </rcc>
  <rcc rId="2153" sId="1" numFmtId="27">
    <nc r="AE56">
      <v>46084.388888888891</v>
    </nc>
  </rcc>
  <rcc rId="2154" sId="1" numFmtId="34">
    <nc r="AF56">
      <v>75074</v>
    </nc>
  </rcc>
  <rcc rId="2155" sId="1">
    <nc r="AH56">
      <f>+AF56-AD56</f>
    </nc>
  </rcc>
  <rcc rId="2156" sId="1" numFmtId="27">
    <nc r="AG56">
      <v>46087.395833333336</v>
    </nc>
  </rcc>
  <rcc rId="2157" sId="1">
    <nc r="AI56">
      <v>3</v>
    </nc>
  </rcc>
  <rcc rId="2158" sId="1">
    <nc r="AJ56">
      <f>+AI56*5</f>
    </nc>
  </rcc>
  <rcc rId="2159" sId="1">
    <nc r="AK56">
      <f>+Q56-AJ56</f>
    </nc>
  </rcc>
  <rcc rId="2160" sId="1">
    <nc r="AM56">
      <f>+AH56/Q56</f>
    </nc>
  </rcc>
  <rcc rId="2161" sId="1">
    <nc r="AN56">
      <f>+Q56/AI56</f>
    </nc>
  </rcc>
  <rcc rId="2162" sId="1">
    <nc r="AQ56">
      <f>+N56/78.54</f>
    </nc>
  </rcc>
  <rcc rId="2163" sId="1">
    <nc r="AR56">
      <f>+AH56/11</f>
    </nc>
  </rcc>
  <rcc rId="2164" sId="1">
    <nc r="AS56">
      <f>+AR56-AQ56</f>
    </nc>
  </rcc>
  <rcc rId="2165" sId="1">
    <nc r="AT56">
      <f>+AH56/AQ56</f>
    </nc>
  </rcc>
  <rcv guid="{D015136D-255F-4042-9389-EB535F138010}" action="delete"/>
  <rdn rId="0" localSheetId="1" customView="1" name="Z_D015136D_255F_4042_9389_EB535F138010_.wvu.FilterData" hidden="1" oldHidden="1">
    <formula>DATA!$A$1:$AK$66</formula>
    <oldFormula>DATA!$A$1:$AK$66</oldFormula>
  </rdn>
  <rcv guid="{D015136D-255F-4042-9389-EB535F138010}" action="add"/>
</revisions>
</file>

<file path=xl/revisions/revisionLog1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56:AK56">
    <dxf>
      <fill>
        <patternFill patternType="solid">
          <bgColor rgb="FF92D050"/>
        </patternFill>
      </fill>
    </dxf>
  </rfmt>
</revisions>
</file>

<file path=xl/revisions/revisionLog1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67" sId="1">
    <nc r="M59">
      <f>+N59-H59</f>
    </nc>
  </rcc>
  <rcc rId="2168" sId="1">
    <nc r="N59">
      <f>2400+2029.8</f>
    </nc>
  </rcc>
  <rcc rId="2169" sId="1" numFmtId="34">
    <nc r="P59">
      <v>20</v>
    </nc>
  </rcc>
  <rcc rId="2170" sId="1">
    <nc r="Q59">
      <f>+P59+O59</f>
    </nc>
  </rcc>
  <rcc rId="2171" sId="1">
    <nc r="R59">
      <f>(N59/Q59)</f>
    </nc>
  </rcc>
  <rcc rId="2172" sId="1">
    <nc r="S59">
      <f>(('Costo por negocio'!$B$3-DATA!R59)*DATA!O59)+('Costo por negocio'!$C$3-DATA!R59)*DATA!P59</f>
    </nc>
  </rcc>
  <rcc rId="2173" sId="1" numFmtId="19">
    <nc r="T59">
      <v>46087</v>
    </nc>
  </rcc>
  <rcc rId="2174" sId="1">
    <nc r="U59" t="inlineStr">
      <is>
        <t>SI</t>
      </is>
    </nc>
  </rcc>
  <rcc rId="2175" sId="1">
    <nc r="V59" t="inlineStr">
      <is>
        <t>SI</t>
      </is>
    </nc>
  </rcc>
  <rcc rId="2176" sId="1">
    <nc r="W59" t="inlineStr">
      <is>
        <t>SI</t>
      </is>
    </nc>
  </rcc>
  <rcc rId="2177" sId="1">
    <nc r="Y59" t="inlineStr">
      <is>
        <t>LAL 7289</t>
      </is>
    </nc>
  </rcc>
  <rcc rId="2178" sId="1" numFmtId="34">
    <nc r="AD59">
      <v>122452</v>
    </nc>
  </rcc>
  <rcc rId="2179" sId="1" numFmtId="27">
    <nc r="AE59">
      <v>46083.708333333336</v>
    </nc>
  </rcc>
  <rcc rId="2180" sId="1" numFmtId="34">
    <nc r="AF59">
      <v>123186</v>
    </nc>
  </rcc>
  <rcc rId="2181" sId="1" numFmtId="27">
    <nc r="AG59">
      <v>46086.385416666664</v>
    </nc>
  </rcc>
  <rcc rId="2182" sId="1">
    <nc r="AH59">
      <f>+AF59-AD59</f>
    </nc>
  </rcc>
  <rcc rId="2183" sId="1">
    <nc r="AI59">
      <v>3</v>
    </nc>
  </rcc>
  <rcc rId="2184" sId="1">
    <nc r="AJ59">
      <f>+AI59*5</f>
    </nc>
  </rcc>
  <rcc rId="2185" sId="1">
    <nc r="AK59">
      <f>+Q59-AJ59</f>
    </nc>
  </rcc>
  <rcc rId="2186" sId="1">
    <nc r="AM59">
      <f>+AH59/Q59</f>
    </nc>
  </rcc>
  <rcc rId="2187" sId="1">
    <nc r="AN59">
      <f>+Q59/AI59</f>
    </nc>
  </rcc>
  <rcc rId="2188" sId="1">
    <nc r="AQ59">
      <f>+N59/78.54</f>
    </nc>
  </rcc>
  <rcc rId="2189" sId="1">
    <nc r="AR59">
      <f>+AH59/11</f>
    </nc>
  </rcc>
  <rcc rId="2190" sId="1">
    <nc r="AS59">
      <f>+AR59-AQ59</f>
    </nc>
  </rcc>
  <rcc rId="2191" sId="1">
    <nc r="AT59">
      <f>+AH59/AQ59</f>
    </nc>
  </rcc>
  <rcv guid="{D015136D-255F-4042-9389-EB535F138010}" action="delete"/>
  <rdn rId="0" localSheetId="1" customView="1" name="Z_D015136D_255F_4042_9389_EB535F138010_.wvu.FilterData" hidden="1" oldHidden="1">
    <formula>DATA!$A$1:$AK$66</formula>
    <oldFormula>DATA!$A$1:$AK$66</oldFormula>
  </rdn>
  <rcv guid="{D015136D-255F-4042-9389-EB535F138010}" action="add"/>
</revisions>
</file>

<file path=xl/revisions/revisionLog1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59:AK59">
    <dxf>
      <fill>
        <patternFill patternType="solid">
          <bgColor rgb="FF92D050"/>
        </patternFill>
      </fill>
    </dxf>
  </rfmt>
</revisions>
</file>

<file path=xl/revisions/revisionLog1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93" sId="1">
    <nc r="M58">
      <f>+N58-H58</f>
    </nc>
  </rcc>
  <rcc rId="2194" sId="1">
    <nc r="N58">
      <f>2530+2839.3</f>
    </nc>
  </rcc>
  <rcc rId="2195" sId="1" numFmtId="34">
    <nc r="P58">
      <v>14</v>
    </nc>
  </rcc>
  <rcc rId="2196" sId="1" numFmtId="34">
    <nc r="O58">
      <f>6+11</f>
    </nc>
  </rcc>
  <rcc rId="2197" sId="1">
    <nc r="Q58">
      <f>+P58+O58</f>
    </nc>
  </rcc>
  <rcc rId="2198" sId="1">
    <nc r="R58">
      <f>(N58/Q58)</f>
    </nc>
  </rcc>
  <rcc rId="2199" sId="1">
    <nc r="S58">
      <f>(('Costo por negocio'!$B$3-DATA!R58)*DATA!O58)+('Costo por negocio'!$C$3-DATA!R58)*DATA!P58</f>
    </nc>
  </rcc>
  <rcc rId="2200" sId="1" numFmtId="19">
    <nc r="T58">
      <v>46087</v>
    </nc>
  </rcc>
  <rcc rId="2201" sId="1">
    <nc r="U58" t="inlineStr">
      <is>
        <t>SI</t>
      </is>
    </nc>
  </rcc>
  <rcc rId="2202" sId="1">
    <nc r="V58" t="inlineStr">
      <is>
        <t>SI</t>
      </is>
    </nc>
  </rcc>
  <rcc rId="2203" sId="1">
    <nc r="W58" t="inlineStr">
      <is>
        <t>SI</t>
      </is>
    </nc>
  </rcc>
  <rcc rId="2204" sId="1">
    <nc r="Y58" t="inlineStr">
      <is>
        <t>BEE 1555</t>
      </is>
    </nc>
  </rcc>
  <rcc rId="2205" sId="1" numFmtId="34">
    <nc r="AD58">
      <v>7321</v>
    </nc>
  </rcc>
  <rcc rId="2206" sId="1" numFmtId="27">
    <nc r="AE58">
      <v>46083.375</v>
    </nc>
  </rcc>
  <rcc rId="2207" sId="1" numFmtId="34">
    <nc r="AF58">
      <v>8276</v>
    </nc>
  </rcc>
  <rcc rId="2208" sId="1" numFmtId="27">
    <nc r="AG58">
      <v>46087.392361111109</v>
    </nc>
  </rcc>
  <rcc rId="2209" sId="1">
    <nc r="AH58">
      <f>+AF58-AD58</f>
    </nc>
  </rcc>
  <rcc rId="2210" sId="1">
    <nc r="AI58">
      <v>3</v>
    </nc>
  </rcc>
  <rcc rId="2211" sId="1">
    <nc r="AJ58">
      <f>+AI58*5</f>
    </nc>
  </rcc>
  <rcc rId="2212" sId="1">
    <nc r="AK58">
      <f>+Q58-AJ58</f>
    </nc>
  </rcc>
  <rcc rId="2213" sId="1">
    <nc r="AM58">
      <f>+AH58/Q58</f>
    </nc>
  </rcc>
  <rcc rId="2214" sId="1">
    <nc r="AN58">
      <f>+Q58/AI58</f>
    </nc>
  </rcc>
  <rcc rId="2215" sId="1">
    <nc r="AQ58">
      <f>+N58/78.54</f>
    </nc>
  </rcc>
  <rcc rId="2216" sId="1">
    <nc r="AR58">
      <f>+AH58/11</f>
    </nc>
  </rcc>
  <rcc rId="2217" sId="1">
    <nc r="AS58">
      <f>+AR58-AQ58</f>
    </nc>
  </rcc>
  <rcc rId="2218" sId="1">
    <nc r="AT58">
      <f>+AH58/AQ58</f>
    </nc>
  </rcc>
  <rfmt sheetId="1" sqref="A58:AK58">
    <dxf>
      <fill>
        <patternFill patternType="solid">
          <bgColor rgb="FF92D050"/>
        </patternFill>
      </fill>
    </dxf>
  </rfmt>
  <rcv guid="{D015136D-255F-4042-9389-EB535F138010}" action="delete"/>
  <rdn rId="0" localSheetId="1" customView="1" name="Z_D015136D_255F_4042_9389_EB535F138010_.wvu.FilterData" hidden="1" oldHidden="1">
    <formula>DATA!$A$1:$AK$66</formula>
    <oldFormula>DATA!$A$1:$AK$66</oldFormula>
  </rdn>
  <rcv guid="{D015136D-255F-4042-9389-EB535F138010}" action="add"/>
</revisions>
</file>

<file path=xl/revisions/revisionLog1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20" sId="1">
    <nc r="M57">
      <f>+N57-H57</f>
    </nc>
  </rcc>
  <rcc rId="2221" sId="1">
    <nc r="N57">
      <f>2200+1750+1950.5</f>
    </nc>
  </rcc>
  <rcc rId="2222" sId="1" numFmtId="34">
    <nc r="P57">
      <v>11</v>
    </nc>
  </rcc>
  <rcc rId="2223" sId="1">
    <nc r="Q57">
      <f>+P57+O57</f>
    </nc>
  </rcc>
  <rcc rId="2224" sId="1">
    <nc r="R57">
      <f>(N57/Q57)</f>
    </nc>
  </rcc>
  <rcc rId="2225" sId="1">
    <nc r="S57">
      <f>(('Costo por negocio'!$B$3-DATA!R57)*DATA!O57)+('Costo por negocio'!$C$3-DATA!R57)*DATA!P57</f>
    </nc>
  </rcc>
  <rcc rId="2226" sId="1" numFmtId="19">
    <nc r="T57">
      <v>46087</v>
    </nc>
  </rcc>
  <rcc rId="2227" sId="1">
    <nc r="U57" t="inlineStr">
      <is>
        <t>SI</t>
      </is>
    </nc>
  </rcc>
  <rcc rId="2228" sId="1">
    <nc r="V57" t="inlineStr">
      <is>
        <t>SI</t>
      </is>
    </nc>
  </rcc>
  <rcc rId="2229" sId="1">
    <nc r="W57" t="inlineStr">
      <is>
        <t>SI</t>
      </is>
    </nc>
  </rcc>
  <rcc rId="2230" sId="1">
    <nc r="Y57" t="inlineStr">
      <is>
        <t>BEC 5195</t>
      </is>
    </nc>
  </rcc>
  <rcc rId="2231" sId="1" numFmtId="34">
    <nc r="AD57">
      <v>68679</v>
    </nc>
  </rcc>
  <rcc rId="2232" sId="1" numFmtId="27">
    <nc r="AE57">
      <v>46083.6875</v>
    </nc>
  </rcc>
  <rcc rId="2233" sId="1" numFmtId="34">
    <nc r="AF57">
      <v>69586</v>
    </nc>
  </rcc>
  <rcc rId="2234" sId="1">
    <nc r="AH57">
      <f>+AF57-AD57</f>
    </nc>
  </rcc>
  <rcc rId="2235" sId="1" numFmtId="27">
    <nc r="AG57">
      <v>46087.388888888891</v>
    </nc>
  </rcc>
  <rcc rId="2236" sId="1">
    <nc r="AI57">
      <v>3</v>
    </nc>
  </rcc>
  <rcc rId="2237" sId="1">
    <nc r="AJ57">
      <f>+AI57*5</f>
    </nc>
  </rcc>
  <rcc rId="2238" sId="1">
    <nc r="AK57">
      <f>+Q57-AJ57</f>
    </nc>
  </rcc>
  <rcc rId="2239" sId="1">
    <nc r="AM57">
      <f>+AH57/Q57</f>
    </nc>
  </rcc>
  <rcc rId="2240" sId="1">
    <nc r="AN57">
      <f>+Q57/AI57</f>
    </nc>
  </rcc>
  <rcc rId="2241" sId="1">
    <nc r="AQ57">
      <f>+N57/78.54</f>
    </nc>
  </rcc>
  <rcc rId="2242" sId="1">
    <nc r="AR57">
      <f>+AH57/11</f>
    </nc>
  </rcc>
  <rcc rId="2243" sId="1">
    <nc r="AS57">
      <f>+AR57-AQ57</f>
    </nc>
  </rcc>
  <rcc rId="2244" sId="1">
    <nc r="AT57">
      <f>+AH57/AQ57</f>
    </nc>
  </rcc>
  <rfmt sheetId="1" sqref="A57:AK57">
    <dxf>
      <fill>
        <patternFill patternType="solid">
          <bgColor rgb="FF92D050"/>
        </patternFill>
      </fill>
    </dxf>
  </rfmt>
  <rcv guid="{D015136D-255F-4042-9389-EB535F138010}" action="delete"/>
  <rdn rId="0" localSheetId="1" customView="1" name="Z_D015136D_255F_4042_9389_EB535F138010_.wvu.FilterData" hidden="1" oldHidden="1">
    <formula>DATA!$A$1:$AK$66</formula>
    <oldFormula>DATA!$A$1:$AK$66</oldFormula>
  </rdn>
  <rcv guid="{D015136D-255F-4042-9389-EB535F138010}" action="add"/>
</revisions>
</file>

<file path=xl/revisions/revisionLog1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46" sId="1">
    <nc r="B72" t="inlineStr">
      <is>
        <t>Gabriela Falero</t>
      </is>
    </nc>
  </rcc>
  <rcc rId="2247" sId="1">
    <nc r="C72">
      <v>2030</v>
    </nc>
  </rcc>
  <rcc rId="2248" sId="1">
    <nc r="D72">
      <v>3</v>
    </nc>
  </rcc>
  <rcc rId="2249" sId="1">
    <nc r="E72" t="inlineStr">
      <is>
        <t>03/03 al 05/03/2026</t>
      </is>
    </nc>
  </rcc>
  <rcc rId="2250" sId="1" numFmtId="19">
    <nc r="F72">
      <v>46084</v>
    </nc>
  </rcc>
  <rcc rId="2251" sId="1" numFmtId="19">
    <nc r="G72">
      <v>46086</v>
    </nc>
  </rcc>
  <rcc rId="2252" sId="1">
    <nc r="K72" t="inlineStr">
      <is>
        <t>Alquiler</t>
      </is>
    </nc>
  </rcc>
  <rcc rId="2253" sId="1">
    <nc r="J72" t="inlineStr">
      <is>
        <t>Montevideo, Rivera</t>
      </is>
    </nc>
  </rcc>
  <rcc rId="2254" sId="1" odxf="1" dxf="1">
    <nc r="M72">
      <f>+M73-M67</f>
    </nc>
    <odxf>
      <fill>
        <patternFill patternType="none">
          <bgColor indexed="65"/>
        </patternFill>
      </fill>
    </odxf>
    <ndxf>
      <fill>
        <patternFill patternType="solid">
          <bgColor rgb="FF00B050"/>
        </patternFill>
      </fill>
    </ndxf>
  </rcc>
  <rcc rId="2255" sId="1">
    <nc r="A72">
      <v>71</v>
    </nc>
  </rcc>
  <rcc rId="2256" sId="1">
    <nc r="N72">
      <f>3000.6+3844+3100.3</f>
    </nc>
  </rcc>
  <rcc rId="2257" sId="1">
    <nc r="P72">
      <f>20+19</f>
    </nc>
  </rcc>
  <rcc rId="2258" sId="1">
    <nc r="Q72">
      <f>+P72+O72</f>
    </nc>
  </rcc>
  <rcc rId="2259" sId="1">
    <nc r="R72">
      <f>(N72/Q72)</f>
    </nc>
  </rcc>
  <rcc rId="2260" sId="1">
    <nc r="S72">
      <f>(('Costo por negocio'!$B$3-DATA!R72)*DATA!O72)+('Costo por negocio'!$C$3-DATA!R72)*DATA!P72</f>
    </nc>
  </rcc>
  <rcc rId="2261" sId="1" numFmtId="19">
    <nc r="T72">
      <v>46087</v>
    </nc>
  </rcc>
  <rcc rId="2262" sId="1">
    <nc r="U72" t="inlineStr">
      <is>
        <t>SI</t>
      </is>
    </nc>
  </rcc>
  <rcc rId="2263" sId="1">
    <nc r="V72" t="inlineStr">
      <is>
        <t>SI</t>
      </is>
    </nc>
  </rcc>
  <rcc rId="2264" sId="1">
    <nc r="W72" t="inlineStr">
      <is>
        <t>SI</t>
      </is>
    </nc>
  </rcc>
  <rcc rId="2265" sId="1">
    <nc r="Y72" t="inlineStr">
      <is>
        <t>BEB 4216</t>
      </is>
    </nc>
  </rcc>
  <rcc rId="2266" sId="1" numFmtId="34">
    <nc r="AD72">
      <v>88875</v>
    </nc>
  </rcc>
  <rcc rId="2267" sId="1" numFmtId="27">
    <nc r="AE72">
      <v>46083.6875</v>
    </nc>
  </rcc>
  <rcc rId="2268" sId="1" numFmtId="34">
    <nc r="AF72">
      <v>90127</v>
    </nc>
  </rcc>
  <rcc rId="2269" sId="1" numFmtId="27">
    <nc r="AG72">
      <v>46087.395833333336</v>
    </nc>
  </rcc>
  <rcc rId="2270" sId="1">
    <nc r="AH72">
      <f>+AF72-AD72</f>
    </nc>
  </rcc>
  <rcc rId="2271" sId="1">
    <nc r="AI72">
      <v>3</v>
    </nc>
  </rcc>
  <rcc rId="2272" sId="1">
    <nc r="AJ72">
      <f>+AI72*5</f>
    </nc>
  </rcc>
  <rcc rId="2273" sId="1">
    <nc r="AK72">
      <f>+Q72-AJ72</f>
    </nc>
  </rcc>
  <rcc rId="2274" sId="1">
    <nc r="AL72">
      <f>+AG72/P72</f>
    </nc>
  </rcc>
  <rcc rId="2275" sId="1">
    <nc r="AM72">
      <f>+P72/AH72</f>
    </nc>
  </rcc>
  <rcc rId="2276" sId="1">
    <nc r="AP72">
      <f>+M72/78.54</f>
    </nc>
  </rcc>
  <rcc rId="2277" sId="1">
    <nc r="AQ72">
      <f>+AG72/11</f>
    </nc>
  </rcc>
  <rcc rId="2278" sId="1">
    <nc r="AR72">
      <f>+AQ72-AP72</f>
    </nc>
  </rcc>
  <rcc rId="2279" sId="1">
    <nc r="AS72">
      <f>+AG72/AP72</f>
    </nc>
  </rcc>
  <rfmt sheetId="1" sqref="A72:AK72">
    <dxf>
      <fill>
        <patternFill>
          <bgColor rgb="FF92D050"/>
        </patternFill>
      </fill>
    </dxf>
  </rfmt>
  <rcv guid="{D015136D-255F-4042-9389-EB535F138010}" action="delete"/>
  <rdn rId="0" localSheetId="1" customView="1" name="Z_D015136D_255F_4042_9389_EB535F138010_.wvu.FilterData" hidden="1" oldHidden="1">
    <formula>DATA!$A$1:$AK$71</formula>
    <oldFormula>DATA!$A$1:$AK$66</oldFormula>
  </rdn>
  <rcv guid="{D015136D-255F-4042-9389-EB535F138010}" action="add"/>
</revisions>
</file>

<file path=xl/revisions/revisionLog1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81" sId="1">
    <nc r="AU72" t="inlineStr">
      <is>
        <t>Fernando Lopez</t>
      </is>
    </nc>
  </rcc>
  <rcc rId="2282" sId="1">
    <nc r="AV72" t="inlineStr">
      <is>
        <t>Natalia Greco</t>
      </is>
    </nc>
  </rcc>
  <rcc rId="2283" sId="1">
    <nc r="AY72">
      <v>1</v>
    </nc>
  </rcc>
  <rcc rId="2284" sId="1">
    <oc r="M72">
      <f>+M73-M67</f>
    </oc>
    <nc r="M72">
      <f>+N72-H72</f>
    </nc>
  </rcc>
  <rcc rId="2285" sId="1">
    <oc r="AL72">
      <f>+AG72/P72</f>
    </oc>
    <nc r="AL72"/>
  </rcc>
  <rcc rId="2286" sId="1">
    <oc r="AM72">
      <f>+P72/AH72</f>
    </oc>
    <nc r="AM72">
      <f>+AH72/Q72</f>
    </nc>
  </rcc>
  <rcc rId="2287" sId="1">
    <nc r="AN72">
      <f>+Q72/AI72</f>
    </nc>
  </rcc>
  <rcc rId="2288" sId="1">
    <oc r="AP72">
      <f>+M72/78.54</f>
    </oc>
    <nc r="AP72"/>
  </rcc>
  <rcc rId="2289" sId="1">
    <oc r="AQ72">
      <f>+AG72/11</f>
    </oc>
    <nc r="AQ72">
      <f>+N72/78.54</f>
    </nc>
  </rcc>
  <rcc rId="2290" sId="1">
    <oc r="AR72">
      <f>+AQ72-AP72</f>
    </oc>
    <nc r="AR72">
      <f>+AH72/11</f>
    </nc>
  </rcc>
  <rcc rId="2291" sId="1">
    <oc r="AS72">
      <f>+AG72/AP72</f>
    </oc>
    <nc r="AS72">
      <f>+AR72-AQ72</f>
    </nc>
  </rcc>
  <rcc rId="2292" sId="1">
    <nc r="AT72">
      <f>+AH72/AQ72</f>
    </nc>
  </rcc>
  <rcv guid="{D015136D-255F-4042-9389-EB535F138010}" action="delete"/>
  <rdn rId="0" localSheetId="1" customView="1" name="Z_D015136D_255F_4042_9389_EB535F138010_.wvu.FilterData" hidden="1" oldHidden="1">
    <formula>DATA!$A$1:$AK$71</formula>
    <oldFormula>DATA!$A$1:$AK$71</oldFormula>
  </rdn>
  <rcv guid="{D015136D-255F-4042-9389-EB535F138010}" action="add"/>
</revisions>
</file>

<file path=xl/revisions/revisionLog1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DATA!$A$1:$AK$71</formula>
    <oldFormula>DATA!$A$1:$AK$71</oldFormula>
  </rdn>
  <rcv guid="{D015136D-255F-4042-9389-EB535F138010}" action="add"/>
</revisions>
</file>

<file path=xl/revisions/revisionLog1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56:AK59">
    <dxf>
      <fill>
        <patternFill>
          <bgColor rgb="FF00B050"/>
        </patternFill>
      </fill>
    </dxf>
  </rfmt>
  <rcc rId="2295" sId="1" odxf="1" dxf="1" numFmtId="19">
    <nc r="Z56">
      <v>46087</v>
    </nc>
    <odxf>
      <numFmt numFmtId="0" formatCode="General"/>
    </odxf>
    <ndxf>
      <numFmt numFmtId="19" formatCode="d/m/yyyy"/>
    </ndxf>
  </rcc>
  <rcc rId="2296" sId="1" odxf="1" dxf="1" numFmtId="19">
    <nc r="Z57">
      <v>46087</v>
    </nc>
    <odxf>
      <numFmt numFmtId="0" formatCode="General"/>
    </odxf>
    <ndxf>
      <numFmt numFmtId="19" formatCode="d/m/yyyy"/>
    </ndxf>
  </rcc>
  <rcc rId="2297" sId="1" odxf="1" dxf="1" numFmtId="19">
    <nc r="Z58">
      <v>46087</v>
    </nc>
    <odxf>
      <numFmt numFmtId="0" formatCode="General"/>
    </odxf>
    <ndxf>
      <numFmt numFmtId="19" formatCode="d/m/yyyy"/>
    </ndxf>
  </rcc>
  <rcc rId="2298" sId="1" odxf="1" dxf="1" numFmtId="19">
    <nc r="Z59">
      <v>46087</v>
    </nc>
    <odxf>
      <numFmt numFmtId="0" formatCode="General"/>
    </odxf>
    <ndxf>
      <numFmt numFmtId="19" formatCode="d/m/yyyy"/>
    </ndxf>
  </rcc>
  <rcc rId="2299" sId="1">
    <oc r="X56" t="inlineStr">
      <is>
        <t>SI</t>
      </is>
    </oc>
    <nc r="X56"/>
  </rcc>
  <rcc rId="2300" sId="1" numFmtId="34">
    <nc r="O56">
      <v>27</v>
    </nc>
  </rcc>
  <rcc rId="2301" sId="1">
    <nc r="N56">
      <f>2781+250.63</f>
    </nc>
  </rcc>
  <rcc rId="2302" sId="1">
    <nc r="M56">
      <f>+N56-H56</f>
    </nc>
  </rcc>
</revisions>
</file>

<file path=xl/revisions/revisionLog1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F72:AK72">
    <dxf>
      <fill>
        <patternFill>
          <bgColor rgb="FF00B050"/>
        </patternFill>
      </fill>
    </dxf>
  </rfmt>
  <rcc rId="2303" sId="1" odxf="1" dxf="1" numFmtId="19">
    <nc r="Z72">
      <v>46087</v>
    </nc>
    <odxf>
      <numFmt numFmtId="0" formatCode="General"/>
    </odxf>
    <ndxf>
      <numFmt numFmtId="19" formatCode="d/m/yyyy"/>
    </ndxf>
  </rcc>
  <rfmt sheetId="1" sqref="A72:E72">
    <dxf>
      <fill>
        <patternFill>
          <bgColor rgb="FF00B050"/>
        </patternFill>
      </fill>
    </dxf>
  </rfmt>
</revisions>
</file>

<file path=xl/revisions/revisionLog1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04" sId="1">
    <oc r="AI59">
      <v>3</v>
    </oc>
    <nc r="AI59">
      <v>2</v>
    </nc>
  </rcc>
  <rcv guid="{D41D3FB0-5142-496B-B92F-3F303994F17B}" action="delete"/>
  <rdn rId="0" localSheetId="1" customView="1" name="Z_D41D3FB0_5142_496B_B92F_3F303994F17B_.wvu.FilterData" hidden="1" oldHidden="1">
    <formula>DATA!$A$1:$AK$72</formula>
    <oldFormula>DATA!$A$1:$AK$64</oldFormula>
  </rdn>
  <rcv guid="{D41D3FB0-5142-496B-B92F-3F303994F17B}" action="add"/>
</revisions>
</file>

<file path=xl/revisions/revisionLog1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06" sId="1">
    <oc r="P72">
      <f>20+19</f>
    </oc>
    <nc r="P72">
      <f>20+18</f>
    </nc>
  </rcc>
</revisions>
</file>

<file path=xl/revisions/revisionLog1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DATA!$A$1:$AK$72</formula>
    <oldFormula>DATA!$A$1:$AK$71</oldFormula>
  </rdn>
  <rcv guid="{D015136D-255F-4042-9389-EB535F138010}" action="add"/>
</revisions>
</file>

<file path=xl/revisions/revisionLog1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08" sId="1">
    <nc r="AA21">
      <v>93095</v>
    </nc>
  </rcc>
  <rcc rId="2309" sId="1">
    <nc r="AC21">
      <v>111</v>
    </nc>
  </rcc>
  <rcv guid="{D015136D-255F-4042-9389-EB535F138010}" action="delete"/>
  <rdn rId="0" localSheetId="1" customView="1" name="Z_D015136D_255F_4042_9389_EB535F138010_.wvu.FilterData" hidden="1" oldHidden="1">
    <formula>DATA!$A$1:$AK$72</formula>
    <oldFormula>DATA!$A$1:$AK$72</oldFormula>
  </rdn>
  <rcv guid="{D015136D-255F-4042-9389-EB535F138010}" action="add"/>
</revisions>
</file>

<file path=xl/revisions/revisionLog1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11" sId="1">
    <nc r="AA26">
      <v>94791</v>
    </nc>
  </rcc>
  <rcc rId="2312" sId="1">
    <nc r="AC26">
      <v>111</v>
    </nc>
  </rcc>
  <rcc rId="2313" sId="1">
    <nc r="AA27">
      <v>93099</v>
    </nc>
  </rcc>
  <rcc rId="2314" sId="1">
    <nc r="AC27">
      <v>111</v>
    </nc>
  </rcc>
  <rcc rId="2315" sId="1">
    <nc r="AA28">
      <v>94790</v>
    </nc>
  </rcc>
  <rcc rId="2316" sId="1">
    <nc r="AC28">
      <v>111</v>
    </nc>
  </rcc>
  <rcc rId="2317" sId="1">
    <nc r="AA29">
      <v>94781</v>
    </nc>
  </rcc>
  <rcc rId="2318" sId="1">
    <nc r="AC29">
      <v>111</v>
    </nc>
  </rcc>
  <rcc rId="2319" sId="1">
    <nc r="AA35">
      <v>95450</v>
    </nc>
  </rcc>
  <rcc rId="2320" sId="1">
    <nc r="AC35">
      <v>111</v>
    </nc>
  </rcc>
  <rcc rId="2321" sId="1">
    <nc r="AA36">
      <v>95446</v>
    </nc>
  </rcc>
  <rcc rId="2322" sId="1">
    <nc r="AC36">
      <v>111</v>
    </nc>
  </rcc>
  <rcc rId="2323" sId="1">
    <nc r="AA37">
      <v>95447</v>
    </nc>
  </rcc>
  <rcc rId="2324" sId="1">
    <nc r="AC37">
      <v>111</v>
    </nc>
  </rcc>
  <rcc rId="2325" sId="1">
    <nc r="AA38">
      <v>95449</v>
    </nc>
  </rcc>
  <rcc rId="2326" sId="1">
    <nc r="AC38">
      <v>148</v>
    </nc>
  </rcc>
  <rcc rId="2327" sId="1">
    <nc r="AC39">
      <f>111-37</f>
    </nc>
  </rcc>
  <rcc rId="2328" sId="1">
    <nc r="AA39" t="inlineStr">
      <is>
        <t>95435 / NC 13549</t>
      </is>
    </nc>
  </rcc>
  <rcc rId="2329" sId="1">
    <oc r="AI39">
      <v>3</v>
    </oc>
    <nc r="AI39">
      <v>2</v>
    </nc>
  </rcc>
</revisions>
</file>

<file path=xl/revisions/revisionLog1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30" sId="1">
    <nc r="AA40">
      <v>93119</v>
    </nc>
  </rcc>
  <rcc rId="2331" sId="1">
    <nc r="AC40">
      <v>111</v>
    </nc>
  </rcc>
  <rcc rId="2332" sId="1">
    <nc r="AA43">
      <v>94785</v>
    </nc>
  </rcc>
  <rcc rId="2333" sId="1">
    <nc r="AC43">
      <v>111</v>
    </nc>
  </rcc>
  <rcc rId="2334" sId="1">
    <nc r="AA46">
      <v>95479</v>
    </nc>
  </rcc>
  <rcc rId="2335" sId="1">
    <nc r="AC46">
      <v>74</v>
    </nc>
  </rcc>
  <rcc rId="2336" sId="1">
    <nc r="AA49">
      <v>95531</v>
    </nc>
  </rcc>
  <rcc rId="2337" sId="1">
    <nc r="AC49">
      <v>148</v>
    </nc>
  </rcc>
  <rcc rId="2338" sId="1">
    <nc r="AA50">
      <v>95525</v>
    </nc>
  </rcc>
  <rcc rId="2339" sId="1">
    <nc r="AC50">
      <v>111</v>
    </nc>
  </rcc>
  <rcc rId="2340" sId="1">
    <nc r="AA51">
      <v>95519</v>
    </nc>
  </rcc>
  <rcc rId="2341" sId="1">
    <nc r="AC51">
      <v>74</v>
    </nc>
  </rcc>
  <rcc rId="2342" sId="1">
    <oc r="AI51">
      <v>3</v>
    </oc>
    <nc r="AI51">
      <v>2</v>
    </nc>
  </rcc>
  <rcc rId="2343" sId="1">
    <nc r="AA53">
      <v>95491</v>
    </nc>
  </rcc>
  <rcc rId="2344" sId="1">
    <nc r="AC53">
      <v>111</v>
    </nc>
  </rcc>
  <rcc rId="2345" sId="1">
    <nc r="AA54">
      <v>95478</v>
    </nc>
  </rcc>
  <rcc rId="2346" sId="1">
    <nc r="AC54">
      <v>74</v>
    </nc>
  </rcc>
  <rcc rId="2347" sId="1">
    <nc r="AA61">
      <v>87972</v>
    </nc>
  </rcc>
  <rcc rId="2348" sId="1">
    <nc r="AC61">
      <v>83</v>
    </nc>
  </rcc>
  <rcmt sheetId="1" cell="AC61" guid="{4F8DBB3E-E9CD-4A42-81D7-E0489C2491E5}" author="Ronald Pinto" newLength="103"/>
</revisions>
</file>

<file path=xl/revisions/revisionLog1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49" sId="1">
    <nc r="B73" t="inlineStr">
      <is>
        <t>Claudia Parrilla</t>
      </is>
    </nc>
  </rcc>
  <rcc rId="2350" sId="1">
    <nc r="C73">
      <v>2005</v>
    </nc>
  </rcc>
  <rcc rId="2351" sId="1">
    <nc r="D73">
      <v>3</v>
    </nc>
  </rcc>
  <rcc rId="2352" sId="1" numFmtId="19">
    <nc r="F73">
      <v>46091</v>
    </nc>
  </rcc>
  <rcc rId="2353" sId="1" numFmtId="19">
    <nc r="G73">
      <v>46093</v>
    </nc>
  </rcc>
  <rcc rId="2354" sId="1">
    <nc r="H73">
      <f>20*260</f>
    </nc>
  </rcc>
  <rcc rId="2355" sId="1">
    <nc r="I73">
      <v>15</v>
    </nc>
  </rcc>
  <rcc rId="2356" sId="1">
    <nc r="K73" t="inlineStr">
      <is>
        <t>Alquiler</t>
      </is>
    </nc>
  </rcc>
  <rfmt sheetId="1" sqref="A73">
    <dxf>
      <fill>
        <patternFill patternType="solid">
          <bgColor rgb="FFFFFF00"/>
        </patternFill>
      </fill>
    </dxf>
  </rfmt>
  <rcc rId="2357" sId="1">
    <nc r="E73" t="inlineStr">
      <is>
        <t>17/03 al 19/03/2026</t>
      </is>
    </nc>
  </rcc>
  <rcc rId="2358" sId="1">
    <nc r="J73" t="inlineStr">
      <is>
        <t>Montevideo, San José</t>
      </is>
    </nc>
  </rcc>
  <rcv guid="{D015136D-255F-4042-9389-EB535F138010}" action="delete"/>
  <rdn rId="0" localSheetId="1" customView="1" name="Z_D015136D_255F_4042_9389_EB535F138010_.wvu.FilterData" hidden="1" oldHidden="1">
    <formula>DATA!$A$1:$AK$72</formula>
    <oldFormula>DATA!$A$1:$AK$72</oldFormula>
  </rdn>
  <rcv guid="{D015136D-255F-4042-9389-EB535F138010}" action="add"/>
</revisions>
</file>

<file path=xl/revisions/revisionLog1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DATA!$A$1:$AK$73</formula>
    <oldFormula>DATA!$A$1:$AK$72</oldFormula>
  </rdn>
  <rcv guid="{D015136D-255F-4042-9389-EB535F138010}" action="add"/>
</revisions>
</file>

<file path=xl/revisions/revisionLog1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DATA!$A$1:$AK$73</formula>
    <oldFormula>DATA!$A$1:$AK$73</oldFormula>
  </rdn>
  <rcv guid="{D015136D-255F-4042-9389-EB535F138010}" action="add"/>
</revisions>
</file>

<file path=xl/revisions/revisionLog1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74" start="0" length="0">
    <dxf>
      <fill>
        <patternFill patternType="solid">
          <bgColor rgb="FFFFFF00"/>
        </patternFill>
      </fill>
    </dxf>
  </rfmt>
  <rcc rId="2362" sId="1">
    <nc r="B74" t="inlineStr">
      <is>
        <t>Lucia Santamaría</t>
      </is>
    </nc>
  </rcc>
  <rcc rId="2363" sId="1">
    <nc r="C74">
      <v>3065</v>
    </nc>
  </rcc>
  <rcc rId="2364" sId="1">
    <nc r="J74" t="inlineStr">
      <is>
        <t>Montevideo</t>
      </is>
    </nc>
  </rcc>
  <rcc rId="2365" sId="1">
    <nc r="K74" t="inlineStr">
      <is>
        <t>Propio</t>
      </is>
    </nc>
  </rcc>
  <rrc rId="2366" sId="1" ref="A74:XFD79" action="insertRow"/>
  <rcc rId="2367" sId="1">
    <nc r="E80" t="inlineStr">
      <is>
        <t>12/03 al 31/03/2026</t>
      </is>
    </nc>
  </rcc>
  <rcc rId="2368" sId="1" numFmtId="19">
    <nc r="F80">
      <v>46093</v>
    </nc>
  </rcc>
  <rcc rId="2369" sId="1" numFmtId="19">
    <nc r="G80">
      <v>46112</v>
    </nc>
  </rcc>
  <rcc rId="2370" sId="1">
    <nc r="D80">
      <v>14</v>
    </nc>
  </rcc>
  <rcv guid="{D015136D-255F-4042-9389-EB535F138010}" action="delete"/>
  <rdn rId="0" localSheetId="1" customView="1" name="Z_D015136D_255F_4042_9389_EB535F138010_.wvu.FilterData" hidden="1" oldHidden="1">
    <formula>DATA!$A$1:$AK$73</formula>
    <oldFormula>DATA!$A$1:$AK$73</oldFormula>
  </rdn>
  <rcv guid="{D015136D-255F-4042-9389-EB535F138010}" action="add"/>
</revisions>
</file>

<file path=xl/revisions/revisionLog1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72" sId="1">
    <nc r="B74" t="inlineStr">
      <is>
        <t>Ricardo Cardona</t>
      </is>
    </nc>
  </rcc>
  <rcc rId="2373" sId="1">
    <nc r="C74">
      <v>1512</v>
    </nc>
  </rcc>
  <rcc rId="2374" sId="1">
    <nc r="I74">
      <v>15</v>
    </nc>
  </rcc>
  <rcc rId="2375" sId="1">
    <nc r="K74" t="inlineStr">
      <is>
        <t>Alquiler</t>
      </is>
    </nc>
  </rcc>
  <rcc rId="2376" sId="1">
    <nc r="D74">
      <v>3</v>
    </nc>
  </rcc>
  <rcc rId="2377" sId="1">
    <nc r="E74" t="inlineStr">
      <is>
        <t>17/03 al 19/03/2026</t>
      </is>
    </nc>
  </rcc>
  <rcc rId="2378" sId="1" numFmtId="19">
    <nc r="F74">
      <v>46091</v>
    </nc>
  </rcc>
  <rcc rId="2379" sId="1" numFmtId="19">
    <nc r="G74">
      <v>46093</v>
    </nc>
  </rcc>
  <rcc rId="2380" sId="1">
    <nc r="J74" t="inlineStr">
      <is>
        <t>Montevideo, Canelones</t>
      </is>
    </nc>
  </rcc>
  <rcc rId="2381" sId="1" numFmtId="34">
    <nc r="H74">
      <v>6500</v>
    </nc>
  </rcc>
  <rcv guid="{D015136D-255F-4042-9389-EB535F138010}" action="delete"/>
  <rdn rId="0" localSheetId="1" customView="1" name="Z_D015136D_255F_4042_9389_EB535F138010_.wvu.FilterData" hidden="1" oldHidden="1">
    <formula>DATA!$A$1:$AK$73</formula>
    <oldFormula>DATA!$A$1:$AK$73</oldFormula>
  </rdn>
  <rcv guid="{D015136D-255F-4042-9389-EB535F138010}" action="add"/>
</revisions>
</file>

<file path=xl/revisions/revisionLog1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83" sId="1">
    <nc r="B75" t="inlineStr">
      <is>
        <t>Fernando López</t>
      </is>
    </nc>
  </rcc>
  <rcc rId="2384" sId="1">
    <nc r="C75">
      <v>3117</v>
    </nc>
  </rcc>
  <rcc rId="2385" sId="1">
    <nc r="I75">
      <v>15</v>
    </nc>
  </rcc>
  <rcc rId="2386" sId="1">
    <nc r="K75" t="inlineStr">
      <is>
        <t>Alquiler</t>
      </is>
    </nc>
  </rcc>
  <rcc rId="2387" sId="1">
    <nc r="D75">
      <v>3</v>
    </nc>
  </rcc>
  <rcc rId="2388" sId="1">
    <nc r="E75" t="inlineStr">
      <is>
        <t>17/03 al 19/03/2026</t>
      </is>
    </nc>
  </rcc>
  <rcc rId="2389" sId="1" numFmtId="19">
    <nc r="F75">
      <v>46091</v>
    </nc>
  </rcc>
  <rcc rId="2390" sId="1" numFmtId="19">
    <nc r="G75">
      <v>46093</v>
    </nc>
  </rcc>
  <rcc rId="2391" sId="1" numFmtId="34">
    <nc r="H75">
      <v>5000</v>
    </nc>
  </rcc>
  <rcc rId="2392" sId="1">
    <nc r="J75" t="inlineStr">
      <is>
        <t>Montevideo, Colonia</t>
      </is>
    </nc>
  </rcc>
</revisions>
</file>

<file path=xl/revisions/revisionLog1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393" sId="1" ref="A73:XFD76" action="insertRow"/>
  <rfmt sheetId="1" sqref="A73:XFD76">
    <dxf>
      <fill>
        <patternFill patternType="none">
          <bgColor auto="1"/>
        </patternFill>
      </fill>
    </dxf>
  </rfmt>
  <rcc rId="2394" sId="1">
    <nc r="A73">
      <v>72</v>
    </nc>
  </rcc>
  <rcc rId="2395" sId="1" odxf="1" dxf="1">
    <nc r="B73" t="inlineStr">
      <is>
        <t>Lucia Santamaría</t>
      </is>
    </nc>
    <odxf/>
    <ndxf/>
  </rcc>
  <rcc rId="2396" sId="1" odxf="1" dxf="1">
    <nc r="C73">
      <v>3065</v>
    </nc>
    <odxf/>
    <ndxf/>
  </rcc>
  <rcc rId="2397" sId="1">
    <nc r="D73">
      <v>8</v>
    </nc>
  </rcc>
  <rcc rId="2398" sId="1">
    <nc r="E73" t="inlineStr">
      <is>
        <t>02/03 al 11/03/2026</t>
      </is>
    </nc>
  </rcc>
  <rcc rId="2399" sId="1" numFmtId="19">
    <nc r="F73">
      <v>46083</v>
    </nc>
  </rcc>
  <rcc rId="2400" sId="1" numFmtId="19">
    <nc r="G73">
      <v>46092</v>
    </nc>
  </rcc>
  <rcc rId="2401" sId="1">
    <nc r="J73" t="inlineStr">
      <is>
        <t>Montevideo</t>
      </is>
    </nc>
  </rcc>
  <rcc rId="2402" sId="1">
    <nc r="K73" t="inlineStr">
      <is>
        <t>Propio</t>
      </is>
    </nc>
  </rcc>
  <rcc rId="2403" sId="1">
    <nc r="M73">
      <f>+N73-H73</f>
    </nc>
  </rcc>
  <rcc rId="2404" sId="1">
    <nc r="N73">
      <f>2650.1+1987</f>
    </nc>
  </rcc>
  <rcc rId="2405" sId="1">
    <nc r="O73">
      <f>19+5</f>
    </nc>
  </rcc>
  <rcc rId="2406" sId="1">
    <nc r="Q73">
      <f>+P73+O73</f>
    </nc>
  </rcc>
  <rcc rId="2407" sId="1">
    <nc r="R73">
      <f>(N73/Q73)</f>
    </nc>
  </rcc>
  <rcc rId="2408" sId="1">
    <nc r="S73">
      <f>(('Costo por negocio'!$B$3-DATA!R73)*DATA!O73)+('Costo por negocio'!$C$3-DATA!R73)*DATA!P73</f>
    </nc>
  </rcc>
  <rcc rId="2409" sId="1">
    <nc r="U73" t="inlineStr">
      <is>
        <t>SI</t>
      </is>
    </nc>
  </rcc>
  <rcc rId="2410" sId="1">
    <nc r="V73" t="inlineStr">
      <is>
        <t>SI</t>
      </is>
    </nc>
  </rcc>
  <rcc rId="2411" sId="1">
    <nc r="W73" t="inlineStr">
      <is>
        <t>SI</t>
      </is>
    </nc>
  </rcc>
  <rcc rId="2412" sId="1" numFmtId="19">
    <nc r="T73">
      <v>46093</v>
    </nc>
  </rcc>
  <rcc rId="2413" sId="1">
    <nc r="Y73" t="inlineStr">
      <is>
        <t>SBI 6680</t>
      </is>
    </nc>
  </rcc>
  <rfmt sheetId="1" sqref="A73:AK73">
    <dxf>
      <fill>
        <patternFill patternType="solid">
          <bgColor rgb="FF92D050"/>
        </patternFill>
      </fill>
    </dxf>
  </rfmt>
  <rcv guid="{D015136D-255F-4042-9389-EB535F138010}" action="delete"/>
  <rdn rId="0" localSheetId="1" customView="1" name="Z_D015136D_255F_4042_9389_EB535F138010_.wvu.FilterData" hidden="1" oldHidden="1">
    <formula>DATA!$A$1:$AK$77</formula>
    <oldFormula>DATA!$A$1:$AK$77</oldFormula>
  </rdn>
  <rcv guid="{D015136D-255F-4042-9389-EB535F138010}" action="add"/>
</revisions>
</file>

<file path=xl/revisions/revisionLog1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15" sId="1">
    <oc r="E73" t="inlineStr">
      <is>
        <t>02/03 al 11/03/2026</t>
      </is>
    </oc>
    <nc r="E73" t="inlineStr">
      <is>
        <t>01/03 al 11/03/2026</t>
      </is>
    </nc>
  </rcc>
  <rcc rId="2416" sId="1" numFmtId="19">
    <oc r="F73">
      <v>46083</v>
    </oc>
    <nc r="F73">
      <v>46082</v>
    </nc>
  </rcc>
</revisions>
</file>

<file path=xl/revisions/revisionLog1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17" sId="1">
    <nc r="B74" t="inlineStr">
      <is>
        <t>Sylvia Antunez</t>
      </is>
    </nc>
  </rcc>
  <rcc rId="2418" sId="1">
    <nc r="C74">
      <v>3064</v>
    </nc>
  </rcc>
  <rcc rId="2419" sId="1">
    <nc r="D74">
      <v>3</v>
    </nc>
  </rcc>
  <rcc rId="2420" sId="1">
    <nc r="E74" t="inlineStr">
      <is>
        <t>03/02 al 05/02/2026</t>
      </is>
    </nc>
  </rcc>
  <rcc rId="2421" sId="1" numFmtId="19">
    <nc r="F74">
      <v>46056</v>
    </nc>
  </rcc>
  <rcc rId="2422" sId="1" numFmtId="19">
    <nc r="G74">
      <v>46058</v>
    </nc>
  </rcc>
  <rcc rId="2423" sId="1">
    <nc r="K74" t="inlineStr">
      <is>
        <t>Propio</t>
      </is>
    </nc>
  </rcc>
  <rcc rId="2424" sId="1">
    <nc r="A74">
      <v>73</v>
    </nc>
  </rcc>
  <rcc rId="2425" sId="1">
    <nc r="B75" t="inlineStr">
      <is>
        <t>Sylvia Antunez</t>
      </is>
    </nc>
  </rcc>
  <rcc rId="2426" sId="1">
    <nc r="C75">
      <v>3064</v>
    </nc>
  </rcc>
  <rcc rId="2427" sId="1">
    <nc r="D75">
      <v>3</v>
    </nc>
  </rcc>
  <rcc rId="2428" sId="1">
    <nc r="E75" t="inlineStr">
      <is>
        <t>03/02 al 05/02/2026</t>
      </is>
    </nc>
  </rcc>
  <rcc rId="2429" sId="1" numFmtId="19">
    <nc r="F75">
      <v>46056</v>
    </nc>
  </rcc>
  <rcc rId="2430" sId="1" numFmtId="19">
    <nc r="G75">
      <v>46058</v>
    </nc>
  </rcc>
  <rcc rId="2431" sId="1">
    <nc r="K75" t="inlineStr">
      <is>
        <t>Alquiler</t>
      </is>
    </nc>
  </rcc>
  <rcc rId="2432" sId="1">
    <nc r="A75">
      <v>74</v>
    </nc>
  </rcc>
  <rcc rId="2433" sId="1">
    <nc r="J75" t="inlineStr">
      <is>
        <t>Montevideo, Canelones</t>
      </is>
    </nc>
  </rcc>
  <rcc rId="2434" sId="1">
    <nc r="J74" t="inlineStr">
      <is>
        <t>Montevideo, Canelones</t>
      </is>
    </nc>
  </rcc>
  <rcc rId="2435" sId="1">
    <nc r="M75">
      <f>+N75-H75</f>
    </nc>
  </rcc>
  <rcc rId="2436" sId="1">
    <nc r="I75">
      <v>15</v>
    </nc>
  </rcc>
  <rcc rId="2437" sId="1" numFmtId="34">
    <nc r="N75">
      <v>750</v>
    </nc>
  </rcc>
  <rcc rId="2438" sId="1" numFmtId="34">
    <nc r="O75">
      <v>9</v>
    </nc>
  </rcc>
  <rcc rId="2439" sId="1">
    <nc r="Q75">
      <f>+P75+O75</f>
    </nc>
  </rcc>
  <rcc rId="2440" sId="1">
    <nc r="R75">
      <f>(N75/Q75)</f>
    </nc>
  </rcc>
  <rcc rId="2441" sId="1">
    <nc r="S75">
      <f>(('Costo por negocio'!$B$3-DATA!R75)*DATA!O75)+('Costo por negocio'!$C$3-DATA!R75)*DATA!P75</f>
    </nc>
  </rcc>
  <rcc rId="2442" sId="1" numFmtId="19">
    <nc r="T75">
      <v>46093</v>
    </nc>
  </rcc>
  <rcc rId="2443" sId="1">
    <nc r="U75" t="inlineStr">
      <is>
        <t>SI</t>
      </is>
    </nc>
  </rcc>
  <rcc rId="2444" sId="1">
    <nc r="V75" t="inlineStr">
      <is>
        <t>SI</t>
      </is>
    </nc>
  </rcc>
  <rcc rId="2445" sId="1">
    <nc r="W75" t="inlineStr">
      <is>
        <t>SI</t>
      </is>
    </nc>
  </rcc>
  <rcc rId="2446" sId="1">
    <nc r="Q74">
      <f>+P74+O74</f>
    </nc>
  </rcc>
  <rcc rId="2447" sId="1">
    <nc r="R74">
      <f>(N74/Q74)</f>
    </nc>
  </rcc>
  <rcc rId="2448" sId="1">
    <nc r="S74">
      <f>(('Costo por negocio'!$B$3-DATA!R74)*DATA!O74)+('Costo por negocio'!$C$3-DATA!R74)*DATA!P74</f>
    </nc>
  </rcc>
  <rcc rId="2449" sId="1" numFmtId="19">
    <nc r="T74">
      <v>46093</v>
    </nc>
  </rcc>
  <rcc rId="2450" sId="1">
    <nc r="U74" t="inlineStr">
      <is>
        <t>SI</t>
      </is>
    </nc>
  </rcc>
  <rcc rId="2451" sId="1">
    <nc r="V74" t="inlineStr">
      <is>
        <t>SI</t>
      </is>
    </nc>
  </rcc>
  <rcc rId="2452" sId="1">
    <nc r="W74" t="inlineStr">
      <is>
        <t>SI</t>
      </is>
    </nc>
  </rcc>
  <rcc rId="2453" sId="1">
    <nc r="Y75" t="inlineStr">
      <is>
        <t>BED 8551</t>
      </is>
    </nc>
  </rcc>
  <rcc rId="2454" sId="1" numFmtId="34">
    <nc r="AD75">
      <v>15590</v>
    </nc>
  </rcc>
  <rcc rId="2455" sId="1" numFmtId="27">
    <nc r="AE75">
      <v>46091.388888888891</v>
    </nc>
  </rcc>
  <rcc rId="2456" sId="1">
    <nc r="AI75">
      <v>2</v>
    </nc>
  </rcc>
  <rcc rId="2457" sId="1">
    <nc r="AJ75">
      <f>+AI75*5</f>
    </nc>
  </rcc>
  <rcc rId="2458" sId="1">
    <nc r="AK75">
      <f>+Q75-AJ75</f>
    </nc>
  </rcc>
  <rcc rId="2459" sId="1">
    <nc r="AM75">
      <f>+AH75/Q75</f>
    </nc>
  </rcc>
  <rcc rId="2460" sId="1">
    <nc r="AN75">
      <f>+Q75/AI75</f>
    </nc>
  </rcc>
  <rcc rId="2461" sId="1">
    <nc r="AQ75">
      <f>+N75/78.54</f>
    </nc>
  </rcc>
  <rcc rId="2462" sId="1">
    <nc r="AR75">
      <f>+AH75/11</f>
    </nc>
  </rcc>
  <rcc rId="2463" sId="1">
    <nc r="AS75">
      <f>+AR75-AQ75</f>
    </nc>
  </rcc>
  <rcc rId="2464" sId="1">
    <nc r="AT75">
      <f>+AH75/AQ75</f>
    </nc>
  </rcc>
  <rfmt sheetId="1" sqref="A75:AK75">
    <dxf>
      <fill>
        <patternFill patternType="solid">
          <bgColor rgb="FF92D050"/>
        </patternFill>
      </fill>
    </dxf>
  </rfmt>
  <rcc rId="2465" sId="1">
    <nc r="M74">
      <f>+N74-H74</f>
    </nc>
  </rcc>
  <rcc rId="2466" sId="1">
    <nc r="O74">
      <f>9+3</f>
    </nc>
  </rcc>
  <rcc rId="2467" sId="1" numFmtId="34">
    <nc r="N74">
      <v>2340</v>
    </nc>
  </rcc>
  <rcc rId="2468" sId="1">
    <nc r="Y74" t="inlineStr">
      <is>
        <t>SDD 4937</t>
      </is>
    </nc>
  </rcc>
  <rfmt sheetId="1" sqref="A74:AK74">
    <dxf>
      <fill>
        <patternFill patternType="solid">
          <bgColor rgb="FF92D050"/>
        </patternFill>
      </fill>
    </dxf>
  </rfmt>
  <rcv guid="{D015136D-255F-4042-9389-EB535F138010}" action="delete"/>
  <rdn rId="0" localSheetId="1" customView="1" name="Z_D015136D_255F_4042_9389_EB535F138010_.wvu.FilterData" hidden="1" oldHidden="1">
    <formula>DATA!$A$1:$AK$79</formula>
    <oldFormula>DATA!$A$1:$AK$77</oldFormula>
  </rdn>
  <rcv guid="{D015136D-255F-4042-9389-EB535F138010}" action="add"/>
</revisions>
</file>

<file path=xl/revisions/revisionLog1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70" sId="1" odxf="1" dxf="1">
    <nc r="A76">
      <v>75</v>
    </nc>
    <ndxf>
      <fill>
        <patternFill patternType="solid">
          <bgColor rgb="FF92D050"/>
        </patternFill>
      </fill>
    </ndxf>
  </rcc>
  <rcc rId="2471" sId="1" odxf="1" dxf="1">
    <nc r="B76" t="inlineStr">
      <is>
        <t>Agustin Buñevaz</t>
      </is>
    </nc>
    <ndxf>
      <fill>
        <patternFill patternType="solid">
          <bgColor rgb="FF92D050"/>
        </patternFill>
      </fill>
    </ndxf>
  </rcc>
  <rcc rId="2472" sId="1" odxf="1" dxf="1">
    <nc r="C76">
      <v>3152</v>
    </nc>
    <ndxf>
      <fill>
        <patternFill patternType="solid">
          <bgColor rgb="FF92D050"/>
        </patternFill>
      </fill>
    </ndxf>
  </rcc>
  <rfmt sheetId="1" sqref="D76" start="0" length="0">
    <dxf>
      <fill>
        <patternFill patternType="solid">
          <bgColor rgb="FF92D050"/>
        </patternFill>
      </fill>
    </dxf>
  </rfmt>
  <rfmt sheetId="1" sqref="E76" start="0" length="0">
    <dxf>
      <fill>
        <patternFill patternType="solid">
          <bgColor rgb="FF92D050"/>
        </patternFill>
      </fill>
    </dxf>
  </rfmt>
  <rfmt sheetId="1" sqref="F76" start="0" length="0">
    <dxf>
      <fill>
        <patternFill patternType="solid">
          <bgColor rgb="FF92D050"/>
        </patternFill>
      </fill>
    </dxf>
  </rfmt>
  <rfmt sheetId="1" sqref="G76" start="0" length="0">
    <dxf>
      <fill>
        <patternFill patternType="solid">
          <bgColor rgb="FF92D050"/>
        </patternFill>
      </fill>
    </dxf>
  </rfmt>
  <rfmt sheetId="1" sqref="H76" start="0" length="0">
    <dxf>
      <fill>
        <patternFill patternType="solid">
          <bgColor rgb="FF92D050"/>
        </patternFill>
      </fill>
    </dxf>
  </rfmt>
  <rfmt sheetId="1" sqref="I76" start="0" length="0">
    <dxf>
      <fill>
        <patternFill patternType="solid">
          <bgColor rgb="FF92D050"/>
        </patternFill>
      </fill>
    </dxf>
  </rfmt>
  <rcc rId="2473" sId="1" odxf="1" dxf="1">
    <nc r="J76" t="inlineStr">
      <is>
        <t>Montevideo, Canelones</t>
      </is>
    </nc>
    <ndxf>
      <fill>
        <patternFill patternType="solid">
          <bgColor rgb="FF92D050"/>
        </patternFill>
      </fill>
    </ndxf>
  </rcc>
  <rcc rId="2474" sId="1" odxf="1" dxf="1">
    <nc r="K76" t="inlineStr">
      <is>
        <t>Propio</t>
      </is>
    </nc>
    <ndxf>
      <fill>
        <patternFill patternType="solid">
          <bgColor rgb="FF92D050"/>
        </patternFill>
      </fill>
    </ndxf>
  </rcc>
  <rfmt sheetId="1" sqref="L76" start="0" length="0">
    <dxf>
      <fill>
        <patternFill patternType="solid">
          <bgColor rgb="FF92D050"/>
        </patternFill>
      </fill>
    </dxf>
  </rfmt>
  <rfmt sheetId="1" sqref="M76" start="0" length="0">
    <dxf>
      <fill>
        <patternFill patternType="solid">
          <bgColor rgb="FF92D050"/>
        </patternFill>
      </fill>
    </dxf>
  </rfmt>
  <rfmt sheetId="1" sqref="N76" start="0" length="0">
    <dxf>
      <fill>
        <patternFill patternType="solid">
          <bgColor rgb="FF92D050"/>
        </patternFill>
      </fill>
    </dxf>
  </rfmt>
  <rfmt sheetId="1" sqref="O76" start="0" length="0">
    <dxf>
      <fill>
        <patternFill patternType="solid">
          <bgColor rgb="FF92D050"/>
        </patternFill>
      </fill>
    </dxf>
  </rfmt>
  <rfmt sheetId="1" sqref="P76" start="0" length="0">
    <dxf>
      <fill>
        <patternFill patternType="solid">
          <bgColor rgb="FF92D050"/>
        </patternFill>
      </fill>
    </dxf>
  </rfmt>
  <rfmt sheetId="1" sqref="Q76" start="0" length="0">
    <dxf>
      <fill>
        <patternFill patternType="solid">
          <bgColor rgb="FF92D050"/>
        </patternFill>
      </fill>
    </dxf>
  </rfmt>
  <rfmt sheetId="1" sqref="R76" start="0" length="0">
    <dxf>
      <fill>
        <patternFill patternType="solid">
          <bgColor rgb="FF92D050"/>
        </patternFill>
      </fill>
    </dxf>
  </rfmt>
  <rfmt sheetId="1" sqref="S76" start="0" length="0">
    <dxf>
      <fill>
        <patternFill patternType="solid">
          <bgColor rgb="FF92D050"/>
        </patternFill>
      </fill>
    </dxf>
  </rfmt>
  <rfmt sheetId="1" sqref="T76" start="0" length="0">
    <dxf>
      <fill>
        <patternFill patternType="solid">
          <bgColor rgb="FF92D050"/>
        </patternFill>
      </fill>
    </dxf>
  </rfmt>
  <rfmt sheetId="1" sqref="U76" start="0" length="0">
    <dxf>
      <fill>
        <patternFill patternType="solid">
          <bgColor rgb="FF92D050"/>
        </patternFill>
      </fill>
    </dxf>
  </rfmt>
  <rfmt sheetId="1" sqref="V76" start="0" length="0">
    <dxf>
      <fill>
        <patternFill patternType="solid">
          <bgColor rgb="FF92D050"/>
        </patternFill>
      </fill>
    </dxf>
  </rfmt>
  <rfmt sheetId="1" sqref="W76" start="0" length="0">
    <dxf>
      <fill>
        <patternFill patternType="solid">
          <bgColor rgb="FF92D050"/>
        </patternFill>
      </fill>
    </dxf>
  </rfmt>
  <rfmt sheetId="1" sqref="X76" start="0" length="0">
    <dxf>
      <fill>
        <patternFill patternType="solid">
          <bgColor rgb="FF92D050"/>
        </patternFill>
      </fill>
    </dxf>
  </rfmt>
  <rfmt sheetId="1" sqref="Y76" start="0" length="0">
    <dxf>
      <fill>
        <patternFill patternType="solid">
          <bgColor rgb="FF92D050"/>
        </patternFill>
      </fill>
    </dxf>
  </rfmt>
  <rfmt sheetId="1" sqref="Z76" start="0" length="0">
    <dxf>
      <fill>
        <patternFill patternType="solid">
          <bgColor rgb="FF92D050"/>
        </patternFill>
      </fill>
    </dxf>
  </rfmt>
  <rfmt sheetId="1" sqref="AA76" start="0" length="0">
    <dxf>
      <fill>
        <patternFill patternType="solid">
          <bgColor rgb="FF92D050"/>
        </patternFill>
      </fill>
    </dxf>
  </rfmt>
  <rfmt sheetId="1" sqref="AB76" start="0" length="0">
    <dxf>
      <fill>
        <patternFill patternType="solid">
          <bgColor rgb="FF92D050"/>
        </patternFill>
      </fill>
    </dxf>
  </rfmt>
  <rfmt sheetId="1" sqref="AC76" start="0" length="0">
    <dxf>
      <fill>
        <patternFill patternType="solid">
          <bgColor rgb="FF92D050"/>
        </patternFill>
      </fill>
    </dxf>
  </rfmt>
  <rfmt sheetId="1" sqref="AD76" start="0" length="0">
    <dxf>
      <fill>
        <patternFill patternType="solid">
          <bgColor rgb="FF92D050"/>
        </patternFill>
      </fill>
    </dxf>
  </rfmt>
  <rfmt sheetId="1" sqref="AE76" start="0" length="0">
    <dxf>
      <fill>
        <patternFill patternType="solid">
          <bgColor rgb="FF92D050"/>
        </patternFill>
      </fill>
    </dxf>
  </rfmt>
  <rfmt sheetId="1" sqref="AF76" start="0" length="0">
    <dxf>
      <fill>
        <patternFill patternType="solid">
          <bgColor rgb="FF92D050"/>
        </patternFill>
      </fill>
    </dxf>
  </rfmt>
  <rfmt sheetId="1" sqref="AG76" start="0" length="0">
    <dxf>
      <fill>
        <patternFill patternType="solid">
          <bgColor rgb="FF92D050"/>
        </patternFill>
      </fill>
    </dxf>
  </rfmt>
  <rfmt sheetId="1" sqref="AH76" start="0" length="0">
    <dxf>
      <fill>
        <patternFill patternType="solid">
          <bgColor rgb="FF92D050"/>
        </patternFill>
      </fill>
    </dxf>
  </rfmt>
  <rfmt sheetId="1" sqref="AI76" start="0" length="0">
    <dxf>
      <fill>
        <patternFill patternType="solid">
          <bgColor rgb="FF92D050"/>
        </patternFill>
      </fill>
    </dxf>
  </rfmt>
  <rfmt sheetId="1" sqref="AJ76" start="0" length="0">
    <dxf>
      <fill>
        <patternFill patternType="solid">
          <bgColor rgb="FF92D050"/>
        </patternFill>
      </fill>
    </dxf>
  </rfmt>
  <rfmt sheetId="1" sqref="AK76" start="0" length="0">
    <dxf>
      <fill>
        <patternFill patternType="solid">
          <bgColor rgb="FF92D050"/>
        </patternFill>
      </fill>
    </dxf>
  </rfmt>
  <rcc rId="2475" sId="1">
    <nc r="D76">
      <v>8</v>
    </nc>
  </rcc>
  <rcc rId="2476" sId="1">
    <nc r="E76" t="inlineStr">
      <is>
        <t>01/03 al 11/03/2026</t>
      </is>
    </nc>
  </rcc>
  <rcc rId="2477" sId="1" numFmtId="19">
    <nc r="F76">
      <v>46082</v>
    </nc>
  </rcc>
  <rcc rId="2478" sId="1" numFmtId="19">
    <nc r="G76">
      <v>46092</v>
    </nc>
  </rcc>
  <rcc rId="2479" sId="1">
    <nc r="M76">
      <f>+N76-H76</f>
    </nc>
  </rcc>
  <rcc rId="2480" sId="1">
    <nc r="N76">
      <f>2050+1300.04+1859+789+1031+770</f>
    </nc>
  </rcc>
  <rcc rId="2481" sId="1">
    <nc r="O76">
      <f>20+10</f>
    </nc>
  </rcc>
  <rcc rId="2482" sId="1">
    <nc r="Q76">
      <f>+P76+O76</f>
    </nc>
  </rcc>
  <rcc rId="2483" sId="1">
    <nc r="R76">
      <f>(N76/Q76)</f>
    </nc>
  </rcc>
  <rcc rId="2484" sId="1">
    <nc r="S76">
      <f>(('Costo por negocio'!$B$3-DATA!R76)*DATA!O76)+('Costo por negocio'!$C$3-DATA!R76)*DATA!P76</f>
    </nc>
  </rcc>
  <rcc rId="2485" sId="1" numFmtId="19">
    <nc r="T76">
      <v>46093</v>
    </nc>
  </rcc>
  <rcc rId="2486" sId="1">
    <nc r="U76" t="inlineStr">
      <is>
        <t>SI</t>
      </is>
    </nc>
  </rcc>
  <rcc rId="2487" sId="1">
    <nc r="V76" t="inlineStr">
      <is>
        <t>SI</t>
      </is>
    </nc>
  </rcc>
  <rcc rId="2488" sId="1">
    <nc r="W76" t="inlineStr">
      <is>
        <t>SI</t>
      </is>
    </nc>
  </rcc>
  <rcc rId="2489" sId="1">
    <nc r="Y76" t="inlineStr">
      <is>
        <t>ABK 2846</t>
      </is>
    </nc>
  </rcc>
  <rcv guid="{D015136D-255F-4042-9389-EB535F138010}" action="delete"/>
  <rdn rId="0" localSheetId="1" customView="1" name="Z_D015136D_255F_4042_9389_EB535F138010_.wvu.FilterData" hidden="1" oldHidden="1">
    <formula>DATA!$A$1:$AK$79</formula>
    <oldFormula>DATA!$A$1:$AK$79</oldFormula>
  </rdn>
  <rcv guid="{D015136D-255F-4042-9389-EB535F138010}" action="add"/>
</revisions>
</file>

<file path=xl/revisions/revisionLog1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91" sId="1">
    <nc r="B80" t="inlineStr">
      <is>
        <t>Ignacio Ceroni</t>
      </is>
    </nc>
  </rcc>
  <rcc rId="2492" sId="1">
    <nc r="C80">
      <v>3007</v>
    </nc>
  </rcc>
  <rcc rId="2493" sId="1">
    <nc r="D80">
      <v>4</v>
    </nc>
  </rcc>
  <rcc rId="2494" sId="1" numFmtId="34">
    <nc r="H80">
      <v>3000</v>
    </nc>
  </rcc>
  <rcc rId="2495" sId="1">
    <nc r="I80">
      <v>20</v>
    </nc>
  </rcc>
  <rcc rId="2496" sId="1">
    <nc r="K80" t="inlineStr">
      <is>
        <t>Alquiler</t>
      </is>
    </nc>
  </rcc>
  <rcc rId="2497" sId="1">
    <nc r="J80" t="inlineStr">
      <is>
        <t>Montevideo, Cerro Largo</t>
      </is>
    </nc>
  </rcc>
  <rcc rId="2498" sId="1">
    <nc r="E80" t="inlineStr">
      <is>
        <t>16/03 al 19/03/2026</t>
      </is>
    </nc>
  </rcc>
  <rcc rId="2499" sId="1" numFmtId="19">
    <nc r="F80">
      <v>46097</v>
    </nc>
  </rcc>
  <rcc rId="2500" sId="1" numFmtId="19">
    <nc r="G80">
      <v>46100</v>
    </nc>
  </rcc>
</revisions>
</file>

<file path=xl/revisions/revisionLog1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01" sId="1" numFmtId="34">
    <oc r="H80">
      <v>3000</v>
    </oc>
    <nc r="H80">
      <v>6000</v>
    </nc>
  </rcc>
  <rcc rId="2502" sId="1" numFmtId="34">
    <nc r="AF75">
      <v>15763</v>
    </nc>
  </rcc>
  <rcc rId="2503" sId="1" numFmtId="27">
    <nc r="AG75">
      <v>46092.746527777781</v>
    </nc>
  </rcc>
  <rcc rId="2504" sId="1">
    <nc r="AH75">
      <f>+AF75-AD75</f>
    </nc>
  </rcc>
</revisions>
</file>

<file path=xl/revisions/revisionLog1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05" sId="1" ref="A81:XFD81" action="deleteRow">
    <rfmt sheetId="1" xfDxf="1" sqref="A81:XFD81" start="0" length="0">
      <dxf>
        <font>
          <name val="Calibri"/>
          <scheme val="none"/>
        </font>
      </dxf>
    </rfmt>
    <rfmt sheetId="1" sqref="A81" start="0" length="0">
      <dxf>
        <fill>
          <patternFill patternType="solid">
            <bgColor rgb="FFFFFF00"/>
          </patternFill>
        </fill>
        <alignment horizontal="center" vertical="top" readingOrder="0"/>
        <border outline="0">
          <left style="thin">
            <color indexed="64"/>
          </left>
          <right style="thin">
            <color indexed="64"/>
          </right>
          <top style="thin">
            <color indexed="64"/>
          </top>
          <bottom style="thin">
            <color indexed="64"/>
          </bottom>
        </border>
      </dxf>
    </rfmt>
    <rfmt sheetId="1" sqref="B81" start="0" length="0">
      <dxf>
        <border outline="0">
          <left style="thin">
            <color indexed="64"/>
          </left>
          <right style="thin">
            <color indexed="64"/>
          </right>
          <top style="thin">
            <color indexed="64"/>
          </top>
          <bottom style="thin">
            <color indexed="64"/>
          </bottom>
        </border>
      </dxf>
    </rfmt>
    <rfmt sheetId="1" sqref="C81" start="0" length="0">
      <dxf>
        <border outline="0">
          <left style="thin">
            <color indexed="64"/>
          </left>
          <right style="thin">
            <color indexed="64"/>
          </right>
          <top style="thin">
            <color indexed="64"/>
          </top>
          <bottom style="thin">
            <color indexed="64"/>
          </bottom>
        </border>
      </dxf>
    </rfmt>
    <rfmt sheetId="1" sqref="D81" start="0" length="0">
      <dxf>
        <border outline="0">
          <left style="thin">
            <color indexed="64"/>
          </left>
          <right style="thin">
            <color indexed="64"/>
          </right>
          <top style="thin">
            <color indexed="64"/>
          </top>
          <bottom style="thin">
            <color indexed="64"/>
          </bottom>
        </border>
      </dxf>
    </rfmt>
    <rfmt sheetId="1" sqref="E81" start="0" length="0">
      <dxf>
        <border outline="0">
          <left style="thin">
            <color indexed="64"/>
          </left>
          <right style="thin">
            <color indexed="64"/>
          </right>
          <top style="thin">
            <color indexed="64"/>
          </top>
          <bottom style="thin">
            <color indexed="64"/>
          </bottom>
        </border>
      </dxf>
    </rfmt>
    <rfmt sheetId="1" sqref="F81" start="0" length="0">
      <dxf>
        <numFmt numFmtId="19" formatCode="dd/mm/yyyy"/>
        <border outline="0">
          <left style="thin">
            <color indexed="64"/>
          </left>
          <right style="thin">
            <color indexed="64"/>
          </right>
          <top style="thin">
            <color indexed="64"/>
          </top>
          <bottom style="thin">
            <color indexed="64"/>
          </bottom>
        </border>
      </dxf>
    </rfmt>
    <rfmt sheetId="1" sqref="G81" start="0" length="0">
      <dxf>
        <numFmt numFmtId="19" formatCode="dd/mm/yyyy"/>
        <border outline="0">
          <left style="thin">
            <color indexed="64"/>
          </left>
          <right style="thin">
            <color indexed="64"/>
          </right>
          <top style="thin">
            <color indexed="64"/>
          </top>
          <bottom style="thin">
            <color indexed="64"/>
          </bottom>
        </border>
      </dxf>
    </rfmt>
    <rfmt sheetId="1" sqref="H81" start="0" length="0">
      <dxf>
        <numFmt numFmtId="164" formatCode="_-* #,##0_-;\-* #,##0_-;_-* &quot;-&quot;??_-;_-@_-"/>
        <border outline="0">
          <left style="thin">
            <color indexed="64"/>
          </left>
          <right style="thin">
            <color indexed="64"/>
          </right>
          <top style="thin">
            <color indexed="64"/>
          </top>
          <bottom style="thin">
            <color indexed="64"/>
          </bottom>
        </border>
      </dxf>
    </rfmt>
    <rfmt sheetId="1" sqref="I81" start="0" length="0">
      <dxf>
        <border outline="0">
          <left style="thin">
            <color indexed="64"/>
          </left>
          <right style="thin">
            <color indexed="64"/>
          </right>
          <top style="thin">
            <color indexed="64"/>
          </top>
          <bottom style="thin">
            <color indexed="64"/>
          </bottom>
        </border>
      </dxf>
    </rfmt>
    <rfmt sheetId="1" sqref="J81" start="0" length="0">
      <dxf>
        <border outline="0">
          <left style="thin">
            <color indexed="64"/>
          </left>
          <right style="thin">
            <color indexed="64"/>
          </right>
          <top style="thin">
            <color indexed="64"/>
          </top>
          <bottom style="thin">
            <color indexed="64"/>
          </bottom>
        </border>
      </dxf>
    </rfmt>
    <rfmt sheetId="1" sqref="K81" start="0" length="0">
      <dxf>
        <border outline="0">
          <left style="thin">
            <color indexed="64"/>
          </left>
          <right style="thin">
            <color indexed="64"/>
          </right>
          <top style="thin">
            <color indexed="64"/>
          </top>
          <bottom style="thin">
            <color indexed="64"/>
          </bottom>
        </border>
      </dxf>
    </rfmt>
    <rfmt sheetId="1" sqref="L81" start="0" length="0">
      <dxf>
        <border outline="0">
          <left style="thin">
            <color indexed="64"/>
          </left>
          <right style="thin">
            <color indexed="64"/>
          </right>
          <top style="thin">
            <color indexed="64"/>
          </top>
          <bottom style="thin">
            <color indexed="64"/>
          </bottom>
        </border>
      </dxf>
    </rfmt>
    <rfmt sheetId="1" sqref="M81" start="0" length="0">
      <dxf>
        <numFmt numFmtId="35" formatCode="_-* #,##0.00_-;\-* #,##0.00_-;_-* &quot;-&quot;??_-;_-@_-"/>
        <border outline="0">
          <left style="thin">
            <color indexed="64"/>
          </left>
          <right style="thin">
            <color indexed="64"/>
          </right>
          <top style="thin">
            <color indexed="64"/>
          </top>
          <bottom style="thin">
            <color indexed="64"/>
          </bottom>
        </border>
      </dxf>
    </rfmt>
    <rfmt sheetId="1" sqref="N81" start="0" length="0">
      <dxf>
        <numFmt numFmtId="35" formatCode="_-* #,##0.00_-;\-* #,##0.00_-;_-* &quot;-&quot;??_-;_-@_-"/>
        <border outline="0">
          <left style="thin">
            <color indexed="64"/>
          </left>
          <right style="thin">
            <color indexed="64"/>
          </right>
          <top style="thin">
            <color indexed="64"/>
          </top>
          <bottom style="thin">
            <color indexed="64"/>
          </bottom>
        </border>
      </dxf>
    </rfmt>
    <rfmt sheetId="1" sqref="O81" start="0" length="0">
      <dxf>
        <numFmt numFmtId="164" formatCode="_-* #,##0_-;\-* #,##0_-;_-* &quot;-&quot;??_-;_-@_-"/>
        <border outline="0">
          <left style="thin">
            <color indexed="64"/>
          </left>
          <right style="thin">
            <color indexed="64"/>
          </right>
          <top style="thin">
            <color indexed="64"/>
          </top>
          <bottom style="thin">
            <color indexed="64"/>
          </bottom>
        </border>
      </dxf>
    </rfmt>
    <rfmt sheetId="1" sqref="P81" start="0" length="0">
      <dxf>
        <numFmt numFmtId="164" formatCode="_-* #,##0_-;\-* #,##0_-;_-* &quot;-&quot;??_-;_-@_-"/>
        <border outline="0">
          <left style="thin">
            <color indexed="64"/>
          </left>
          <right style="thin">
            <color indexed="64"/>
          </right>
          <top style="thin">
            <color indexed="64"/>
          </top>
          <bottom style="thin">
            <color indexed="64"/>
          </bottom>
        </border>
      </dxf>
    </rfmt>
    <rfmt sheetId="1" sqref="Q81" start="0" length="0">
      <dxf>
        <numFmt numFmtId="164" formatCode="_-* #,##0_-;\-* #,##0_-;_-* &quot;-&quot;??_-;_-@_-"/>
        <border outline="0">
          <left style="thin">
            <color indexed="64"/>
          </left>
          <right style="thin">
            <color indexed="64"/>
          </right>
          <top style="thin">
            <color indexed="64"/>
          </top>
          <bottom style="thin">
            <color indexed="64"/>
          </bottom>
        </border>
      </dxf>
    </rfmt>
    <rfmt sheetId="1" sqref="R81" start="0" length="0">
      <dxf>
        <numFmt numFmtId="35" formatCode="_-* #,##0.00_-;\-* #,##0.00_-;_-* &quot;-&quot;??_-;_-@_-"/>
        <border outline="0">
          <left style="thin">
            <color indexed="64"/>
          </left>
          <right style="thin">
            <color indexed="64"/>
          </right>
          <top style="thin">
            <color indexed="64"/>
          </top>
          <bottom style="thin">
            <color indexed="64"/>
          </bottom>
        </border>
      </dxf>
    </rfmt>
    <rfmt sheetId="1" sqref="S81" start="0" length="0">
      <dxf>
        <numFmt numFmtId="35" formatCode="_-* #,##0.00_-;\-* #,##0.00_-;_-* &quot;-&quot;??_-;_-@_-"/>
        <border outline="0">
          <left style="thin">
            <color indexed="64"/>
          </left>
          <right style="thin">
            <color indexed="64"/>
          </right>
          <top style="thin">
            <color indexed="64"/>
          </top>
          <bottom style="thin">
            <color indexed="64"/>
          </bottom>
        </border>
      </dxf>
    </rfmt>
    <rfmt sheetId="1" sqref="T81" start="0" length="0">
      <dxf>
        <numFmt numFmtId="19" formatCode="dd/mm/yyyy"/>
        <border outline="0">
          <left style="thin">
            <color indexed="64"/>
          </left>
          <right style="thin">
            <color indexed="64"/>
          </right>
          <top style="thin">
            <color indexed="64"/>
          </top>
          <bottom style="thin">
            <color indexed="64"/>
          </bottom>
        </border>
      </dxf>
    </rfmt>
    <rfmt sheetId="1" sqref="U81" start="0" length="0">
      <dxf>
        <border outline="0">
          <left style="thin">
            <color indexed="64"/>
          </left>
          <right style="thin">
            <color indexed="64"/>
          </right>
          <top style="thin">
            <color indexed="64"/>
          </top>
          <bottom style="thin">
            <color indexed="64"/>
          </bottom>
        </border>
      </dxf>
    </rfmt>
    <rfmt sheetId="1" sqref="V81" start="0" length="0">
      <dxf>
        <border outline="0">
          <left style="thin">
            <color indexed="64"/>
          </left>
          <right style="thin">
            <color indexed="64"/>
          </right>
          <top style="thin">
            <color indexed="64"/>
          </top>
          <bottom style="thin">
            <color indexed="64"/>
          </bottom>
        </border>
      </dxf>
    </rfmt>
    <rfmt sheetId="1" sqref="W81" start="0" length="0">
      <dxf>
        <border outline="0">
          <left style="thin">
            <color indexed="64"/>
          </left>
          <right style="thin">
            <color indexed="64"/>
          </right>
          <top style="thin">
            <color indexed="64"/>
          </top>
          <bottom style="thin">
            <color indexed="64"/>
          </bottom>
        </border>
      </dxf>
    </rfmt>
    <rfmt sheetId="1" sqref="X81" start="0" length="0">
      <dxf>
        <border outline="0">
          <left style="thin">
            <color indexed="64"/>
          </left>
          <right style="thin">
            <color indexed="64"/>
          </right>
          <top style="thin">
            <color indexed="64"/>
          </top>
          <bottom style="thin">
            <color indexed="64"/>
          </bottom>
        </border>
      </dxf>
    </rfmt>
    <rfmt sheetId="1" sqref="Y81" start="0" length="0">
      <dxf>
        <border outline="0">
          <left style="thin">
            <color indexed="64"/>
          </left>
          <right style="thin">
            <color indexed="64"/>
          </right>
          <top style="thin">
            <color indexed="64"/>
          </top>
          <bottom style="thin">
            <color indexed="64"/>
          </bottom>
        </border>
      </dxf>
    </rfmt>
    <rfmt sheetId="1" sqref="Z81" start="0" length="0">
      <dxf>
        <border outline="0">
          <left style="thin">
            <color indexed="64"/>
          </left>
          <right style="thin">
            <color indexed="64"/>
          </right>
          <top style="thin">
            <color indexed="64"/>
          </top>
          <bottom style="thin">
            <color indexed="64"/>
          </bottom>
        </border>
      </dxf>
    </rfmt>
    <rfmt sheetId="1" sqref="AA81" start="0" length="0">
      <dxf>
        <border outline="0">
          <left style="thin">
            <color indexed="64"/>
          </left>
          <right style="thin">
            <color indexed="64"/>
          </right>
          <top style="thin">
            <color indexed="64"/>
          </top>
          <bottom style="thin">
            <color indexed="64"/>
          </bottom>
        </border>
      </dxf>
    </rfmt>
    <rfmt sheetId="1" sqref="AB81" start="0" length="0">
      <dxf>
        <border outline="0">
          <left style="thin">
            <color indexed="64"/>
          </left>
          <right style="thin">
            <color indexed="64"/>
          </right>
          <top style="thin">
            <color indexed="64"/>
          </top>
          <bottom style="thin">
            <color indexed="64"/>
          </bottom>
        </border>
      </dxf>
    </rfmt>
    <rfmt sheetId="1" sqref="AC81" start="0" length="0">
      <dxf>
        <border outline="0">
          <left style="thin">
            <color indexed="64"/>
          </left>
          <right style="thin">
            <color indexed="64"/>
          </right>
          <top style="thin">
            <color indexed="64"/>
          </top>
          <bottom style="thin">
            <color indexed="64"/>
          </bottom>
        </border>
      </dxf>
    </rfmt>
    <rfmt sheetId="1" sqref="AD81" start="0" length="0">
      <dxf>
        <numFmt numFmtId="164" formatCode="_-* #,##0_-;\-* #,##0_-;_-* &quot;-&quot;??_-;_-@_-"/>
        <border outline="0">
          <left style="thin">
            <color indexed="64"/>
          </left>
          <right style="thin">
            <color indexed="64"/>
          </right>
          <top style="thin">
            <color indexed="64"/>
          </top>
          <bottom style="thin">
            <color indexed="64"/>
          </bottom>
        </border>
      </dxf>
    </rfmt>
    <rfmt sheetId="1" sqref="AE81" start="0" length="0">
      <dxf>
        <numFmt numFmtId="27" formatCode="dd/mm/yyyy\ h:mm"/>
        <border outline="0">
          <left style="thin">
            <color indexed="64"/>
          </left>
          <right style="thin">
            <color indexed="64"/>
          </right>
          <top style="thin">
            <color indexed="64"/>
          </top>
          <bottom style="thin">
            <color indexed="64"/>
          </bottom>
        </border>
      </dxf>
    </rfmt>
    <rfmt sheetId="1" sqref="AF81" start="0" length="0">
      <dxf>
        <numFmt numFmtId="164" formatCode="_-* #,##0_-;\-* #,##0_-;_-* &quot;-&quot;??_-;_-@_-"/>
        <border outline="0">
          <left style="thin">
            <color indexed="64"/>
          </left>
          <right style="thin">
            <color indexed="64"/>
          </right>
          <top style="thin">
            <color indexed="64"/>
          </top>
          <bottom style="thin">
            <color indexed="64"/>
          </bottom>
        </border>
      </dxf>
    </rfmt>
    <rfmt sheetId="1" sqref="AG81" start="0" length="0">
      <dxf>
        <numFmt numFmtId="27" formatCode="dd/mm/yyyy\ h:mm"/>
        <border outline="0">
          <left style="thin">
            <color indexed="64"/>
          </left>
          <right style="thin">
            <color indexed="64"/>
          </right>
          <top style="thin">
            <color indexed="64"/>
          </top>
          <bottom style="thin">
            <color indexed="64"/>
          </bottom>
        </border>
      </dxf>
    </rfmt>
    <rfmt sheetId="1" sqref="AH81" start="0" length="0">
      <dxf>
        <numFmt numFmtId="164" formatCode="_-* #,##0_-;\-* #,##0_-;_-* &quot;-&quot;??_-;_-@_-"/>
        <border outline="0">
          <left style="thin">
            <color indexed="64"/>
          </left>
          <right style="thin">
            <color indexed="64"/>
          </right>
          <top style="thin">
            <color indexed="64"/>
          </top>
          <bottom style="thin">
            <color indexed="64"/>
          </bottom>
        </border>
      </dxf>
    </rfmt>
    <rfmt sheetId="1" sqref="AI81" start="0" length="0">
      <dxf>
        <border outline="0">
          <left style="thin">
            <color indexed="64"/>
          </left>
          <right style="thin">
            <color indexed="64"/>
          </right>
          <top style="thin">
            <color indexed="64"/>
          </top>
          <bottom style="thin">
            <color indexed="64"/>
          </bottom>
        </border>
      </dxf>
    </rfmt>
    <rfmt sheetId="1" sqref="AJ81" start="0" length="0">
      <dxf>
        <border outline="0">
          <left style="thin">
            <color indexed="64"/>
          </left>
          <right style="thin">
            <color indexed="64"/>
          </right>
          <top style="thin">
            <color indexed="64"/>
          </top>
          <bottom style="thin">
            <color indexed="64"/>
          </bottom>
        </border>
      </dxf>
    </rfmt>
    <rfmt sheetId="1" sqref="AK81" start="0" length="0">
      <dxf>
        <border outline="0">
          <left style="thin">
            <color indexed="64"/>
          </left>
          <right style="thin">
            <color indexed="64"/>
          </right>
          <top style="thin">
            <color indexed="64"/>
          </top>
          <bottom style="thin">
            <color indexed="64"/>
          </bottom>
        </border>
      </dxf>
    </rfmt>
    <rfmt sheetId="1" sqref="AL81" start="0" length="0">
      <dxf/>
    </rfmt>
    <rfmt sheetId="1" sqref="AM81" start="0" length="0">
      <dxf>
        <numFmt numFmtId="1" formatCode="0"/>
      </dxf>
    </rfmt>
    <rfmt sheetId="1" sqref="AN81" start="0" length="0">
      <dxf>
        <numFmt numFmtId="1" formatCode="0"/>
      </dxf>
    </rfmt>
    <rfmt sheetId="1" sqref="AO81" start="0" length="0">
      <dxf/>
    </rfmt>
    <rfmt sheetId="1" sqref="AP81" start="0" length="0">
      <dxf/>
    </rfmt>
    <rfmt sheetId="1" sqref="AQ81" start="0" length="0">
      <dxf>
        <numFmt numFmtId="164" formatCode="_-* #,##0_-;\-* #,##0_-;_-* &quot;-&quot;??_-;_-@_-"/>
      </dxf>
    </rfmt>
    <rfmt sheetId="1" sqref="AR81" start="0" length="0">
      <dxf>
        <numFmt numFmtId="164" formatCode="_-* #,##0_-;\-* #,##0_-;_-* &quot;-&quot;??_-;_-@_-"/>
      </dxf>
    </rfmt>
    <rfmt sheetId="1" sqref="AS81" start="0" length="0">
      <dxf>
        <numFmt numFmtId="164" formatCode="_-* #,##0_-;\-* #,##0_-;_-* &quot;-&quot;??_-;_-@_-"/>
      </dxf>
    </rfmt>
    <rfmt sheetId="1" sqref="AT81" start="0" length="0">
      <dxf>
        <numFmt numFmtId="164" formatCode="_-* #,##0_-;\-* #,##0_-;_-* &quot;-&quot;??_-;_-@_-"/>
      </dxf>
    </rfmt>
    <rfmt sheetId="1" sqref="AU81" start="0" length="0">
      <dxf/>
    </rfmt>
    <rfmt sheetId="1" sqref="AV81" start="0" length="0">
      <dxf/>
    </rfmt>
    <rfmt sheetId="1" sqref="AW81" start="0" length="0">
      <dxf/>
    </rfmt>
    <rfmt sheetId="1" sqref="AX81" start="0" length="0">
      <dxf/>
    </rfmt>
    <rfmt sheetId="1" sqref="AY81" start="0" length="0">
      <dxf/>
    </rfmt>
  </rrc>
  <rrc rId="2506" sId="1" ref="A81:XFD81" action="deleteRow">
    <rfmt sheetId="1" xfDxf="1" sqref="A81:XFD81" start="0" length="0">
      <dxf>
        <font>
          <name val="Calibri"/>
          <scheme val="none"/>
        </font>
      </dxf>
    </rfmt>
    <rfmt sheetId="1" sqref="A81" start="0" length="0">
      <dxf>
        <fill>
          <patternFill patternType="solid">
            <bgColor rgb="FFFFFF00"/>
          </patternFill>
        </fill>
        <alignment horizontal="center" vertical="top" readingOrder="0"/>
        <border outline="0">
          <left style="thin">
            <color indexed="64"/>
          </left>
          <right style="thin">
            <color indexed="64"/>
          </right>
          <top style="thin">
            <color indexed="64"/>
          </top>
          <bottom style="thin">
            <color indexed="64"/>
          </bottom>
        </border>
      </dxf>
    </rfmt>
    <rfmt sheetId="1" sqref="B81" start="0" length="0">
      <dxf>
        <border outline="0">
          <left style="thin">
            <color indexed="64"/>
          </left>
          <right style="thin">
            <color indexed="64"/>
          </right>
          <top style="thin">
            <color indexed="64"/>
          </top>
          <bottom style="thin">
            <color indexed="64"/>
          </bottom>
        </border>
      </dxf>
    </rfmt>
    <rfmt sheetId="1" sqref="C81" start="0" length="0">
      <dxf>
        <border outline="0">
          <left style="thin">
            <color indexed="64"/>
          </left>
          <right style="thin">
            <color indexed="64"/>
          </right>
          <top style="thin">
            <color indexed="64"/>
          </top>
          <bottom style="thin">
            <color indexed="64"/>
          </bottom>
        </border>
      </dxf>
    </rfmt>
    <rfmt sheetId="1" sqref="D81" start="0" length="0">
      <dxf>
        <border outline="0">
          <left style="thin">
            <color indexed="64"/>
          </left>
          <right style="thin">
            <color indexed="64"/>
          </right>
          <top style="thin">
            <color indexed="64"/>
          </top>
          <bottom style="thin">
            <color indexed="64"/>
          </bottom>
        </border>
      </dxf>
    </rfmt>
    <rfmt sheetId="1" sqref="E81" start="0" length="0">
      <dxf>
        <border outline="0">
          <left style="thin">
            <color indexed="64"/>
          </left>
          <right style="thin">
            <color indexed="64"/>
          </right>
          <top style="thin">
            <color indexed="64"/>
          </top>
          <bottom style="thin">
            <color indexed="64"/>
          </bottom>
        </border>
      </dxf>
    </rfmt>
    <rfmt sheetId="1" sqref="F81" start="0" length="0">
      <dxf>
        <numFmt numFmtId="19" formatCode="dd/mm/yyyy"/>
        <border outline="0">
          <left style="thin">
            <color indexed="64"/>
          </left>
          <right style="thin">
            <color indexed="64"/>
          </right>
          <top style="thin">
            <color indexed="64"/>
          </top>
          <bottom style="thin">
            <color indexed="64"/>
          </bottom>
        </border>
      </dxf>
    </rfmt>
    <rfmt sheetId="1" sqref="G81" start="0" length="0">
      <dxf>
        <numFmt numFmtId="19" formatCode="dd/mm/yyyy"/>
        <border outline="0">
          <left style="thin">
            <color indexed="64"/>
          </left>
          <right style="thin">
            <color indexed="64"/>
          </right>
          <top style="thin">
            <color indexed="64"/>
          </top>
          <bottom style="thin">
            <color indexed="64"/>
          </bottom>
        </border>
      </dxf>
    </rfmt>
    <rfmt sheetId="1" sqref="H81" start="0" length="0">
      <dxf>
        <numFmt numFmtId="164" formatCode="_-* #,##0_-;\-* #,##0_-;_-* &quot;-&quot;??_-;_-@_-"/>
        <border outline="0">
          <left style="thin">
            <color indexed="64"/>
          </left>
          <right style="thin">
            <color indexed="64"/>
          </right>
          <top style="thin">
            <color indexed="64"/>
          </top>
          <bottom style="thin">
            <color indexed="64"/>
          </bottom>
        </border>
      </dxf>
    </rfmt>
    <rfmt sheetId="1" sqref="I81" start="0" length="0">
      <dxf>
        <border outline="0">
          <left style="thin">
            <color indexed="64"/>
          </left>
          <right style="thin">
            <color indexed="64"/>
          </right>
          <top style="thin">
            <color indexed="64"/>
          </top>
          <bottom style="thin">
            <color indexed="64"/>
          </bottom>
        </border>
      </dxf>
    </rfmt>
    <rfmt sheetId="1" sqref="J81" start="0" length="0">
      <dxf>
        <border outline="0">
          <left style="thin">
            <color indexed="64"/>
          </left>
          <right style="thin">
            <color indexed="64"/>
          </right>
          <top style="thin">
            <color indexed="64"/>
          </top>
          <bottom style="thin">
            <color indexed="64"/>
          </bottom>
        </border>
      </dxf>
    </rfmt>
    <rfmt sheetId="1" sqref="K81" start="0" length="0">
      <dxf>
        <border outline="0">
          <left style="thin">
            <color indexed="64"/>
          </left>
          <right style="thin">
            <color indexed="64"/>
          </right>
          <top style="thin">
            <color indexed="64"/>
          </top>
          <bottom style="thin">
            <color indexed="64"/>
          </bottom>
        </border>
      </dxf>
    </rfmt>
    <rfmt sheetId="1" sqref="L81" start="0" length="0">
      <dxf>
        <border outline="0">
          <left style="thin">
            <color indexed="64"/>
          </left>
          <right style="thin">
            <color indexed="64"/>
          </right>
          <top style="thin">
            <color indexed="64"/>
          </top>
          <bottom style="thin">
            <color indexed="64"/>
          </bottom>
        </border>
      </dxf>
    </rfmt>
    <rfmt sheetId="1" sqref="M81" start="0" length="0">
      <dxf>
        <numFmt numFmtId="35" formatCode="_-* #,##0.00_-;\-* #,##0.00_-;_-* &quot;-&quot;??_-;_-@_-"/>
        <border outline="0">
          <left style="thin">
            <color indexed="64"/>
          </left>
          <right style="thin">
            <color indexed="64"/>
          </right>
          <top style="thin">
            <color indexed="64"/>
          </top>
          <bottom style="thin">
            <color indexed="64"/>
          </bottom>
        </border>
      </dxf>
    </rfmt>
    <rfmt sheetId="1" sqref="N81" start="0" length="0">
      <dxf>
        <numFmt numFmtId="35" formatCode="_-* #,##0.00_-;\-* #,##0.00_-;_-* &quot;-&quot;??_-;_-@_-"/>
        <border outline="0">
          <left style="thin">
            <color indexed="64"/>
          </left>
          <right style="thin">
            <color indexed="64"/>
          </right>
          <top style="thin">
            <color indexed="64"/>
          </top>
          <bottom style="thin">
            <color indexed="64"/>
          </bottom>
        </border>
      </dxf>
    </rfmt>
    <rfmt sheetId="1" sqref="O81" start="0" length="0">
      <dxf>
        <numFmt numFmtId="164" formatCode="_-* #,##0_-;\-* #,##0_-;_-* &quot;-&quot;??_-;_-@_-"/>
        <border outline="0">
          <left style="thin">
            <color indexed="64"/>
          </left>
          <right style="thin">
            <color indexed="64"/>
          </right>
          <top style="thin">
            <color indexed="64"/>
          </top>
          <bottom style="thin">
            <color indexed="64"/>
          </bottom>
        </border>
      </dxf>
    </rfmt>
    <rfmt sheetId="1" sqref="P81" start="0" length="0">
      <dxf>
        <numFmt numFmtId="164" formatCode="_-* #,##0_-;\-* #,##0_-;_-* &quot;-&quot;??_-;_-@_-"/>
        <border outline="0">
          <left style="thin">
            <color indexed="64"/>
          </left>
          <right style="thin">
            <color indexed="64"/>
          </right>
          <top style="thin">
            <color indexed="64"/>
          </top>
          <bottom style="thin">
            <color indexed="64"/>
          </bottom>
        </border>
      </dxf>
    </rfmt>
    <rfmt sheetId="1" sqref="Q81" start="0" length="0">
      <dxf>
        <numFmt numFmtId="164" formatCode="_-* #,##0_-;\-* #,##0_-;_-* &quot;-&quot;??_-;_-@_-"/>
        <border outline="0">
          <left style="thin">
            <color indexed="64"/>
          </left>
          <right style="thin">
            <color indexed="64"/>
          </right>
          <top style="thin">
            <color indexed="64"/>
          </top>
          <bottom style="thin">
            <color indexed="64"/>
          </bottom>
        </border>
      </dxf>
    </rfmt>
    <rfmt sheetId="1" sqref="R81" start="0" length="0">
      <dxf>
        <numFmt numFmtId="35" formatCode="_-* #,##0.00_-;\-* #,##0.00_-;_-* &quot;-&quot;??_-;_-@_-"/>
        <border outline="0">
          <left style="thin">
            <color indexed="64"/>
          </left>
          <right style="thin">
            <color indexed="64"/>
          </right>
          <top style="thin">
            <color indexed="64"/>
          </top>
          <bottom style="thin">
            <color indexed="64"/>
          </bottom>
        </border>
      </dxf>
    </rfmt>
    <rfmt sheetId="1" sqref="S81" start="0" length="0">
      <dxf>
        <numFmt numFmtId="35" formatCode="_-* #,##0.00_-;\-* #,##0.00_-;_-* &quot;-&quot;??_-;_-@_-"/>
        <border outline="0">
          <left style="thin">
            <color indexed="64"/>
          </left>
          <right style="thin">
            <color indexed="64"/>
          </right>
          <top style="thin">
            <color indexed="64"/>
          </top>
          <bottom style="thin">
            <color indexed="64"/>
          </bottom>
        </border>
      </dxf>
    </rfmt>
    <rfmt sheetId="1" sqref="T81" start="0" length="0">
      <dxf>
        <numFmt numFmtId="19" formatCode="dd/mm/yyyy"/>
        <border outline="0">
          <left style="thin">
            <color indexed="64"/>
          </left>
          <right style="thin">
            <color indexed="64"/>
          </right>
          <top style="thin">
            <color indexed="64"/>
          </top>
          <bottom style="thin">
            <color indexed="64"/>
          </bottom>
        </border>
      </dxf>
    </rfmt>
    <rfmt sheetId="1" sqref="U81" start="0" length="0">
      <dxf>
        <border outline="0">
          <left style="thin">
            <color indexed="64"/>
          </left>
          <right style="thin">
            <color indexed="64"/>
          </right>
          <top style="thin">
            <color indexed="64"/>
          </top>
          <bottom style="thin">
            <color indexed="64"/>
          </bottom>
        </border>
      </dxf>
    </rfmt>
    <rfmt sheetId="1" sqref="V81" start="0" length="0">
      <dxf>
        <border outline="0">
          <left style="thin">
            <color indexed="64"/>
          </left>
          <right style="thin">
            <color indexed="64"/>
          </right>
          <top style="thin">
            <color indexed="64"/>
          </top>
          <bottom style="thin">
            <color indexed="64"/>
          </bottom>
        </border>
      </dxf>
    </rfmt>
    <rfmt sheetId="1" sqref="W81" start="0" length="0">
      <dxf>
        <border outline="0">
          <left style="thin">
            <color indexed="64"/>
          </left>
          <right style="thin">
            <color indexed="64"/>
          </right>
          <top style="thin">
            <color indexed="64"/>
          </top>
          <bottom style="thin">
            <color indexed="64"/>
          </bottom>
        </border>
      </dxf>
    </rfmt>
    <rfmt sheetId="1" sqref="X81" start="0" length="0">
      <dxf>
        <border outline="0">
          <left style="thin">
            <color indexed="64"/>
          </left>
          <right style="thin">
            <color indexed="64"/>
          </right>
          <top style="thin">
            <color indexed="64"/>
          </top>
          <bottom style="thin">
            <color indexed="64"/>
          </bottom>
        </border>
      </dxf>
    </rfmt>
    <rfmt sheetId="1" sqref="Y81" start="0" length="0">
      <dxf>
        <border outline="0">
          <left style="thin">
            <color indexed="64"/>
          </left>
          <right style="thin">
            <color indexed="64"/>
          </right>
          <top style="thin">
            <color indexed="64"/>
          </top>
          <bottom style="thin">
            <color indexed="64"/>
          </bottom>
        </border>
      </dxf>
    </rfmt>
    <rfmt sheetId="1" sqref="Z81" start="0" length="0">
      <dxf>
        <border outline="0">
          <left style="thin">
            <color indexed="64"/>
          </left>
          <right style="thin">
            <color indexed="64"/>
          </right>
          <top style="thin">
            <color indexed="64"/>
          </top>
          <bottom style="thin">
            <color indexed="64"/>
          </bottom>
        </border>
      </dxf>
    </rfmt>
    <rfmt sheetId="1" sqref="AA81" start="0" length="0">
      <dxf>
        <border outline="0">
          <left style="thin">
            <color indexed="64"/>
          </left>
          <right style="thin">
            <color indexed="64"/>
          </right>
          <top style="thin">
            <color indexed="64"/>
          </top>
          <bottom style="thin">
            <color indexed="64"/>
          </bottom>
        </border>
      </dxf>
    </rfmt>
    <rfmt sheetId="1" sqref="AB81" start="0" length="0">
      <dxf>
        <border outline="0">
          <left style="thin">
            <color indexed="64"/>
          </left>
          <right style="thin">
            <color indexed="64"/>
          </right>
          <top style="thin">
            <color indexed="64"/>
          </top>
          <bottom style="thin">
            <color indexed="64"/>
          </bottom>
        </border>
      </dxf>
    </rfmt>
    <rfmt sheetId="1" sqref="AC81" start="0" length="0">
      <dxf>
        <border outline="0">
          <left style="thin">
            <color indexed="64"/>
          </left>
          <right style="thin">
            <color indexed="64"/>
          </right>
          <top style="thin">
            <color indexed="64"/>
          </top>
          <bottom style="thin">
            <color indexed="64"/>
          </bottom>
        </border>
      </dxf>
    </rfmt>
    <rfmt sheetId="1" sqref="AD81" start="0" length="0">
      <dxf>
        <numFmt numFmtId="164" formatCode="_-* #,##0_-;\-* #,##0_-;_-* &quot;-&quot;??_-;_-@_-"/>
        <border outline="0">
          <left style="thin">
            <color indexed="64"/>
          </left>
          <right style="thin">
            <color indexed="64"/>
          </right>
          <top style="thin">
            <color indexed="64"/>
          </top>
          <bottom style="thin">
            <color indexed="64"/>
          </bottom>
        </border>
      </dxf>
    </rfmt>
    <rfmt sheetId="1" sqref="AE81" start="0" length="0">
      <dxf>
        <numFmt numFmtId="27" formatCode="dd/mm/yyyy\ h:mm"/>
        <border outline="0">
          <left style="thin">
            <color indexed="64"/>
          </left>
          <right style="thin">
            <color indexed="64"/>
          </right>
          <top style="thin">
            <color indexed="64"/>
          </top>
          <bottom style="thin">
            <color indexed="64"/>
          </bottom>
        </border>
      </dxf>
    </rfmt>
    <rfmt sheetId="1" sqref="AF81" start="0" length="0">
      <dxf>
        <numFmt numFmtId="164" formatCode="_-* #,##0_-;\-* #,##0_-;_-* &quot;-&quot;??_-;_-@_-"/>
        <border outline="0">
          <left style="thin">
            <color indexed="64"/>
          </left>
          <right style="thin">
            <color indexed="64"/>
          </right>
          <top style="thin">
            <color indexed="64"/>
          </top>
          <bottom style="thin">
            <color indexed="64"/>
          </bottom>
        </border>
      </dxf>
    </rfmt>
    <rfmt sheetId="1" sqref="AG81" start="0" length="0">
      <dxf>
        <numFmt numFmtId="27" formatCode="dd/mm/yyyy\ h:mm"/>
        <border outline="0">
          <left style="thin">
            <color indexed="64"/>
          </left>
          <right style="thin">
            <color indexed="64"/>
          </right>
          <top style="thin">
            <color indexed="64"/>
          </top>
          <bottom style="thin">
            <color indexed="64"/>
          </bottom>
        </border>
      </dxf>
    </rfmt>
    <rfmt sheetId="1" sqref="AH81" start="0" length="0">
      <dxf>
        <numFmt numFmtId="164" formatCode="_-* #,##0_-;\-* #,##0_-;_-* &quot;-&quot;??_-;_-@_-"/>
        <border outline="0">
          <left style="thin">
            <color indexed="64"/>
          </left>
          <right style="thin">
            <color indexed="64"/>
          </right>
          <top style="thin">
            <color indexed="64"/>
          </top>
          <bottom style="thin">
            <color indexed="64"/>
          </bottom>
        </border>
      </dxf>
    </rfmt>
    <rfmt sheetId="1" sqref="AI81" start="0" length="0">
      <dxf>
        <border outline="0">
          <left style="thin">
            <color indexed="64"/>
          </left>
          <right style="thin">
            <color indexed="64"/>
          </right>
          <top style="thin">
            <color indexed="64"/>
          </top>
          <bottom style="thin">
            <color indexed="64"/>
          </bottom>
        </border>
      </dxf>
    </rfmt>
    <rfmt sheetId="1" sqref="AJ81" start="0" length="0">
      <dxf>
        <border outline="0">
          <left style="thin">
            <color indexed="64"/>
          </left>
          <right style="thin">
            <color indexed="64"/>
          </right>
          <top style="thin">
            <color indexed="64"/>
          </top>
          <bottom style="thin">
            <color indexed="64"/>
          </bottom>
        </border>
      </dxf>
    </rfmt>
    <rfmt sheetId="1" sqref="AK81" start="0" length="0">
      <dxf>
        <border outline="0">
          <left style="thin">
            <color indexed="64"/>
          </left>
          <right style="thin">
            <color indexed="64"/>
          </right>
          <top style="thin">
            <color indexed="64"/>
          </top>
          <bottom style="thin">
            <color indexed="64"/>
          </bottom>
        </border>
      </dxf>
    </rfmt>
    <rfmt sheetId="1" sqref="AL81" start="0" length="0">
      <dxf/>
    </rfmt>
    <rfmt sheetId="1" sqref="AM81" start="0" length="0">
      <dxf>
        <numFmt numFmtId="1" formatCode="0"/>
      </dxf>
    </rfmt>
    <rfmt sheetId="1" sqref="AN81" start="0" length="0">
      <dxf>
        <numFmt numFmtId="1" formatCode="0"/>
      </dxf>
    </rfmt>
    <rfmt sheetId="1" sqref="AO81" start="0" length="0">
      <dxf/>
    </rfmt>
    <rfmt sheetId="1" sqref="AP81" start="0" length="0">
      <dxf/>
    </rfmt>
    <rfmt sheetId="1" sqref="AQ81" start="0" length="0">
      <dxf>
        <numFmt numFmtId="164" formatCode="_-* #,##0_-;\-* #,##0_-;_-* &quot;-&quot;??_-;_-@_-"/>
      </dxf>
    </rfmt>
    <rfmt sheetId="1" sqref="AR81" start="0" length="0">
      <dxf>
        <numFmt numFmtId="164" formatCode="_-* #,##0_-;\-* #,##0_-;_-* &quot;-&quot;??_-;_-@_-"/>
      </dxf>
    </rfmt>
    <rfmt sheetId="1" sqref="AS81" start="0" length="0">
      <dxf>
        <numFmt numFmtId="164" formatCode="_-* #,##0_-;\-* #,##0_-;_-* &quot;-&quot;??_-;_-@_-"/>
      </dxf>
    </rfmt>
    <rfmt sheetId="1" sqref="AT81" start="0" length="0">
      <dxf>
        <numFmt numFmtId="164" formatCode="_-* #,##0_-;\-* #,##0_-;_-* &quot;-&quot;??_-;_-@_-"/>
      </dxf>
    </rfmt>
    <rfmt sheetId="1" sqref="AU81" start="0" length="0">
      <dxf/>
    </rfmt>
    <rfmt sheetId="1" sqref="AV81" start="0" length="0">
      <dxf/>
    </rfmt>
    <rfmt sheetId="1" sqref="AW81" start="0" length="0">
      <dxf/>
    </rfmt>
    <rfmt sheetId="1" sqref="AX81" start="0" length="0">
      <dxf/>
    </rfmt>
    <rfmt sheetId="1" sqref="AY81" start="0" length="0">
      <dxf/>
    </rfmt>
  </rrc>
  <rrc rId="2507" sId="1" ref="A81:XFD81" action="deleteRow">
    <rfmt sheetId="1" xfDxf="1" sqref="A81:XFD81" start="0" length="0">
      <dxf>
        <font>
          <name val="Calibri"/>
          <scheme val="none"/>
        </font>
      </dxf>
    </rfmt>
    <rfmt sheetId="1" sqref="A81" start="0" length="0">
      <dxf>
        <fill>
          <patternFill patternType="solid">
            <bgColor rgb="FFFFFF00"/>
          </patternFill>
        </fill>
        <alignment horizontal="center" vertical="top" readingOrder="0"/>
        <border outline="0">
          <left style="thin">
            <color indexed="64"/>
          </left>
          <right style="thin">
            <color indexed="64"/>
          </right>
          <top style="thin">
            <color indexed="64"/>
          </top>
          <bottom style="thin">
            <color indexed="64"/>
          </bottom>
        </border>
      </dxf>
    </rfmt>
    <rfmt sheetId="1" sqref="B81" start="0" length="0">
      <dxf>
        <border outline="0">
          <left style="thin">
            <color indexed="64"/>
          </left>
          <right style="thin">
            <color indexed="64"/>
          </right>
          <top style="thin">
            <color indexed="64"/>
          </top>
          <bottom style="thin">
            <color indexed="64"/>
          </bottom>
        </border>
      </dxf>
    </rfmt>
    <rfmt sheetId="1" sqref="C81" start="0" length="0">
      <dxf>
        <border outline="0">
          <left style="thin">
            <color indexed="64"/>
          </left>
          <right style="thin">
            <color indexed="64"/>
          </right>
          <top style="thin">
            <color indexed="64"/>
          </top>
          <bottom style="thin">
            <color indexed="64"/>
          </bottom>
        </border>
      </dxf>
    </rfmt>
    <rfmt sheetId="1" sqref="D81" start="0" length="0">
      <dxf>
        <border outline="0">
          <left style="thin">
            <color indexed="64"/>
          </left>
          <right style="thin">
            <color indexed="64"/>
          </right>
          <top style="thin">
            <color indexed="64"/>
          </top>
          <bottom style="thin">
            <color indexed="64"/>
          </bottom>
        </border>
      </dxf>
    </rfmt>
    <rfmt sheetId="1" sqref="E81" start="0" length="0">
      <dxf>
        <border outline="0">
          <left style="thin">
            <color indexed="64"/>
          </left>
          <right style="thin">
            <color indexed="64"/>
          </right>
          <top style="thin">
            <color indexed="64"/>
          </top>
          <bottom style="thin">
            <color indexed="64"/>
          </bottom>
        </border>
      </dxf>
    </rfmt>
    <rfmt sheetId="1" sqref="F81" start="0" length="0">
      <dxf>
        <numFmt numFmtId="19" formatCode="dd/mm/yyyy"/>
        <border outline="0">
          <left style="thin">
            <color indexed="64"/>
          </left>
          <right style="thin">
            <color indexed="64"/>
          </right>
          <top style="thin">
            <color indexed="64"/>
          </top>
          <bottom style="thin">
            <color indexed="64"/>
          </bottom>
        </border>
      </dxf>
    </rfmt>
    <rfmt sheetId="1" sqref="G81" start="0" length="0">
      <dxf>
        <numFmt numFmtId="19" formatCode="dd/mm/yyyy"/>
        <border outline="0">
          <left style="thin">
            <color indexed="64"/>
          </left>
          <right style="thin">
            <color indexed="64"/>
          </right>
          <top style="thin">
            <color indexed="64"/>
          </top>
          <bottom style="thin">
            <color indexed="64"/>
          </bottom>
        </border>
      </dxf>
    </rfmt>
    <rfmt sheetId="1" sqref="H81" start="0" length="0">
      <dxf>
        <numFmt numFmtId="164" formatCode="_-* #,##0_-;\-* #,##0_-;_-* &quot;-&quot;??_-;_-@_-"/>
        <border outline="0">
          <left style="thin">
            <color indexed="64"/>
          </left>
          <right style="thin">
            <color indexed="64"/>
          </right>
          <top style="thin">
            <color indexed="64"/>
          </top>
          <bottom style="thin">
            <color indexed="64"/>
          </bottom>
        </border>
      </dxf>
    </rfmt>
    <rfmt sheetId="1" sqref="I81" start="0" length="0">
      <dxf>
        <border outline="0">
          <left style="thin">
            <color indexed="64"/>
          </left>
          <right style="thin">
            <color indexed="64"/>
          </right>
          <top style="thin">
            <color indexed="64"/>
          </top>
          <bottom style="thin">
            <color indexed="64"/>
          </bottom>
        </border>
      </dxf>
    </rfmt>
    <rfmt sheetId="1" sqref="J81" start="0" length="0">
      <dxf>
        <border outline="0">
          <left style="thin">
            <color indexed="64"/>
          </left>
          <right style="thin">
            <color indexed="64"/>
          </right>
          <top style="thin">
            <color indexed="64"/>
          </top>
          <bottom style="thin">
            <color indexed="64"/>
          </bottom>
        </border>
      </dxf>
    </rfmt>
    <rfmt sheetId="1" sqref="K81" start="0" length="0">
      <dxf>
        <border outline="0">
          <left style="thin">
            <color indexed="64"/>
          </left>
          <right style="thin">
            <color indexed="64"/>
          </right>
          <top style="thin">
            <color indexed="64"/>
          </top>
          <bottom style="thin">
            <color indexed="64"/>
          </bottom>
        </border>
      </dxf>
    </rfmt>
    <rfmt sheetId="1" sqref="L81" start="0" length="0">
      <dxf>
        <border outline="0">
          <left style="thin">
            <color indexed="64"/>
          </left>
          <right style="thin">
            <color indexed="64"/>
          </right>
          <top style="thin">
            <color indexed="64"/>
          </top>
          <bottom style="thin">
            <color indexed="64"/>
          </bottom>
        </border>
      </dxf>
    </rfmt>
    <rfmt sheetId="1" sqref="M81" start="0" length="0">
      <dxf>
        <numFmt numFmtId="35" formatCode="_-* #,##0.00_-;\-* #,##0.00_-;_-* &quot;-&quot;??_-;_-@_-"/>
        <border outline="0">
          <left style="thin">
            <color indexed="64"/>
          </left>
          <right style="thin">
            <color indexed="64"/>
          </right>
          <top style="thin">
            <color indexed="64"/>
          </top>
          <bottom style="thin">
            <color indexed="64"/>
          </bottom>
        </border>
      </dxf>
    </rfmt>
    <rfmt sheetId="1" sqref="N81" start="0" length="0">
      <dxf>
        <numFmt numFmtId="35" formatCode="_-* #,##0.00_-;\-* #,##0.00_-;_-* &quot;-&quot;??_-;_-@_-"/>
        <border outline="0">
          <left style="thin">
            <color indexed="64"/>
          </left>
          <right style="thin">
            <color indexed="64"/>
          </right>
          <top style="thin">
            <color indexed="64"/>
          </top>
          <bottom style="thin">
            <color indexed="64"/>
          </bottom>
        </border>
      </dxf>
    </rfmt>
    <rfmt sheetId="1" sqref="O81" start="0" length="0">
      <dxf>
        <numFmt numFmtId="164" formatCode="_-* #,##0_-;\-* #,##0_-;_-* &quot;-&quot;??_-;_-@_-"/>
        <border outline="0">
          <left style="thin">
            <color indexed="64"/>
          </left>
          <right style="thin">
            <color indexed="64"/>
          </right>
          <top style="thin">
            <color indexed="64"/>
          </top>
          <bottom style="thin">
            <color indexed="64"/>
          </bottom>
        </border>
      </dxf>
    </rfmt>
    <rfmt sheetId="1" sqref="P81" start="0" length="0">
      <dxf>
        <numFmt numFmtId="164" formatCode="_-* #,##0_-;\-* #,##0_-;_-* &quot;-&quot;??_-;_-@_-"/>
        <border outline="0">
          <left style="thin">
            <color indexed="64"/>
          </left>
          <right style="thin">
            <color indexed="64"/>
          </right>
          <top style="thin">
            <color indexed="64"/>
          </top>
          <bottom style="thin">
            <color indexed="64"/>
          </bottom>
        </border>
      </dxf>
    </rfmt>
    <rfmt sheetId="1" sqref="Q81" start="0" length="0">
      <dxf>
        <numFmt numFmtId="164" formatCode="_-* #,##0_-;\-* #,##0_-;_-* &quot;-&quot;??_-;_-@_-"/>
        <border outline="0">
          <left style="thin">
            <color indexed="64"/>
          </left>
          <right style="thin">
            <color indexed="64"/>
          </right>
          <top style="thin">
            <color indexed="64"/>
          </top>
          <bottom style="thin">
            <color indexed="64"/>
          </bottom>
        </border>
      </dxf>
    </rfmt>
    <rfmt sheetId="1" sqref="R81" start="0" length="0">
      <dxf>
        <numFmt numFmtId="35" formatCode="_-* #,##0.00_-;\-* #,##0.00_-;_-* &quot;-&quot;??_-;_-@_-"/>
        <border outline="0">
          <left style="thin">
            <color indexed="64"/>
          </left>
          <right style="thin">
            <color indexed="64"/>
          </right>
          <top style="thin">
            <color indexed="64"/>
          </top>
          <bottom style="thin">
            <color indexed="64"/>
          </bottom>
        </border>
      </dxf>
    </rfmt>
    <rfmt sheetId="1" sqref="S81" start="0" length="0">
      <dxf>
        <numFmt numFmtId="35" formatCode="_-* #,##0.00_-;\-* #,##0.00_-;_-* &quot;-&quot;??_-;_-@_-"/>
        <border outline="0">
          <left style="thin">
            <color indexed="64"/>
          </left>
          <right style="thin">
            <color indexed="64"/>
          </right>
          <top style="thin">
            <color indexed="64"/>
          </top>
          <bottom style="thin">
            <color indexed="64"/>
          </bottom>
        </border>
      </dxf>
    </rfmt>
    <rfmt sheetId="1" sqref="T81" start="0" length="0">
      <dxf>
        <numFmt numFmtId="19" formatCode="dd/mm/yyyy"/>
        <border outline="0">
          <left style="thin">
            <color indexed="64"/>
          </left>
          <right style="thin">
            <color indexed="64"/>
          </right>
          <top style="thin">
            <color indexed="64"/>
          </top>
          <bottom style="thin">
            <color indexed="64"/>
          </bottom>
        </border>
      </dxf>
    </rfmt>
    <rfmt sheetId="1" sqref="U81" start="0" length="0">
      <dxf>
        <border outline="0">
          <left style="thin">
            <color indexed="64"/>
          </left>
          <right style="thin">
            <color indexed="64"/>
          </right>
          <top style="thin">
            <color indexed="64"/>
          </top>
          <bottom style="thin">
            <color indexed="64"/>
          </bottom>
        </border>
      </dxf>
    </rfmt>
    <rfmt sheetId="1" sqref="V81" start="0" length="0">
      <dxf>
        <border outline="0">
          <left style="thin">
            <color indexed="64"/>
          </left>
          <right style="thin">
            <color indexed="64"/>
          </right>
          <top style="thin">
            <color indexed="64"/>
          </top>
          <bottom style="thin">
            <color indexed="64"/>
          </bottom>
        </border>
      </dxf>
    </rfmt>
    <rfmt sheetId="1" sqref="W81" start="0" length="0">
      <dxf>
        <border outline="0">
          <left style="thin">
            <color indexed="64"/>
          </left>
          <right style="thin">
            <color indexed="64"/>
          </right>
          <top style="thin">
            <color indexed="64"/>
          </top>
          <bottom style="thin">
            <color indexed="64"/>
          </bottom>
        </border>
      </dxf>
    </rfmt>
    <rfmt sheetId="1" sqref="X81" start="0" length="0">
      <dxf>
        <border outline="0">
          <left style="thin">
            <color indexed="64"/>
          </left>
          <right style="thin">
            <color indexed="64"/>
          </right>
          <top style="thin">
            <color indexed="64"/>
          </top>
          <bottom style="thin">
            <color indexed="64"/>
          </bottom>
        </border>
      </dxf>
    </rfmt>
    <rfmt sheetId="1" sqref="Y81" start="0" length="0">
      <dxf>
        <border outline="0">
          <left style="thin">
            <color indexed="64"/>
          </left>
          <right style="thin">
            <color indexed="64"/>
          </right>
          <top style="thin">
            <color indexed="64"/>
          </top>
          <bottom style="thin">
            <color indexed="64"/>
          </bottom>
        </border>
      </dxf>
    </rfmt>
    <rfmt sheetId="1" sqref="Z81" start="0" length="0">
      <dxf>
        <border outline="0">
          <left style="thin">
            <color indexed="64"/>
          </left>
          <right style="thin">
            <color indexed="64"/>
          </right>
          <top style="thin">
            <color indexed="64"/>
          </top>
          <bottom style="thin">
            <color indexed="64"/>
          </bottom>
        </border>
      </dxf>
    </rfmt>
    <rfmt sheetId="1" sqref="AA81" start="0" length="0">
      <dxf>
        <border outline="0">
          <left style="thin">
            <color indexed="64"/>
          </left>
          <right style="thin">
            <color indexed="64"/>
          </right>
          <top style="thin">
            <color indexed="64"/>
          </top>
          <bottom style="thin">
            <color indexed="64"/>
          </bottom>
        </border>
      </dxf>
    </rfmt>
    <rfmt sheetId="1" sqref="AB81" start="0" length="0">
      <dxf>
        <border outline="0">
          <left style="thin">
            <color indexed="64"/>
          </left>
          <right style="thin">
            <color indexed="64"/>
          </right>
          <top style="thin">
            <color indexed="64"/>
          </top>
          <bottom style="thin">
            <color indexed="64"/>
          </bottom>
        </border>
      </dxf>
    </rfmt>
    <rfmt sheetId="1" sqref="AC81" start="0" length="0">
      <dxf>
        <border outline="0">
          <left style="thin">
            <color indexed="64"/>
          </left>
          <right style="thin">
            <color indexed="64"/>
          </right>
          <top style="thin">
            <color indexed="64"/>
          </top>
          <bottom style="thin">
            <color indexed="64"/>
          </bottom>
        </border>
      </dxf>
    </rfmt>
    <rfmt sheetId="1" sqref="AD81" start="0" length="0">
      <dxf>
        <numFmt numFmtId="164" formatCode="_-* #,##0_-;\-* #,##0_-;_-* &quot;-&quot;??_-;_-@_-"/>
        <border outline="0">
          <left style="thin">
            <color indexed="64"/>
          </left>
          <right style="thin">
            <color indexed="64"/>
          </right>
          <top style="thin">
            <color indexed="64"/>
          </top>
          <bottom style="thin">
            <color indexed="64"/>
          </bottom>
        </border>
      </dxf>
    </rfmt>
    <rfmt sheetId="1" sqref="AE81" start="0" length="0">
      <dxf>
        <numFmt numFmtId="27" formatCode="dd/mm/yyyy\ h:mm"/>
        <border outline="0">
          <left style="thin">
            <color indexed="64"/>
          </left>
          <right style="thin">
            <color indexed="64"/>
          </right>
          <top style="thin">
            <color indexed="64"/>
          </top>
          <bottom style="thin">
            <color indexed="64"/>
          </bottom>
        </border>
      </dxf>
    </rfmt>
    <rfmt sheetId="1" sqref="AF81" start="0" length="0">
      <dxf>
        <numFmt numFmtId="164" formatCode="_-* #,##0_-;\-* #,##0_-;_-* &quot;-&quot;??_-;_-@_-"/>
        <border outline="0">
          <left style="thin">
            <color indexed="64"/>
          </left>
          <right style="thin">
            <color indexed="64"/>
          </right>
          <top style="thin">
            <color indexed="64"/>
          </top>
          <bottom style="thin">
            <color indexed="64"/>
          </bottom>
        </border>
      </dxf>
    </rfmt>
    <rfmt sheetId="1" sqref="AG81" start="0" length="0">
      <dxf>
        <numFmt numFmtId="27" formatCode="dd/mm/yyyy\ h:mm"/>
        <border outline="0">
          <left style="thin">
            <color indexed="64"/>
          </left>
          <right style="thin">
            <color indexed="64"/>
          </right>
          <top style="thin">
            <color indexed="64"/>
          </top>
          <bottom style="thin">
            <color indexed="64"/>
          </bottom>
        </border>
      </dxf>
    </rfmt>
    <rfmt sheetId="1" sqref="AH81" start="0" length="0">
      <dxf>
        <numFmt numFmtId="164" formatCode="_-* #,##0_-;\-* #,##0_-;_-* &quot;-&quot;??_-;_-@_-"/>
        <border outline="0">
          <left style="thin">
            <color indexed="64"/>
          </left>
          <right style="thin">
            <color indexed="64"/>
          </right>
          <top style="thin">
            <color indexed="64"/>
          </top>
          <bottom style="thin">
            <color indexed="64"/>
          </bottom>
        </border>
      </dxf>
    </rfmt>
    <rfmt sheetId="1" sqref="AI81" start="0" length="0">
      <dxf>
        <border outline="0">
          <left style="thin">
            <color indexed="64"/>
          </left>
          <right style="thin">
            <color indexed="64"/>
          </right>
          <top style="thin">
            <color indexed="64"/>
          </top>
          <bottom style="thin">
            <color indexed="64"/>
          </bottom>
        </border>
      </dxf>
    </rfmt>
    <rfmt sheetId="1" sqref="AJ81" start="0" length="0">
      <dxf>
        <border outline="0">
          <left style="thin">
            <color indexed="64"/>
          </left>
          <right style="thin">
            <color indexed="64"/>
          </right>
          <top style="thin">
            <color indexed="64"/>
          </top>
          <bottom style="thin">
            <color indexed="64"/>
          </bottom>
        </border>
      </dxf>
    </rfmt>
    <rfmt sheetId="1" sqref="AK81" start="0" length="0">
      <dxf>
        <border outline="0">
          <left style="thin">
            <color indexed="64"/>
          </left>
          <right style="thin">
            <color indexed="64"/>
          </right>
          <top style="thin">
            <color indexed="64"/>
          </top>
          <bottom style="thin">
            <color indexed="64"/>
          </bottom>
        </border>
      </dxf>
    </rfmt>
    <rfmt sheetId="1" sqref="AL81" start="0" length="0">
      <dxf/>
    </rfmt>
    <rfmt sheetId="1" sqref="AM81" start="0" length="0">
      <dxf>
        <numFmt numFmtId="1" formatCode="0"/>
      </dxf>
    </rfmt>
    <rfmt sheetId="1" sqref="AN81" start="0" length="0">
      <dxf>
        <numFmt numFmtId="1" formatCode="0"/>
      </dxf>
    </rfmt>
    <rfmt sheetId="1" sqref="AO81" start="0" length="0">
      <dxf/>
    </rfmt>
    <rfmt sheetId="1" sqref="AP81" start="0" length="0">
      <dxf/>
    </rfmt>
    <rfmt sheetId="1" sqref="AQ81" start="0" length="0">
      <dxf>
        <numFmt numFmtId="164" formatCode="_-* #,##0_-;\-* #,##0_-;_-* &quot;-&quot;??_-;_-@_-"/>
      </dxf>
    </rfmt>
    <rfmt sheetId="1" sqref="AR81" start="0" length="0">
      <dxf>
        <numFmt numFmtId="164" formatCode="_-* #,##0_-;\-* #,##0_-;_-* &quot;-&quot;??_-;_-@_-"/>
      </dxf>
    </rfmt>
    <rfmt sheetId="1" sqref="AS81" start="0" length="0">
      <dxf>
        <numFmt numFmtId="164" formatCode="_-* #,##0_-;\-* #,##0_-;_-* &quot;-&quot;??_-;_-@_-"/>
      </dxf>
    </rfmt>
    <rfmt sheetId="1" sqref="AT81" start="0" length="0">
      <dxf>
        <numFmt numFmtId="164" formatCode="_-* #,##0_-;\-* #,##0_-;_-* &quot;-&quot;??_-;_-@_-"/>
      </dxf>
    </rfmt>
    <rfmt sheetId="1" sqref="AU81" start="0" length="0">
      <dxf/>
    </rfmt>
    <rfmt sheetId="1" sqref="AV81" start="0" length="0">
      <dxf/>
    </rfmt>
    <rfmt sheetId="1" sqref="AW81" start="0" length="0">
      <dxf/>
    </rfmt>
    <rfmt sheetId="1" sqref="AX81" start="0" length="0">
      <dxf/>
    </rfmt>
    <rfmt sheetId="1" sqref="AY81" start="0" length="0">
      <dxf/>
    </rfmt>
  </rrc>
  <rcc rId="2508" sId="1">
    <nc r="A77">
      <v>76</v>
    </nc>
  </rcc>
  <rcc rId="2509" sId="1">
    <nc r="A78">
      <v>77</v>
    </nc>
  </rcc>
  <rcc rId="2510" sId="1">
    <nc r="A79">
      <v>78</v>
    </nc>
  </rcc>
  <rcc rId="2511" sId="1">
    <nc r="A80">
      <v>79</v>
    </nc>
  </rcc>
  <rcc rId="2512" sId="1">
    <nc r="A81">
      <v>80</v>
    </nc>
  </rcc>
  <rfmt sheetId="1" sqref="A77:A81">
    <dxf>
      <fill>
        <patternFill patternType="none">
          <bgColor auto="1"/>
        </patternFill>
      </fill>
    </dxf>
  </rfmt>
  <rcc rId="2513" sId="1" numFmtId="34">
    <nc r="H81">
      <v>8000</v>
    </nc>
  </rcc>
  <rcc rId="2514" sId="1">
    <nc r="I81">
      <v>31</v>
    </nc>
  </rcc>
  <rcv guid="{D015136D-255F-4042-9389-EB535F138010}" action="delete"/>
  <rdn rId="0" localSheetId="1" customView="1" name="Z_D015136D_255F_4042_9389_EB535F138010_.wvu.FilterData" hidden="1" oldHidden="1">
    <formula>DATA!$A$1:$AK$80</formula>
    <oldFormula>DATA!$A$1:$AK$79</oldFormula>
  </rdn>
  <rcv guid="{D015136D-255F-4042-9389-EB535F138010}" action="add"/>
</revisions>
</file>

<file path=xl/revisions/revisionLog1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DATA!$A$1:$AK$80</formula>
    <oldFormula>DATA!$A$1:$AK$80</oldFormula>
  </rdn>
  <rcv guid="{D015136D-255F-4042-9389-EB535F138010}" action="add"/>
</revisions>
</file>

<file path=xl/revisions/revisionLog1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17" sId="1">
    <nc r="M60">
      <f>+N60-H60</f>
    </nc>
  </rcc>
  <rcc rId="2518" sId="1">
    <nc r="N60">
      <f>1024.6+3500</f>
    </nc>
  </rcc>
  <rcc rId="2519" sId="1" numFmtId="34">
    <nc r="O60">
      <v>11</v>
    </nc>
  </rcc>
  <rcc rId="2520" sId="1">
    <nc r="Q60">
      <f>+P60+O60</f>
    </nc>
  </rcc>
  <rcc rId="2521" sId="1">
    <nc r="R60">
      <f>(N60/Q60)</f>
    </nc>
  </rcc>
  <rcc rId="2522" sId="1">
    <nc r="S60">
      <f>(('Costo por negocio'!$B$3-DATA!R60)*DATA!O60)+('Costo por negocio'!$C$3-DATA!R60)*DATA!P60</f>
    </nc>
  </rcc>
  <rcc rId="2523" sId="1" numFmtId="19">
    <nc r="T60">
      <v>46093</v>
    </nc>
  </rcc>
  <rcc rId="2524" sId="1">
    <nc r="U60" t="inlineStr">
      <is>
        <t>SI</t>
      </is>
    </nc>
  </rcc>
  <rcc rId="2525" sId="1">
    <nc r="V60" t="inlineStr">
      <is>
        <t>SI</t>
      </is>
    </nc>
  </rcc>
  <rcc rId="2526" sId="1">
    <nc r="W60" t="inlineStr">
      <is>
        <t>SI</t>
      </is>
    </nc>
  </rcc>
  <rcc rId="2527" sId="1">
    <nc r="Y60" t="inlineStr">
      <is>
        <t>BEB 8417</t>
      </is>
    </nc>
  </rcc>
  <rcc rId="2528" sId="1" numFmtId="34">
    <nc r="AD60">
      <v>78212</v>
    </nc>
  </rcc>
  <rcc rId="2529" sId="1" numFmtId="27">
    <nc r="AE60">
      <v>46083.708333333336</v>
    </nc>
  </rcc>
  <rcc rId="2530" sId="1" numFmtId="34">
    <nc r="AF60">
      <v>79101</v>
    </nc>
  </rcc>
  <rcc rId="2531" sId="1">
    <nc r="AH60">
      <f>+AF60-AD60</f>
    </nc>
  </rcc>
  <rcc rId="2532" sId="1" numFmtId="27">
    <nc r="AG60">
      <v>46087.708333333336</v>
    </nc>
  </rcc>
  <rcc rId="2533" sId="1">
    <nc r="AI60">
      <v>3</v>
    </nc>
  </rcc>
  <rcc rId="2534" sId="1">
    <nc r="AJ60">
      <f>+AI60*5</f>
    </nc>
  </rcc>
  <rcc rId="2535" sId="1">
    <nc r="AK60">
      <f>+Q60-AJ60</f>
    </nc>
  </rcc>
  <rcc rId="2536" sId="1">
    <nc r="AM60">
      <f>+AH60/Q60</f>
    </nc>
  </rcc>
  <rcc rId="2537" sId="1">
    <nc r="AN60">
      <f>+Q60/AI60</f>
    </nc>
  </rcc>
  <rcc rId="2538" sId="1">
    <nc r="AQ60">
      <f>+N60/78.54</f>
    </nc>
  </rcc>
  <rcc rId="2539" sId="1">
    <nc r="AR60">
      <f>+AH60/11</f>
    </nc>
  </rcc>
  <rcc rId="2540" sId="1">
    <nc r="AS60">
      <f>+AR60-AQ60</f>
    </nc>
  </rcc>
  <rcc rId="2541" sId="1">
    <nc r="AT60">
      <f>+AH60/AQ60</f>
    </nc>
  </rcc>
  <rfmt sheetId="1" sqref="A60:AK60">
    <dxf>
      <fill>
        <patternFill patternType="solid">
          <bgColor rgb="FF92D050"/>
        </patternFill>
      </fill>
    </dxf>
  </rfmt>
  <rcv guid="{D015136D-255F-4042-9389-EB535F138010}" action="delete"/>
  <rdn rId="0" localSheetId="1" customView="1" name="Z_D015136D_255F_4042_9389_EB535F138010_.wvu.FilterData" hidden="1" oldHidden="1">
    <formula>DATA!$A$1:$AK$80</formula>
    <oldFormula>DATA!$A$1:$AK$80</oldFormula>
  </rdn>
  <rcv guid="{D015136D-255F-4042-9389-EB535F138010}" action="add"/>
</revisions>
</file>

<file path=xl/revisions/revisionLog1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43" sId="1">
    <nc r="M69">
      <f>+N69-H69</f>
    </nc>
  </rcc>
  <rcc rId="2544" sId="1">
    <nc r="N69">
      <f>2671+2100.1</f>
    </nc>
  </rcc>
  <rcc rId="2545" sId="1">
    <nc r="P69">
      <f>20+2</f>
    </nc>
  </rcc>
  <rcc rId="2546" sId="1">
    <nc r="Q69">
      <f>+P69+O69</f>
    </nc>
  </rcc>
  <rcc rId="2547" sId="1">
    <nc r="R69">
      <f>(N69/Q69)</f>
    </nc>
  </rcc>
  <rcc rId="2548" sId="1">
    <nc r="S69">
      <f>(('Costo por negocio'!$B$3-DATA!R69)*DATA!O69)+('Costo por negocio'!$C$3-DATA!R69)*DATA!P69</f>
    </nc>
  </rcc>
  <rcc rId="2549" sId="1" numFmtId="19">
    <nc r="T69">
      <v>46093</v>
    </nc>
  </rcc>
  <rcc rId="2550" sId="1">
    <nc r="U69" t="inlineStr">
      <is>
        <t>SI</t>
      </is>
    </nc>
  </rcc>
  <rcc rId="2551" sId="1">
    <nc r="V69" t="inlineStr">
      <is>
        <t>SI</t>
      </is>
    </nc>
  </rcc>
  <rcc rId="2552" sId="1">
    <nc r="W69" t="inlineStr">
      <is>
        <t>SI</t>
      </is>
    </nc>
  </rcc>
  <rcv guid="{D015136D-255F-4042-9389-EB535F138010}" action="delete"/>
  <rdn rId="0" localSheetId="1" customView="1" name="Z_D015136D_255F_4042_9389_EB535F138010_.wvu.FilterData" hidden="1" oldHidden="1">
    <formula>DATA!$A$1:$AK$80</formula>
    <oldFormula>DATA!$A$1:$AK$80</oldFormula>
  </rdn>
  <rcv guid="{D015136D-255F-4042-9389-EB535F138010}" action="add"/>
</revisions>
</file>

<file path=xl/revisions/revisionLog1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54" sId="1">
    <nc r="Y69" t="inlineStr">
      <is>
        <t>BEC 5530</t>
      </is>
    </nc>
  </rcc>
  <rcc rId="2555" sId="1" numFmtId="34">
    <nc r="AD69">
      <v>91037</v>
    </nc>
  </rcc>
  <rcc rId="2556" sId="1" numFmtId="27">
    <nc r="AE69">
      <v>46090.666666666664</v>
    </nc>
  </rcc>
  <rcc rId="2557" sId="1" numFmtId="34">
    <nc r="AF69">
      <v>91822</v>
    </nc>
  </rcc>
  <rcc rId="2558" sId="1" numFmtId="27">
    <nc r="AG69">
      <v>46093.375</v>
    </nc>
  </rcc>
  <rcc rId="2559" sId="1">
    <nc r="AH69">
      <f>+AF69-AD69</f>
    </nc>
  </rcc>
  <rcc rId="2560" sId="1">
    <nc r="AI69">
      <v>3</v>
    </nc>
  </rcc>
  <rcc rId="2561" sId="1">
    <nc r="AJ69">
      <f>+AI69*5</f>
    </nc>
  </rcc>
  <rcc rId="2562" sId="1">
    <nc r="AK69">
      <f>+Q69-AJ69</f>
    </nc>
  </rcc>
  <rcc rId="2563" sId="1">
    <nc r="AM69">
      <f>+AH69/Q69</f>
    </nc>
  </rcc>
  <rcc rId="2564" sId="1">
    <nc r="AN69">
      <f>+Q69/AI69</f>
    </nc>
  </rcc>
  <rcc rId="2565" sId="1">
    <nc r="AQ69">
      <f>+N69/78.54</f>
    </nc>
  </rcc>
  <rcc rId="2566" sId="1">
    <nc r="AR69">
      <f>+AH69/11</f>
    </nc>
  </rcc>
  <rcc rId="2567" sId="1">
    <nc r="AS69">
      <f>+AR69-AQ69</f>
    </nc>
  </rcc>
  <rcc rId="2568" sId="1">
    <nc r="AT69">
      <f>+AH69/AQ69</f>
    </nc>
  </rcc>
  <rfmt sheetId="1" sqref="A69:AK69">
    <dxf>
      <fill>
        <patternFill patternType="solid">
          <bgColor rgb="FF92D050"/>
        </patternFill>
      </fill>
    </dxf>
  </rfmt>
  <rcv guid="{D015136D-255F-4042-9389-EB535F138010}" action="delete"/>
  <rdn rId="0" localSheetId="1" customView="1" name="Z_D015136D_255F_4042_9389_EB535F138010_.wvu.FilterData" hidden="1" oldHidden="1">
    <formula>DATA!$A$1:$AK$80</formula>
    <oldFormula>DATA!$A$1:$AK$80</oldFormula>
  </rdn>
  <rcv guid="{D015136D-255F-4042-9389-EB535F138010}" action="add"/>
</revisions>
</file>

<file path=xl/revisions/revisionLog1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70" sId="1">
    <nc r="M67">
      <f>+N67-H67</f>
    </nc>
  </rcc>
  <rcc rId="2571" sId="1">
    <nc r="N67">
      <f>1700.4+2100.1</f>
    </nc>
  </rcc>
  <rcc rId="2572" sId="1" numFmtId="34">
    <nc r="P67">
      <v>9</v>
    </nc>
  </rcc>
  <rcc rId="2573" sId="1">
    <nc r="Q67">
      <f>+P67+O67</f>
    </nc>
  </rcc>
  <rcc rId="2574" sId="1">
    <nc r="R67">
      <f>(N67/Q67)</f>
    </nc>
  </rcc>
  <rcc rId="2575" sId="1">
    <nc r="S67">
      <f>(('Costo por negocio'!$B$3-DATA!R67)*DATA!O67)+('Costo por negocio'!$C$3-DATA!R67)*DATA!P67</f>
    </nc>
  </rcc>
  <rcc rId="2576" sId="1" numFmtId="19">
    <nc r="T67">
      <v>46093</v>
    </nc>
  </rcc>
  <rcc rId="2577" sId="1">
    <nc r="U67" t="inlineStr">
      <is>
        <t>SI</t>
      </is>
    </nc>
  </rcc>
  <rcc rId="2578" sId="1">
    <nc r="V67" t="inlineStr">
      <is>
        <t>SI</t>
      </is>
    </nc>
  </rcc>
  <rcc rId="2579" sId="1">
    <nc r="W67" t="inlineStr">
      <is>
        <t>SI</t>
      </is>
    </nc>
  </rcc>
  <rcc rId="2580" sId="1">
    <nc r="Y67" t="inlineStr">
      <is>
        <t>BEC 5473</t>
      </is>
    </nc>
  </rcc>
  <rcc rId="2581" sId="1" numFmtId="34">
    <nc r="AD67">
      <v>88518</v>
    </nc>
  </rcc>
  <rcc rId="2582" sId="1" numFmtId="27">
    <nc r="AE67">
      <v>46090.708333333336</v>
    </nc>
  </rcc>
  <rcc rId="2583" sId="1" numFmtId="34">
    <nc r="AF67">
      <v>89125</v>
    </nc>
  </rcc>
  <rcc rId="2584" sId="1" numFmtId="27">
    <nc r="AG67">
      <v>46094.381249999999</v>
    </nc>
  </rcc>
  <rcc rId="2585" sId="1">
    <nc r="AH67">
      <f>+AF67-AD67</f>
    </nc>
  </rcc>
  <rcc rId="2586" sId="1">
    <nc r="AI67">
      <v>3</v>
    </nc>
  </rcc>
  <rcc rId="2587" sId="1">
    <nc r="AJ67">
      <f>+AI67*5</f>
    </nc>
  </rcc>
  <rcc rId="2588" sId="1">
    <nc r="AK67">
      <f>+Q67-AJ67</f>
    </nc>
  </rcc>
  <rcc rId="2589" sId="1">
    <nc r="AM67">
      <f>+AH67/Q67</f>
    </nc>
  </rcc>
  <rcc rId="2590" sId="1">
    <nc r="AN67">
      <f>+Q67/AI67</f>
    </nc>
  </rcc>
  <rcc rId="2591" sId="1">
    <nc r="AQ67">
      <f>+N67/78.54</f>
    </nc>
  </rcc>
  <rcc rId="2592" sId="1">
    <nc r="AR67">
      <f>+AH67/11</f>
    </nc>
  </rcc>
  <rcc rId="2593" sId="1">
    <nc r="AS67">
      <f>+AR67-AQ67</f>
    </nc>
  </rcc>
  <rcc rId="2594" sId="1">
    <nc r="AT67">
      <f>+AH67/AQ67</f>
    </nc>
  </rcc>
  <rfmt sheetId="1" sqref="A67:AK67">
    <dxf>
      <fill>
        <patternFill patternType="solid">
          <bgColor rgb="FF92D050"/>
        </patternFill>
      </fill>
    </dxf>
  </rfmt>
  <rcv guid="{D015136D-255F-4042-9389-EB535F138010}" action="delete"/>
  <rdn rId="0" localSheetId="1" customView="1" name="Z_D015136D_255F_4042_9389_EB535F138010_.wvu.FilterData" hidden="1" oldHidden="1">
    <formula>DATA!$A$1:$AK$80</formula>
    <oldFormula>DATA!$A$1:$AK$80</oldFormula>
  </rdn>
  <rcv guid="{D015136D-255F-4042-9389-EB535F138010}" action="add"/>
</revisions>
</file>

<file path=xl/revisions/revisionLog1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96" sId="1">
    <nc r="M68">
      <f>+N68-H68</f>
    </nc>
  </rcc>
  <rcc rId="2597" sId="1" numFmtId="34">
    <nc r="N68">
      <v>2521</v>
    </nc>
  </rcc>
  <rcc rId="2598" sId="1">
    <nc r="O68">
      <f>7+6</f>
    </nc>
  </rcc>
  <rcc rId="2599" sId="1">
    <nc r="Q68">
      <f>+P68+O68</f>
    </nc>
  </rcc>
  <rcc rId="2600" sId="1">
    <nc r="R68">
      <f>(N68/Q68)</f>
    </nc>
  </rcc>
  <rcc rId="2601" sId="1">
    <nc r="S68">
      <f>(('Costo por negocio'!$B$3-DATA!R68)*DATA!O68)+('Costo por negocio'!$C$3-DATA!R68)*DATA!P68</f>
    </nc>
  </rcc>
  <rcc rId="2602" sId="1" numFmtId="19">
    <nc r="T68">
      <v>46093</v>
    </nc>
  </rcc>
  <rcc rId="2603" sId="1">
    <nc r="U68" t="inlineStr">
      <is>
        <t>SI</t>
      </is>
    </nc>
  </rcc>
  <rcc rId="2604" sId="1">
    <nc r="V68" t="inlineStr">
      <is>
        <t>SI</t>
      </is>
    </nc>
  </rcc>
  <rcc rId="2605" sId="1">
    <nc r="W68" t="inlineStr">
      <is>
        <t>SI</t>
      </is>
    </nc>
  </rcc>
  <rcc rId="2606" sId="1">
    <nc r="Y68" t="inlineStr">
      <is>
        <t>BAB 3608</t>
      </is>
    </nc>
  </rcc>
  <rcc rId="2607" sId="1" numFmtId="34">
    <nc r="AD68">
      <v>73410</v>
    </nc>
  </rcc>
  <rcc rId="2608" sId="1" numFmtId="27">
    <nc r="AE68">
      <v>46091.4375</v>
    </nc>
  </rcc>
  <rcc rId="2609" sId="1" numFmtId="34">
    <nc r="AF68">
      <v>74034</v>
    </nc>
  </rcc>
  <rcc rId="2610" sId="1" numFmtId="27">
    <nc r="AG68">
      <v>46094.378472222219</v>
    </nc>
  </rcc>
  <rcc rId="2611" sId="1">
    <nc r="AH68">
      <f>+AF68-AD68</f>
    </nc>
  </rcc>
  <rcc rId="2612" sId="1">
    <nc r="AI68">
      <v>3</v>
    </nc>
  </rcc>
  <rcc rId="2613" sId="1">
    <nc r="AJ68">
      <f>+AI68*5</f>
    </nc>
  </rcc>
  <rcc rId="2614" sId="1">
    <nc r="AK68">
      <f>+Q68-AJ68</f>
    </nc>
  </rcc>
  <rcc rId="2615" sId="1">
    <nc r="AM68">
      <f>+AH68/Q68</f>
    </nc>
  </rcc>
  <rcc rId="2616" sId="1">
    <nc r="AN68">
      <f>+Q68/AI68</f>
    </nc>
  </rcc>
  <rcc rId="2617" sId="1">
    <nc r="AQ68">
      <f>+N68/78.54</f>
    </nc>
  </rcc>
  <rcc rId="2618" sId="1">
    <nc r="AR68">
      <f>+AH68/11</f>
    </nc>
  </rcc>
  <rcc rId="2619" sId="1">
    <nc r="AS68">
      <f>+AR68-AQ68</f>
    </nc>
  </rcc>
  <rcc rId="2620" sId="1">
    <nc r="AT68">
      <f>+AH68/AQ68</f>
    </nc>
  </rcc>
  <rfmt sheetId="1" sqref="A68:AK68">
    <dxf>
      <fill>
        <patternFill patternType="solid">
          <bgColor rgb="FF92D050"/>
        </patternFill>
      </fill>
    </dxf>
  </rfmt>
  <rcv guid="{D015136D-255F-4042-9389-EB535F138010}" action="delete"/>
  <rdn rId="0" localSheetId="1" customView="1" name="Z_D015136D_255F_4042_9389_EB535F138010_.wvu.FilterData" hidden="1" oldHidden="1">
    <formula>DATA!$A$1:$AK$80</formula>
    <oldFormula>DATA!$A$1:$AK$80</oldFormula>
  </rdn>
  <rcv guid="{D015136D-255F-4042-9389-EB535F138010}" action="add"/>
</revisions>
</file>

<file path=xl/revisions/revisionLog1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22" sId="1">
    <nc r="M71">
      <f>+N71-H71</f>
    </nc>
  </rcc>
  <rcc rId="2623" sId="1">
    <nc r="N71">
      <f>2800+1360.55</f>
    </nc>
  </rcc>
  <rcc rId="2624" sId="1">
    <nc r="O71">
      <f>7+12</f>
    </nc>
  </rcc>
  <rcc rId="2625" sId="1">
    <nc r="P71">
      <f>13+2</f>
    </nc>
  </rcc>
  <rcc rId="2626" sId="1">
    <nc r="Q71">
      <f>+P71+O71</f>
    </nc>
  </rcc>
  <rcc rId="2627" sId="1">
    <nc r="R71">
      <f>(N71/Q71)</f>
    </nc>
  </rcc>
  <rcc rId="2628" sId="1">
    <nc r="S71">
      <f>(('Costo por negocio'!$B$3-DATA!R71)*DATA!O71)+('Costo por negocio'!$C$3-DATA!R71)*DATA!P71</f>
    </nc>
  </rcc>
  <rcc rId="2629" sId="1">
    <nc r="U71" t="inlineStr">
      <is>
        <t>SI</t>
      </is>
    </nc>
  </rcc>
  <rcc rId="2630" sId="1">
    <nc r="V71" t="inlineStr">
      <is>
        <t>SI</t>
      </is>
    </nc>
  </rcc>
  <rcc rId="2631" sId="1">
    <nc r="W71" t="inlineStr">
      <is>
        <t>SI</t>
      </is>
    </nc>
  </rcc>
  <rcc rId="2632" sId="1" numFmtId="19">
    <nc r="T71">
      <v>46094</v>
    </nc>
  </rcc>
  <rcc rId="2633" sId="1">
    <nc r="Y71" t="inlineStr">
      <is>
        <t>BEC 5531</t>
      </is>
    </nc>
  </rcc>
  <rcc rId="2634" sId="1" numFmtId="34">
    <nc r="AD71">
      <v>71550</v>
    </nc>
  </rcc>
  <rcc rId="2635" sId="1" numFmtId="27">
    <nc r="AE71">
      <v>46090.375</v>
    </nc>
  </rcc>
  <rcc rId="2636" sId="1" numFmtId="34">
    <nc r="AF71">
      <v>72231</v>
    </nc>
  </rcc>
  <rcc rId="2637" sId="1" numFmtId="27">
    <nc r="AG71">
      <v>46094.396527777775</v>
    </nc>
  </rcc>
  <rcc rId="2638" sId="1">
    <nc r="AH71">
      <f>+AF71-AD71</f>
    </nc>
  </rcc>
  <rcc rId="2639" sId="1">
    <nc r="AJ71">
      <f>+AI71*5</f>
    </nc>
  </rcc>
  <rcc rId="2640" sId="1">
    <nc r="AK71">
      <f>+Q71-AJ71</f>
    </nc>
  </rcc>
  <rcc rId="2641" sId="1">
    <nc r="AM71">
      <f>+AH71/Q71</f>
    </nc>
  </rcc>
  <rcc rId="2642" sId="1">
    <nc r="AN71">
      <f>+Q71/AI71</f>
    </nc>
  </rcc>
  <rcc rId="2643" sId="1">
    <nc r="AQ71">
      <f>+N71/78.54</f>
    </nc>
  </rcc>
  <rcc rId="2644" sId="1">
    <nc r="AR71">
      <f>+AH71/11</f>
    </nc>
  </rcc>
  <rcc rId="2645" sId="1">
    <nc r="AS71">
      <f>+AR71-AQ71</f>
    </nc>
  </rcc>
  <rcc rId="2646" sId="1">
    <nc r="AT71">
      <f>+AH71/AQ71</f>
    </nc>
  </rcc>
  <rcc rId="2647" sId="1">
    <nc r="AI71">
      <v>4</v>
    </nc>
  </rcc>
  <rcv guid="{D015136D-255F-4042-9389-EB535F138010}" action="delete"/>
  <rdn rId="0" localSheetId="1" customView="1" name="Z_D015136D_255F_4042_9389_EB535F138010_.wvu.FilterData" hidden="1" oldHidden="1">
    <formula>DATA!$A$1:$AK$80</formula>
    <oldFormula>DATA!$A$1:$AK$80</oldFormula>
  </rdn>
  <rcv guid="{D015136D-255F-4042-9389-EB535F138010}" action="add"/>
</revisions>
</file>

<file path=xl/revisions/revisionLog1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71:AK71">
    <dxf>
      <fill>
        <patternFill patternType="solid">
          <bgColor rgb="FF92D050"/>
        </patternFill>
      </fill>
    </dxf>
  </rfmt>
</revisions>
</file>

<file path=xl/revisions/revisionLog1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60:AK60">
    <dxf>
      <fill>
        <patternFill>
          <bgColor rgb="FF00B050"/>
        </patternFill>
      </fill>
    </dxf>
  </rfmt>
  <rcc rId="2649" sId="1" odxf="1" dxf="1" numFmtId="19">
    <nc r="Z60">
      <v>46094</v>
    </nc>
    <odxf>
      <numFmt numFmtId="0" formatCode="General"/>
    </odxf>
    <ndxf>
      <numFmt numFmtId="19" formatCode="d/m/yyyy"/>
    </ndxf>
  </rcc>
  <rfmt sheetId="1" sqref="A67:AK67">
    <dxf>
      <fill>
        <patternFill>
          <bgColor rgb="FF00B050"/>
        </patternFill>
      </fill>
    </dxf>
  </rfmt>
  <rcc rId="2650" sId="1" odxf="1" dxf="1" numFmtId="19">
    <nc r="Z67">
      <v>46094</v>
    </nc>
    <odxf>
      <numFmt numFmtId="0" formatCode="General"/>
    </odxf>
    <ndxf>
      <numFmt numFmtId="19" formatCode="d/m/yyyy"/>
    </ndxf>
  </rcc>
  <rfmt sheetId="1" sqref="A68:AK69">
    <dxf>
      <fill>
        <patternFill>
          <bgColor rgb="FF00B050"/>
        </patternFill>
      </fill>
    </dxf>
  </rfmt>
  <rcc rId="2651" sId="1" odxf="1" dxf="1" numFmtId="19">
    <nc r="Z68">
      <v>46094</v>
    </nc>
    <odxf>
      <numFmt numFmtId="0" formatCode="General"/>
    </odxf>
    <ndxf>
      <numFmt numFmtId="19" formatCode="d/m/yyyy"/>
    </ndxf>
  </rcc>
  <rcc rId="2652" sId="1">
    <oc r="AI69">
      <v>3</v>
    </oc>
    <nc r="AI69">
      <v>2</v>
    </nc>
  </rcc>
  <rfmt sheetId="1" sqref="A71:AK71">
    <dxf>
      <fill>
        <patternFill>
          <bgColor rgb="FF00B050"/>
        </patternFill>
      </fill>
    </dxf>
  </rfmt>
  <rcc rId="2653" sId="1" odxf="1" dxf="1" numFmtId="19">
    <nc r="Z71">
      <v>46094</v>
    </nc>
    <odxf>
      <numFmt numFmtId="0" formatCode="General"/>
    </odxf>
    <ndxf>
      <numFmt numFmtId="19" formatCode="d/m/yyyy"/>
    </ndxf>
  </rcc>
  <rfmt sheetId="1" sqref="A73:AK76">
    <dxf>
      <fill>
        <patternFill>
          <bgColor rgb="FF00B050"/>
        </patternFill>
      </fill>
    </dxf>
  </rfmt>
  <rcc rId="2654" sId="1" numFmtId="19">
    <nc r="Z73">
      <v>46094</v>
    </nc>
  </rcc>
  <rcc rId="2655" sId="1" numFmtId="19">
    <nc r="Z74">
      <v>46094</v>
    </nc>
  </rcc>
  <rcc rId="2656" sId="1" numFmtId="19">
    <nc r="Z75">
      <v>46094</v>
    </nc>
  </rcc>
  <rcc rId="2657" sId="1" numFmtId="19">
    <nc r="Z76">
      <v>46094</v>
    </nc>
  </rcc>
  <rcv guid="{D41D3FB0-5142-496B-B92F-3F303994F17B}" action="delete"/>
  <rdn rId="0" localSheetId="1" customView="1" name="Z_D41D3FB0_5142_496B_B92F_3F303994F17B_.wvu.FilterData" hidden="1" oldHidden="1">
    <formula>DATA!$A$1:$AK$80</formula>
    <oldFormula>DATA!$A$1:$AK$72</oldFormula>
  </rdn>
  <rcv guid="{D41D3FB0-5142-496B-B92F-3F303994F17B}" action="add"/>
</revisions>
</file>

<file path=xl/revisions/revisionLog1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DATA!$A$1:$AK$81</formula>
    <oldFormula>DATA!$A$1:$AK$80</oldFormula>
  </rdn>
  <rcv guid="{D015136D-255F-4042-9389-EB535F138010}" action="add"/>
</revisions>
</file>

<file path=xl/revisions/revisionLog1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60" sId="1">
    <nc r="M66">
      <f>+N66-H66</f>
    </nc>
  </rcc>
  <rcc rId="2661" sId="1">
    <nc r="N66">
      <f>2286.2+1601.4</f>
    </nc>
  </rcc>
  <rcc rId="2662" sId="1">
    <nc r="O66">
      <f>20+5</f>
    </nc>
  </rcc>
  <rcc rId="2663" sId="1">
    <nc r="Q66">
      <f>+P66+O66</f>
    </nc>
  </rcc>
  <rcc rId="2664" sId="1">
    <nc r="R66">
      <f>(N66/Q66)</f>
    </nc>
  </rcc>
  <rcc rId="2665" sId="1">
    <nc r="S66">
      <f>(('Costo por negocio'!$B$3-DATA!R66)*DATA!O66)+('Costo por negocio'!$C$3-DATA!R66)*DATA!P66</f>
    </nc>
  </rcc>
  <rcc rId="2666" sId="1">
    <nc r="U66" t="inlineStr">
      <is>
        <t>SI</t>
      </is>
    </nc>
  </rcc>
  <rcc rId="2667" sId="1">
    <nc r="V66" t="inlineStr">
      <is>
        <t>SI</t>
      </is>
    </nc>
  </rcc>
  <rcc rId="2668" sId="1">
    <nc r="W66" t="inlineStr">
      <is>
        <t>SI</t>
      </is>
    </nc>
  </rcc>
  <rcc rId="2669" sId="1" numFmtId="19">
    <nc r="T66">
      <v>46098</v>
    </nc>
  </rcc>
  <rcc rId="2670" sId="1">
    <nc r="Y66" t="inlineStr">
      <is>
        <t>BED 1333</t>
      </is>
    </nc>
  </rcc>
  <rcc rId="2671" sId="1" numFmtId="34">
    <nc r="AD66">
      <v>40038</v>
    </nc>
  </rcc>
  <rcc rId="2672" sId="1" numFmtId="27">
    <nc r="AE66">
      <v>46090.729166666664</v>
    </nc>
  </rcc>
  <rcc rId="2673" sId="1" numFmtId="34">
    <nc r="AF66">
      <v>40728</v>
    </nc>
  </rcc>
  <rcc rId="2674" sId="1" numFmtId="27">
    <nc r="AG66">
      <v>46094.381944444445</v>
    </nc>
  </rcc>
  <rcc rId="2675" sId="1">
    <nc r="AH66">
      <f>+AF66-AD66</f>
    </nc>
  </rcc>
  <rcc rId="2676" sId="1">
    <nc r="AI66">
      <v>3</v>
    </nc>
  </rcc>
  <rcc rId="2677" sId="1">
    <nc r="AJ66">
      <f>+AI66*5</f>
    </nc>
  </rcc>
  <rcc rId="2678" sId="1">
    <nc r="AK66">
      <f>+Q66-AJ66</f>
    </nc>
  </rcc>
  <rcc rId="2679" sId="1">
    <nc r="AM66">
      <f>+AH66/Q66</f>
    </nc>
  </rcc>
  <rcc rId="2680" sId="1">
    <nc r="AN66">
      <f>+Q66/AI66</f>
    </nc>
  </rcc>
  <rcc rId="2681" sId="1">
    <nc r="AQ66">
      <f>+N66/78.54</f>
    </nc>
  </rcc>
  <rcc rId="2682" sId="1">
    <nc r="AR66">
      <f>+AH66/11</f>
    </nc>
  </rcc>
  <rcc rId="2683" sId="1">
    <nc r="AS66">
      <f>+AR66-AQ66</f>
    </nc>
  </rcc>
  <rcc rId="2684" sId="1">
    <nc r="AT66">
      <f>+AH66/AQ66</f>
    </nc>
  </rcc>
  <rfmt sheetId="1" sqref="A66:AK66">
    <dxf>
      <fill>
        <patternFill patternType="solid">
          <bgColor rgb="FF92D050"/>
        </patternFill>
      </fill>
    </dxf>
  </rfmt>
  <rcv guid="{D015136D-255F-4042-9389-EB535F138010}" action="delete"/>
  <rdn rId="0" localSheetId="1" customView="1" name="Z_D015136D_255F_4042_9389_EB535F138010_.wvu.FilterData" hidden="1" oldHidden="1">
    <formula>DATA!$A$1:$AK$81</formula>
    <oldFormula>DATA!$A$1:$AK$81</oldFormula>
  </rdn>
  <rcv guid="{D015136D-255F-4042-9389-EB535F138010}" action="add"/>
</revisions>
</file>

<file path=xl/revisions/revisionLog1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66:AK66">
    <dxf>
      <fill>
        <patternFill>
          <bgColor rgb="FF00B050"/>
        </patternFill>
      </fill>
    </dxf>
  </rfmt>
  <rcc rId="2686" sId="1" odxf="1" dxf="1" numFmtId="19">
    <nc r="Z66">
      <v>46098</v>
    </nc>
    <odxf>
      <numFmt numFmtId="0" formatCode="General"/>
    </odxf>
    <ndxf>
      <numFmt numFmtId="19" formatCode="d/m/yyyy"/>
    </ndxf>
  </rcc>
  <rcv guid="{D41D3FB0-5142-496B-B92F-3F303994F17B}" action="delete"/>
  <rdn rId="0" localSheetId="1" customView="1" name="Z_D41D3FB0_5142_496B_B92F_3F303994F17B_.wvu.FilterData" hidden="1" oldHidden="1">
    <formula>DATA!$A$1:$AK$81</formula>
    <oldFormula>DATA!$A$1:$AK$80</oldFormula>
  </rdn>
  <rcv guid="{D41D3FB0-5142-496B-B92F-3F303994F17B}" action="add"/>
</revisions>
</file>

<file path=xl/revisions/revisionLog1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88" sId="1" numFmtId="19">
    <oc r="F77">
      <v>46091</v>
    </oc>
    <nc r="F77">
      <v>46098</v>
    </nc>
  </rcc>
  <rcc rId="2689" sId="1" numFmtId="19">
    <oc r="G77">
      <v>46093</v>
    </oc>
    <nc r="G77">
      <v>46100</v>
    </nc>
  </rcc>
  <rcc rId="2690" sId="1" numFmtId="19">
    <oc r="F78">
      <v>46091</v>
    </oc>
    <nc r="F78">
      <v>46098</v>
    </nc>
  </rcc>
  <rcc rId="2691" sId="1" numFmtId="19">
    <oc r="G78">
      <v>46093</v>
    </oc>
    <nc r="G78">
      <v>46100</v>
    </nc>
  </rcc>
  <rcc rId="2692" sId="1" numFmtId="19">
    <oc r="F79">
      <v>46091</v>
    </oc>
    <nc r="F79">
      <v>46098</v>
    </nc>
  </rcc>
  <rcc rId="2693" sId="1" numFmtId="19">
    <oc r="G79">
      <v>46093</v>
    </oc>
    <nc r="G79">
      <v>46100</v>
    </nc>
  </rcc>
</revisions>
</file>

<file path=xl/revisions/revisionLog1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DATA!$A$1:$AK$81</formula>
    <oldFormula>DATA!$A$1:$AK$81</oldFormula>
  </rdn>
  <rcv guid="{D015136D-255F-4042-9389-EB535F138010}" action="add"/>
</revisions>
</file>

<file path=xl/revisions/revisionLog1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2">
    <dxf>
      <fill>
        <patternFill patternType="solid">
          <bgColor rgb="FFFFFF00"/>
        </patternFill>
      </fill>
    </dxf>
  </rfmt>
  <rcc rId="2695" sId="1">
    <nc r="B82" t="inlineStr">
      <is>
        <t>Claudia Parrilla</t>
      </is>
    </nc>
  </rcc>
  <rcc rId="2696" sId="1">
    <nc r="C82">
      <v>2005</v>
    </nc>
  </rcc>
  <rcc rId="2697" sId="1">
    <nc r="D82">
      <v>3</v>
    </nc>
  </rcc>
  <rcc rId="2698" sId="1">
    <nc r="H82">
      <f>20*260</f>
    </nc>
  </rcc>
  <rcc rId="2699" sId="1">
    <nc r="I82">
      <v>15</v>
    </nc>
  </rcc>
  <rcc rId="2700" sId="1">
    <nc r="J82" t="inlineStr">
      <is>
        <t>Montevideo, San José</t>
      </is>
    </nc>
  </rcc>
  <rcc rId="2701" sId="1">
    <nc r="K82" t="inlineStr">
      <is>
        <t>Alquiler</t>
      </is>
    </nc>
  </rcc>
  <rcc rId="2702" sId="1">
    <nc r="E82" t="inlineStr">
      <is>
        <t>24/03 al 26/03/2026</t>
      </is>
    </nc>
  </rcc>
  <rcc rId="2703" sId="1" numFmtId="19">
    <nc r="F82">
      <v>46105</v>
    </nc>
  </rcc>
  <rcc rId="2704" sId="1" numFmtId="19">
    <nc r="G82">
      <v>46107</v>
    </nc>
  </rcc>
  <rfmt sheetId="1" sqref="A83" start="0" length="0">
    <dxf>
      <fill>
        <patternFill patternType="solid">
          <bgColor rgb="FFFFFF00"/>
        </patternFill>
      </fill>
    </dxf>
  </rfmt>
  <rcc rId="2705" sId="1">
    <nc r="B83" t="inlineStr">
      <is>
        <t>Ricardo Cardona</t>
      </is>
    </nc>
  </rcc>
  <rcc rId="2706" sId="1">
    <nc r="C83">
      <v>1512</v>
    </nc>
  </rcc>
  <rcc rId="2707" sId="1">
    <nc r="D83">
      <v>3</v>
    </nc>
  </rcc>
  <rcc rId="2708" sId="1">
    <nc r="E83" t="inlineStr">
      <is>
        <t>17/03 al 19/03/2026</t>
      </is>
    </nc>
  </rcc>
  <rcc rId="2709" sId="1" numFmtId="19">
    <nc r="F83">
      <v>46098</v>
    </nc>
  </rcc>
  <rcc rId="2710" sId="1" numFmtId="19">
    <nc r="G83">
      <v>46100</v>
    </nc>
  </rcc>
  <rcc rId="2711" sId="1" numFmtId="34">
    <nc r="H83">
      <v>6500</v>
    </nc>
  </rcc>
  <rcc rId="2712" sId="1">
    <nc r="I83">
      <v>15</v>
    </nc>
  </rcc>
  <rcc rId="2713" sId="1">
    <nc r="J83" t="inlineStr">
      <is>
        <t>Montevideo, Canelones</t>
      </is>
    </nc>
  </rcc>
  <rcc rId="2714" sId="1">
    <nc r="K83" t="inlineStr">
      <is>
        <t>Alquiler</t>
      </is>
    </nc>
  </rcc>
  <rfmt sheetId="1" sqref="A78:AK78">
    <dxf>
      <fill>
        <patternFill patternType="solid">
          <bgColor rgb="FFFF0000"/>
        </patternFill>
      </fill>
    </dxf>
  </rfmt>
  <rcc rId="2715" sId="1">
    <nc r="X78" t="inlineStr">
      <is>
        <t>Para descontar salio con Falero</t>
      </is>
    </nc>
  </rcc>
  <rcv guid="{D015136D-255F-4042-9389-EB535F138010}" action="delete"/>
  <rdn rId="0" localSheetId="1" customView="1" name="Z_D015136D_255F_4042_9389_EB535F138010_.wvu.FilterData" hidden="1" oldHidden="1">
    <formula>DATA!$A$1:$AK$81</formula>
    <oldFormula>DATA!$A$1:$AK$81</oldFormula>
  </rdn>
  <rcv guid="{D015136D-255F-4042-9389-EB535F138010}" action="add"/>
</revisions>
</file>

<file path=xl/revisions/revisionLog1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17" sId="1">
    <oc r="E83" t="inlineStr">
      <is>
        <t>17/03 al 19/03/2026</t>
      </is>
    </oc>
    <nc r="E83" t="inlineStr">
      <is>
        <t>24/03 al 26/03/2026</t>
      </is>
    </nc>
  </rcc>
  <rcc rId="2718" sId="1" numFmtId="19">
    <oc r="F83">
      <v>46098</v>
    </oc>
    <nc r="F83">
      <v>46105</v>
    </nc>
  </rcc>
  <rcc rId="2719" sId="1" numFmtId="19">
    <oc r="G83">
      <v>46100</v>
    </oc>
    <nc r="G83">
      <v>46107</v>
    </nc>
  </rcc>
  <rcc rId="2720" sId="1" numFmtId="34">
    <oc r="H83">
      <v>6500</v>
    </oc>
    <nc r="H83">
      <v>4000</v>
    </nc>
  </rcc>
  <rcc rId="2721" sId="1">
    <oc r="J83" t="inlineStr">
      <is>
        <t>Montevideo, Canelones</t>
      </is>
    </oc>
    <nc r="J83" t="inlineStr">
      <is>
        <t>Montevideo</t>
      </is>
    </nc>
  </rcc>
  <rcv guid="{D015136D-255F-4042-9389-EB535F138010}" action="delete"/>
  <rdn rId="0" localSheetId="1" customView="1" name="Z_D015136D_255F_4042_9389_EB535F138010_.wvu.FilterData" hidden="1" oldHidden="1">
    <formula>DATA!$A$1:$AK$81</formula>
    <oldFormula>DATA!$A$1:$AK$81</oldFormula>
  </rdn>
  <rcv guid="{D015136D-255F-4042-9389-EB535F138010}" action="add"/>
</revisions>
</file>

<file path=xl/revisions/revisionLog1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4" start="0" length="0">
    <dxf>
      <fill>
        <patternFill patternType="solid">
          <bgColor rgb="FFFFFF00"/>
        </patternFill>
      </fill>
    </dxf>
  </rfmt>
  <rcc rId="2723" sId="1">
    <nc r="B84" t="inlineStr">
      <is>
        <t>Lorena Cabrera</t>
      </is>
    </nc>
  </rcc>
  <rcc rId="2724" sId="1">
    <nc r="C84">
      <v>1618</v>
    </nc>
  </rcc>
  <rcc rId="2725" sId="1" numFmtId="34">
    <nc r="H84">
      <v>4500</v>
    </nc>
  </rcc>
  <rcc rId="2726" sId="1">
    <nc r="I84">
      <v>15</v>
    </nc>
  </rcc>
  <rcc rId="2727" sId="1">
    <nc r="J84" t="inlineStr">
      <is>
        <t>Canelones, Lavalleja</t>
      </is>
    </nc>
  </rcc>
  <rcc rId="2728" sId="1">
    <nc r="K84" t="inlineStr">
      <is>
        <t>Alquiler</t>
      </is>
    </nc>
  </rcc>
  <rcc rId="2729" sId="1">
    <nc r="D84">
      <v>3</v>
    </nc>
  </rcc>
  <rcc rId="2730" sId="1">
    <nc r="E84" t="inlineStr">
      <is>
        <t>24/03 al 26/03/2026</t>
      </is>
    </nc>
  </rcc>
  <rcc rId="2731" sId="1" numFmtId="19">
    <nc r="F84">
      <v>46105</v>
    </nc>
  </rcc>
  <rcc rId="2732" sId="1" numFmtId="19">
    <nc r="G84">
      <v>46107</v>
    </nc>
  </rcc>
  <rcv guid="{D015136D-255F-4042-9389-EB535F138010}" action="delete"/>
  <rdn rId="0" localSheetId="1" customView="1" name="Z_D015136D_255F_4042_9389_EB535F138010_.wvu.FilterData" hidden="1" oldHidden="1">
    <formula>DATA!$A$1:$AK$81</formula>
    <oldFormula>DATA!$A$1:$AK$81</oldFormula>
  </rdn>
  <rcv guid="{D015136D-255F-4042-9389-EB535F138010}" action="add"/>
</revisions>
</file>

<file path=xl/revisions/revisionLog1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34" sId="1">
    <oc r="J84" t="inlineStr">
      <is>
        <t>Canelones, Lavalleja</t>
      </is>
    </oc>
    <nc r="J84" t="inlineStr">
      <is>
        <t>Canelones</t>
      </is>
    </nc>
  </rcc>
</revisions>
</file>

<file path=xl/revisions/revisionLog1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5" start="0" length="0">
    <dxf>
      <fill>
        <patternFill patternType="solid">
          <bgColor rgb="FFFFFF00"/>
        </patternFill>
      </fill>
    </dxf>
  </rfmt>
  <rcc rId="2735" sId="1">
    <nc r="B85" t="inlineStr">
      <is>
        <t>Luis Amicone</t>
      </is>
    </nc>
  </rcc>
  <rcc rId="2736" sId="1">
    <nc r="C85">
      <v>3075</v>
    </nc>
  </rcc>
  <rcc rId="2737" sId="1" numFmtId="34">
    <nc r="H85">
      <v>8000</v>
    </nc>
  </rcc>
  <rcc rId="2738" sId="1">
    <nc r="I85">
      <v>15</v>
    </nc>
  </rcc>
  <rcc rId="2739" sId="1">
    <nc r="K85" t="inlineStr">
      <is>
        <t>Alquiler</t>
      </is>
    </nc>
  </rcc>
  <rcc rId="2740" sId="1">
    <nc r="D85">
      <v>3</v>
    </nc>
  </rcc>
  <rcc rId="2741" sId="1">
    <nc r="E85" t="inlineStr">
      <is>
        <t>24/03 al 26/03/2026</t>
      </is>
    </nc>
  </rcc>
  <rcc rId="2742" sId="1" numFmtId="19">
    <nc r="F85">
      <v>46105</v>
    </nc>
  </rcc>
  <rcc rId="2743" sId="1" numFmtId="19">
    <nc r="G85">
      <v>46107</v>
    </nc>
  </rcc>
  <rcc rId="2744" sId="1">
    <nc r="J85" t="inlineStr">
      <is>
        <t>Montevideo, Salto</t>
      </is>
    </nc>
  </rcc>
  <rcv guid="{D015136D-255F-4042-9389-EB535F138010}" action="delete"/>
  <rdn rId="0" localSheetId="1" customView="1" name="Z_D015136D_255F_4042_9389_EB535F138010_.wvu.FilterData" hidden="1" oldHidden="1">
    <formula>DATA!$A$1:$AK$81</formula>
    <oldFormula>DATA!$A$1:$AK$81</oldFormula>
  </rdn>
  <rcv guid="{D015136D-255F-4042-9389-EB535F138010}" action="add"/>
</revisions>
</file>

<file path=xl/revisions/revisionLog1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6" start="0" length="0">
    <dxf>
      <fill>
        <patternFill patternType="solid">
          <bgColor rgb="FFFFFF00"/>
        </patternFill>
      </fill>
    </dxf>
  </rfmt>
  <rcc rId="2746" sId="1">
    <nc r="B86" t="inlineStr">
      <is>
        <t>Ignacio Ceroni</t>
      </is>
    </nc>
  </rcc>
  <rcc rId="2747" sId="1">
    <nc r="C86">
      <v>3007</v>
    </nc>
  </rcc>
  <rcc rId="2748" sId="1">
    <nc r="D86">
      <v>4</v>
    </nc>
  </rcc>
  <rcc rId="2749" sId="1" numFmtId="34">
    <nc r="H86">
      <v>6000</v>
    </nc>
  </rcc>
  <rcc rId="2750" sId="1">
    <nc r="I86">
      <v>20</v>
    </nc>
  </rcc>
  <rcc rId="2751" sId="1">
    <nc r="J86" t="inlineStr">
      <is>
        <t>Montevideo, Cerro Largo</t>
      </is>
    </nc>
  </rcc>
  <rcc rId="2752" sId="1">
    <nc r="K86" t="inlineStr">
      <is>
        <t>Alquiler</t>
      </is>
    </nc>
  </rcc>
  <rcc rId="2753" sId="1" numFmtId="19">
    <nc r="G86">
      <v>46107</v>
    </nc>
  </rcc>
  <rcc rId="2754" sId="1">
    <nc r="E86" t="inlineStr">
      <is>
        <t>23/03 al 26/03/2026</t>
      </is>
    </nc>
  </rcc>
  <rcc rId="2755" sId="1" numFmtId="19">
    <nc r="F86">
      <v>46104</v>
    </nc>
  </rcc>
  <rcv guid="{D015136D-255F-4042-9389-EB535F138010}" action="delete"/>
  <rdn rId="0" localSheetId="1" customView="1" name="Z_D015136D_255F_4042_9389_EB535F138010_.wvu.FilterData" hidden="1" oldHidden="1">
    <formula>DATA!$A$1:$AK$81</formula>
    <oldFormula>DATA!$A$1:$AK$81</oldFormula>
  </rdn>
  <rcv guid="{D015136D-255F-4042-9389-EB535F138010}" action="add"/>
</revisions>
</file>

<file path=xl/revisions/revisionLog1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57" sId="1" numFmtId="34">
    <oc r="H86">
      <v>6000</v>
    </oc>
    <nc r="H86">
      <v>3000</v>
    </nc>
  </rcc>
  <rcc rId="2758" sId="1">
    <oc r="J86" t="inlineStr">
      <is>
        <t>Montevideo, Cerro Largo</t>
      </is>
    </oc>
    <nc r="J86" t="inlineStr">
      <is>
        <t>Montevideo</t>
      </is>
    </nc>
  </rcc>
</revisions>
</file>

<file path=xl/revisions/revisionLog1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59" sId="1">
    <nc r="A82">
      <v>81</v>
    </nc>
  </rcc>
  <rcc rId="2760" sId="1">
    <nc r="A83">
      <v>82</v>
    </nc>
  </rcc>
  <rcc rId="2761" sId="1">
    <nc r="A84">
      <v>83</v>
    </nc>
  </rcc>
  <rcc rId="2762" sId="1">
    <nc r="A85">
      <v>84</v>
    </nc>
  </rcc>
  <rcc rId="2763" sId="1">
    <nc r="A86">
      <v>85</v>
    </nc>
  </rcc>
  <rfmt sheetId="1" sqref="A82:A86">
    <dxf>
      <fill>
        <patternFill patternType="none">
          <bgColor auto="1"/>
        </patternFill>
      </fill>
    </dxf>
  </rfmt>
  <rcv guid="{D015136D-255F-4042-9389-EB535F138010}" action="delete"/>
  <rdn rId="0" localSheetId="1" customView="1" name="Z_D015136D_255F_4042_9389_EB535F138010_.wvu.FilterData" hidden="1" oldHidden="1">
    <formula>DATA!$A$1:$AK$81</formula>
    <oldFormula>DATA!$A$1:$AK$81</oldFormula>
  </rdn>
  <rcv guid="{D015136D-255F-4042-9389-EB535F138010}" action="add"/>
</revisions>
</file>

<file path=xl/revisions/revisionLog1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65" sId="1">
    <nc r="M80">
      <f>+N80-H80</f>
    </nc>
  </rcc>
  <rcc rId="2766" sId="1">
    <nc r="Q80">
      <f>+P80+O80</f>
    </nc>
  </rcc>
  <rcc rId="2767" sId="1">
    <nc r="R80">
      <f>(N80/Q80)</f>
    </nc>
  </rcc>
  <rcc rId="2768" sId="1">
    <nc r="S80">
      <f>(('Costo por negocio'!$B$3-DATA!R80)*DATA!O80)+('Costo por negocio'!$C$3-DATA!R80)*DATA!P80</f>
    </nc>
  </rcc>
  <rcc rId="2769" sId="1" numFmtId="19">
    <nc r="T80">
      <v>46094</v>
    </nc>
  </rcc>
  <rcc rId="2770" sId="1">
    <nc r="U80" t="inlineStr">
      <is>
        <t>SI</t>
      </is>
    </nc>
  </rcc>
  <rcc rId="2771" sId="1">
    <nc r="V80" t="inlineStr">
      <is>
        <t>SI</t>
      </is>
    </nc>
  </rcc>
  <rcc rId="2772" sId="1">
    <nc r="W80" t="inlineStr">
      <is>
        <t>SI</t>
      </is>
    </nc>
  </rcc>
  <rcc rId="2773" sId="1">
    <nc r="N80">
      <f>2601.6+2302+2895.2</f>
    </nc>
  </rcc>
  <rcc rId="2774" sId="1">
    <nc r="O80">
      <f>8+6</f>
    </nc>
  </rcc>
  <rcc rId="2775" sId="1">
    <nc r="P80">
      <f>12+14</f>
    </nc>
  </rcc>
  <rcc rId="2776" sId="1">
    <nc r="Y80" t="inlineStr">
      <is>
        <t>BEC 5947</t>
      </is>
    </nc>
  </rcc>
  <rcc rId="2777" sId="1" numFmtId="34">
    <nc r="AD80">
      <v>76119</v>
    </nc>
  </rcc>
  <rcc rId="2778" sId="1" numFmtId="27">
    <nc r="AE80">
      <v>46097.375</v>
    </nc>
  </rcc>
  <rcc rId="2779" sId="1" numFmtId="34">
    <nc r="AF80">
      <v>77500</v>
    </nc>
  </rcc>
  <rcc rId="2780" sId="1" numFmtId="27">
    <nc r="AG80">
      <v>46101.412499999999</v>
    </nc>
  </rcc>
  <rcc rId="2781" sId="1">
    <nc r="AH80">
      <f>+AF80-AD80</f>
    </nc>
  </rcc>
  <rcc rId="2782" sId="1">
    <nc r="AI80">
      <v>4</v>
    </nc>
  </rcc>
  <rcc rId="2783" sId="1">
    <nc r="AJ80">
      <f>+AI80*5</f>
    </nc>
  </rcc>
  <rcc rId="2784" sId="1">
    <nc r="AK80">
      <f>+Q80-AJ80</f>
    </nc>
  </rcc>
  <rcc rId="2785" sId="1">
    <nc r="AM80">
      <f>+AH80/Q80</f>
    </nc>
  </rcc>
  <rcc rId="2786" sId="1">
    <nc r="AN80">
      <f>+Q80/AI80</f>
    </nc>
  </rcc>
  <rcc rId="2787" sId="1">
    <nc r="AQ80">
      <f>+N80/78.54</f>
    </nc>
  </rcc>
  <rcc rId="2788" sId="1">
    <nc r="AR80">
      <f>+AH80/11</f>
    </nc>
  </rcc>
  <rcc rId="2789" sId="1">
    <nc r="AS80">
      <f>+AR80-AQ80</f>
    </nc>
  </rcc>
  <rcc rId="2790" sId="1">
    <nc r="AT80">
      <f>+AH80/AQ80</f>
    </nc>
  </rcc>
  <rfmt sheetId="1" sqref="A80:AK80">
    <dxf>
      <fill>
        <patternFill patternType="solid">
          <bgColor rgb="FF92D050"/>
        </patternFill>
      </fill>
    </dxf>
  </rfmt>
  <rcv guid="{D015136D-255F-4042-9389-EB535F138010}" action="delete"/>
  <rdn rId="0" localSheetId="1" customView="1" name="Z_D015136D_255F_4042_9389_EB535F138010_.wvu.FilterData" hidden="1" oldHidden="1">
    <formula>DATA!$A$1:$AK$86</formula>
    <oldFormula>DATA!$A$1:$AK$81</oldFormula>
  </rdn>
  <rcv guid="{D015136D-255F-4042-9389-EB535F138010}" action="add"/>
</revisions>
</file>

<file path=xl/revisions/revisionLog1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92" sId="1">
    <nc r="Q85">
      <f>+P85+O85</f>
    </nc>
  </rcc>
  <rcc rId="2793" sId="1">
    <nc r="R85">
      <f>(N85/Q85)</f>
    </nc>
  </rcc>
  <rcc rId="2794" sId="1">
    <nc r="S85">
      <f>(('Costo por negocio'!$B$3-DATA!R85)*DATA!O85)+('Costo por negocio'!$C$3-DATA!R85)*DATA!P85</f>
    </nc>
  </rcc>
  <rcc rId="2795" sId="1">
    <nc r="U85" t="inlineStr">
      <is>
        <t>SI</t>
      </is>
    </nc>
  </rcc>
  <rcc rId="2796" sId="1">
    <nc r="V85" t="inlineStr">
      <is>
        <t>SI</t>
      </is>
    </nc>
  </rcc>
  <rcc rId="2797" sId="1">
    <nc r="W85" t="inlineStr">
      <is>
        <t>SI</t>
      </is>
    </nc>
  </rcc>
  <rcc rId="2798" sId="1" numFmtId="19">
    <nc r="T85">
      <v>46101</v>
    </nc>
  </rcc>
  <rcc rId="2799" sId="1">
    <nc r="M85">
      <f>+N85-H85</f>
    </nc>
  </rcc>
  <rcc rId="2800" sId="1">
    <nc r="N85">
      <f>2620.1+2952</f>
    </nc>
  </rcc>
  <rcc rId="2801" sId="1">
    <nc r="P85">
      <f>20+6</f>
    </nc>
  </rcc>
  <rcc rId="2802" sId="1">
    <nc r="Y85" t="inlineStr">
      <is>
        <t>BED 9321</t>
      </is>
    </nc>
  </rcc>
  <rcc rId="2803" sId="1" numFmtId="34">
    <nc r="AD85">
      <v>114913</v>
    </nc>
  </rcc>
  <rcc rId="2804" sId="1" numFmtId="27">
    <nc r="AE85">
      <v>46097.6875</v>
    </nc>
  </rcc>
  <rcc rId="2805" sId="1" numFmtId="34">
    <nc r="AF85">
      <v>115766</v>
    </nc>
  </rcc>
  <rcc rId="2806" sId="1" numFmtId="27">
    <nc r="AG85">
      <v>46100.379166666666</v>
    </nc>
  </rcc>
  <rcc rId="2807" sId="1">
    <nc r="AH85">
      <f>+AF85-AD85</f>
    </nc>
  </rcc>
  <rcc rId="2808" sId="1">
    <nc r="AI85">
      <v>2</v>
    </nc>
  </rcc>
  <rcc rId="2809" sId="1">
    <nc r="AJ85">
      <f>+AI85*5</f>
    </nc>
  </rcc>
  <rcc rId="2810" sId="1">
    <nc r="AK85">
      <f>+Q85-AJ85</f>
    </nc>
  </rcc>
  <rcc rId="2811" sId="1">
    <nc r="AM85">
      <f>+AH85/Q85</f>
    </nc>
  </rcc>
  <rcc rId="2812" sId="1">
    <nc r="AN85">
      <f>+Q85/AI85</f>
    </nc>
  </rcc>
  <rcc rId="2813" sId="1">
    <nc r="AQ85">
      <f>+N85/78.54</f>
    </nc>
  </rcc>
  <rcc rId="2814" sId="1">
    <nc r="AR85">
      <f>+AH85/11</f>
    </nc>
  </rcc>
  <rcc rId="2815" sId="1">
    <nc r="AS85">
      <f>+AR85-AQ85</f>
    </nc>
  </rcc>
  <rcc rId="2816" sId="1">
    <nc r="AT85">
      <f>+AH85/AQ85</f>
    </nc>
  </rcc>
  <rfmt sheetId="1" sqref="A85:AK85">
    <dxf>
      <fill>
        <patternFill patternType="solid">
          <bgColor rgb="FF92D050"/>
        </patternFill>
      </fill>
    </dxf>
  </rfmt>
  <rcv guid="{D015136D-255F-4042-9389-EB535F138010}" action="delete"/>
  <rdn rId="0" localSheetId="1" customView="1" name="Z_D015136D_255F_4042_9389_EB535F138010_.wvu.FilterData" hidden="1" oldHidden="1">
    <formula>DATA!$A$1:$AK$86</formula>
    <oldFormula>DATA!$A$1:$AK$86</oldFormula>
  </rdn>
  <rcv guid="{D015136D-255F-4042-9389-EB535F138010}" action="add"/>
</revisions>
</file>

<file path=xl/revisions/revisionLog1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18" sId="1" numFmtId="19">
    <oc r="T80">
      <v>46094</v>
    </oc>
    <nc r="T80">
      <v>46101</v>
    </nc>
  </rcc>
  <rcv guid="{D015136D-255F-4042-9389-EB535F138010}" action="delete"/>
  <rdn rId="0" localSheetId="1" customView="1" name="Z_D015136D_255F_4042_9389_EB535F138010_.wvu.FilterData" hidden="1" oldHidden="1">
    <formula>DATA!$A$1:$AK$86</formula>
    <oldFormula>DATA!$A$1:$AK$86</oldFormula>
  </rdn>
  <rcv guid="{D015136D-255F-4042-9389-EB535F138010}" action="add"/>
</revisions>
</file>

<file path=xl/revisions/revisionLog1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20" sId="1">
    <nc r="M70">
      <f>+N70-H70</f>
    </nc>
  </rcc>
  <rcc rId="2821" sId="1">
    <nc r="N70">
      <f>1960+1390.8</f>
    </nc>
  </rcc>
  <rcc rId="2822" sId="1" numFmtId="34">
    <nc r="O70">
      <v>8</v>
    </nc>
  </rcc>
  <rcc rId="2823" sId="1">
    <nc r="Q70">
      <f>+P70+O70</f>
    </nc>
  </rcc>
  <rcc rId="2824" sId="1">
    <nc r="R70">
      <f>(N70/Q70)</f>
    </nc>
  </rcc>
  <rcc rId="2825" sId="1">
    <nc r="S70">
      <f>(('Costo por negocio'!$B$3-DATA!R70)*DATA!O70)+('Costo por negocio'!$C$3-DATA!R70)*DATA!P70</f>
    </nc>
  </rcc>
  <rcc rId="2826" sId="1" numFmtId="19">
    <nc r="T70">
      <v>46101</v>
    </nc>
  </rcc>
  <rcc rId="2827" sId="1">
    <nc r="U70" t="inlineStr">
      <is>
        <t>SI</t>
      </is>
    </nc>
  </rcc>
  <rcc rId="2828" sId="1">
    <nc r="V70" t="inlineStr">
      <is>
        <t>SI</t>
      </is>
    </nc>
  </rcc>
  <rcc rId="2829" sId="1">
    <nc r="W70" t="inlineStr">
      <is>
        <t>SI</t>
      </is>
    </nc>
  </rcc>
  <rcc rId="2830" sId="1">
    <nc r="Y70" t="inlineStr">
      <is>
        <t>BEC 5787</t>
      </is>
    </nc>
  </rcc>
  <rcc rId="2831" sId="1" numFmtId="34">
    <nc r="AD70">
      <v>58655</v>
    </nc>
  </rcc>
  <rcc rId="2832" sId="1" numFmtId="27">
    <nc r="AE70">
      <v>46090.708333333336</v>
    </nc>
  </rcc>
  <rcc rId="2833" sId="1" numFmtId="34">
    <nc r="AF70">
      <v>59463</v>
    </nc>
  </rcc>
  <rcc rId="2834" sId="1">
    <nc r="AH70">
      <f>+AF70-AD70</f>
    </nc>
  </rcc>
  <rcc rId="2835" sId="1" numFmtId="27">
    <nc r="AG70">
      <v>46094.375</v>
    </nc>
  </rcc>
  <rcc rId="2836" sId="1">
    <nc r="AI70">
      <v>2</v>
    </nc>
  </rcc>
  <rcc rId="2837" sId="1">
    <nc r="AJ70">
      <f>+AI70*5</f>
    </nc>
  </rcc>
  <rcc rId="2838" sId="1">
    <nc r="AK70">
      <f>+Q70-AJ70</f>
    </nc>
  </rcc>
  <rcc rId="2839" sId="1">
    <nc r="AM70">
      <f>+AH70/Q70</f>
    </nc>
  </rcc>
  <rcc rId="2840" sId="1">
    <nc r="AN70">
      <f>+Q70/AI70</f>
    </nc>
  </rcc>
  <rcc rId="2841" sId="1">
    <nc r="AQ70">
      <f>+N70/78.54</f>
    </nc>
  </rcc>
  <rcc rId="2842" sId="1">
    <nc r="AR70">
      <f>+AH70/11</f>
    </nc>
  </rcc>
  <rcc rId="2843" sId="1">
    <nc r="AS70">
      <f>+AR70-AQ70</f>
    </nc>
  </rcc>
  <rcc rId="2844" sId="1">
    <nc r="AT70">
      <f>+AH70/AQ70</f>
    </nc>
  </rcc>
  <rfmt sheetId="1" sqref="A70:AK70">
    <dxf>
      <fill>
        <patternFill patternType="solid">
          <bgColor rgb="FF92D050"/>
        </patternFill>
      </fill>
    </dxf>
  </rfmt>
</revisions>
</file>

<file path=xl/revisions/revisionLog1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45" sId="1">
    <nc r="B87" t="inlineStr">
      <is>
        <t>Agustin Buñevaz</t>
      </is>
    </nc>
  </rcc>
  <rcc rId="2846" sId="1">
    <nc r="C87">
      <v>3152</v>
    </nc>
  </rcc>
  <rcc rId="2847" sId="1">
    <nc r="D87">
      <v>8</v>
    </nc>
  </rcc>
  <rcc rId="2848" sId="1">
    <nc r="A87">
      <v>86</v>
    </nc>
  </rcc>
  <rcc rId="2849" sId="1">
    <nc r="K87" t="inlineStr">
      <is>
        <t>Alquiler</t>
      </is>
    </nc>
  </rcc>
  <rcc rId="2850" sId="1">
    <nc r="E87" t="inlineStr">
      <is>
        <t>18/03 al 19/03/2026</t>
      </is>
    </nc>
  </rcc>
  <rcc rId="2851" sId="1" numFmtId="19">
    <nc r="F87">
      <v>46099</v>
    </nc>
  </rcc>
  <rcc rId="2852" sId="1" numFmtId="19">
    <nc r="G87">
      <v>46100</v>
    </nc>
  </rcc>
  <rcc rId="2853" sId="1">
    <nc r="M87">
      <f>+N87-H87</f>
    </nc>
  </rcc>
  <rcc rId="2854" sId="1" numFmtId="34">
    <nc r="N87">
      <v>2201</v>
    </nc>
  </rcc>
  <rcc rId="2855" sId="1" numFmtId="34">
    <nc r="O87">
      <v>4</v>
    </nc>
  </rcc>
  <rcc rId="2856" sId="1" numFmtId="34">
    <nc r="P87">
      <v>3</v>
    </nc>
  </rcc>
  <rcc rId="2857" sId="1">
    <nc r="J87" t="inlineStr">
      <is>
        <t>Canelones, Lavalleja</t>
      </is>
    </nc>
  </rcc>
  <rcc rId="2858" sId="1">
    <nc r="Q87">
      <f>+P87+O87</f>
    </nc>
  </rcc>
  <rcc rId="2859" sId="1">
    <nc r="R87">
      <f>(N87/Q87)</f>
    </nc>
  </rcc>
  <rcc rId="2860" sId="1">
    <nc r="S87">
      <f>(('Costo por negocio'!$B$3-DATA!R87)*DATA!O87)+('Costo por negocio'!$C$3-DATA!R87)*DATA!P87</f>
    </nc>
  </rcc>
  <rcc rId="2861" sId="1" numFmtId="19">
    <nc r="T87">
      <v>46101</v>
    </nc>
  </rcc>
  <rcc rId="2862" sId="1">
    <nc r="U87" t="inlineStr">
      <is>
        <t>SI</t>
      </is>
    </nc>
  </rcc>
  <rcc rId="2863" sId="1">
    <nc r="V87" t="inlineStr">
      <is>
        <t>SI</t>
      </is>
    </nc>
  </rcc>
  <rcc rId="2864" sId="1">
    <nc r="W87" t="inlineStr">
      <is>
        <t>SI</t>
      </is>
    </nc>
  </rcc>
  <rcc rId="2865" sId="1">
    <nc r="Y87" t="inlineStr">
      <is>
        <t>BED 7113</t>
      </is>
    </nc>
  </rcc>
  <rcc rId="2866" sId="1" numFmtId="34">
    <nc r="AD87">
      <v>112853</v>
    </nc>
  </rcc>
  <rcc rId="2867" sId="1" numFmtId="27">
    <nc r="AE87">
      <v>46098.708333333336</v>
    </nc>
  </rcc>
  <rcc rId="2868" sId="1" numFmtId="27">
    <nc r="AG87">
      <v>46100.75</v>
    </nc>
  </rcc>
  <rcc rId="2869" sId="1">
    <nc r="AH87">
      <f>+AF87-AD87</f>
    </nc>
  </rcc>
  <rcc rId="2870" sId="1" numFmtId="34">
    <nc r="AF87">
      <v>113282</v>
    </nc>
  </rcc>
  <rcc rId="2871" sId="1">
    <nc r="AI87">
      <v>2</v>
    </nc>
  </rcc>
  <rcc rId="2872" sId="1">
    <nc r="AJ87">
      <f>+AI87*5</f>
    </nc>
  </rcc>
  <rcc rId="2873" sId="1">
    <nc r="AK87">
      <f>+Q87-AJ87</f>
    </nc>
  </rcc>
  <rcc rId="2874" sId="1">
    <nc r="AM87">
      <f>+AH87/Q87</f>
    </nc>
  </rcc>
  <rcc rId="2875" sId="1">
    <nc r="AN87">
      <f>+Q87/AI87</f>
    </nc>
  </rcc>
  <rcc rId="2876" sId="1">
    <nc r="AQ87">
      <f>+N87/78.54</f>
    </nc>
  </rcc>
  <rcc rId="2877" sId="1">
    <nc r="AR87">
      <f>+AH87/11</f>
    </nc>
  </rcc>
  <rcc rId="2878" sId="1">
    <nc r="AS87">
      <f>+AR87-AQ87</f>
    </nc>
  </rcc>
  <rcc rId="2879" sId="1">
    <nc r="AT87">
      <f>+AH87/AQ87</f>
    </nc>
  </rcc>
  <rfmt sheetId="1" sqref="A87:AK87">
    <dxf>
      <fill>
        <patternFill patternType="solid">
          <bgColor rgb="FF92D050"/>
        </patternFill>
      </fill>
    </dxf>
  </rfmt>
  <rcv guid="{D015136D-255F-4042-9389-EB535F138010}" action="delete"/>
  <rdn rId="0" localSheetId="1" customView="1" name="Z_D015136D_255F_4042_9389_EB535F138010_.wvu.FilterData" hidden="1" oldHidden="1">
    <formula>DATA!$A$1:$AK$86</formula>
    <oldFormula>DATA!$A$1:$AK$86</oldFormula>
  </rdn>
  <rcv guid="{D015136D-255F-4042-9389-EB535F138010}" action="add"/>
</revisions>
</file>

<file path=xl/revisions/revisionLog1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81" sId="1">
    <nc r="B88" t="inlineStr">
      <is>
        <t>Luis Amicone</t>
      </is>
    </nc>
  </rcc>
  <rcc rId="2882" sId="1">
    <nc r="C88">
      <v>3075</v>
    </nc>
  </rcc>
  <rcc rId="2883" sId="1">
    <nc r="D88">
      <v>3</v>
    </nc>
  </rcc>
  <rcc rId="2884" sId="1" numFmtId="19">
    <nc r="F88">
      <v>46105</v>
    </nc>
  </rcc>
  <rcc rId="2885" sId="1" numFmtId="19">
    <nc r="G88">
      <v>46107</v>
    </nc>
  </rcc>
  <rcc rId="2886" sId="1">
    <nc r="I88">
      <v>15</v>
    </nc>
  </rcc>
  <rcc rId="2887" sId="1">
    <nc r="K88" t="inlineStr">
      <is>
        <t>Alquiler</t>
      </is>
    </nc>
  </rcc>
  <rcc rId="2888" sId="1">
    <nc r="M88">
      <f>+N88-H88</f>
    </nc>
  </rcc>
  <rcc rId="2889" sId="1">
    <nc r="N88">
      <f>2620.1+2952</f>
    </nc>
  </rcc>
  <rcc rId="2890" sId="1">
    <nc r="P88">
      <f>20+6</f>
    </nc>
  </rcc>
  <rcc rId="2891" sId="1">
    <nc r="Q88">
      <f>+P88+O88</f>
    </nc>
  </rcc>
  <rcc rId="2892" sId="1">
    <nc r="R88">
      <f>(N88/Q88)</f>
    </nc>
  </rcc>
  <rcc rId="2893" sId="1">
    <nc r="S88">
      <f>(('Costo por negocio'!$B$3-DATA!R88)*DATA!O88)+('Costo por negocio'!$C$3-DATA!R88)*DATA!P88</f>
    </nc>
  </rcc>
  <rcc rId="2894" sId="1" numFmtId="19">
    <nc r="T88">
      <v>46101</v>
    </nc>
  </rcc>
  <rcc rId="2895" sId="1">
    <nc r="U88" t="inlineStr">
      <is>
        <t>SI</t>
      </is>
    </nc>
  </rcc>
  <rcc rId="2896" sId="1">
    <nc r="V88" t="inlineStr">
      <is>
        <t>SI</t>
      </is>
    </nc>
  </rcc>
  <rcc rId="2897" sId="1">
    <nc r="W88" t="inlineStr">
      <is>
        <t>SI</t>
      </is>
    </nc>
  </rcc>
  <rcc rId="2898" sId="1">
    <nc r="Y88" t="inlineStr">
      <is>
        <t>BED 9321</t>
      </is>
    </nc>
  </rcc>
  <rcc rId="2899" sId="1" numFmtId="34">
    <nc r="AD88">
      <v>114913</v>
    </nc>
  </rcc>
  <rcc rId="2900" sId="1" numFmtId="27">
    <nc r="AE88">
      <v>46097.6875</v>
    </nc>
  </rcc>
  <rcc rId="2901" sId="1" numFmtId="34">
    <nc r="AF88">
      <v>115766</v>
    </nc>
  </rcc>
  <rcc rId="2902" sId="1" numFmtId="27">
    <nc r="AG88">
      <v>46100.379166666666</v>
    </nc>
  </rcc>
  <rcc rId="2903" sId="1">
    <nc r="AH88">
      <f>+AF88-AD88</f>
    </nc>
  </rcc>
  <rcc rId="2904" sId="1">
    <nc r="AI88">
      <v>2</v>
    </nc>
  </rcc>
  <rcc rId="2905" sId="1">
    <nc r="AJ88">
      <f>+AI88*5</f>
    </nc>
  </rcc>
  <rcc rId="2906" sId="1">
    <nc r="AK88">
      <f>+Q88-AJ88</f>
    </nc>
  </rcc>
  <rcc rId="2907" sId="1">
    <nc r="AM88">
      <f>+AH88/Q88</f>
    </nc>
  </rcc>
  <rcc rId="2908" sId="1">
    <nc r="AN88">
      <f>+Q88/AI88</f>
    </nc>
  </rcc>
  <rcc rId="2909" sId="1">
    <nc r="AQ88">
      <f>+N88/78.54</f>
    </nc>
  </rcc>
  <rcc rId="2910" sId="1">
    <nc r="AR88">
      <f>+AH88/11</f>
    </nc>
  </rcc>
  <rcc rId="2911" sId="1">
    <nc r="AS88">
      <f>+AR88-AQ88</f>
    </nc>
  </rcc>
  <rcc rId="2912" sId="1">
    <nc r="AT88">
      <f>+AH88/AQ88</f>
    </nc>
  </rcc>
  <rcc rId="2913" sId="1">
    <nc r="A88">
      <v>87</v>
    </nc>
  </rcc>
  <rfmt sheetId="1" sqref="A85:XFD85">
    <dxf>
      <fill>
        <patternFill patternType="none">
          <bgColor auto="1"/>
        </patternFill>
      </fill>
    </dxf>
  </rfmt>
  <rcc rId="2914" sId="1">
    <oc r="M85">
      <f>+N85-H85</f>
    </oc>
    <nc r="M85"/>
  </rcc>
  <rcc rId="2915" sId="1">
    <oc r="N85">
      <f>2620.1+2952</f>
    </oc>
    <nc r="N85"/>
  </rcc>
  <rcc rId="2916" sId="1">
    <oc r="P85">
      <f>20+6</f>
    </oc>
    <nc r="P85"/>
  </rcc>
  <rcc rId="2917" sId="1">
    <oc r="Q85">
      <f>+P85+O85</f>
    </oc>
    <nc r="Q85"/>
  </rcc>
  <rcc rId="2918" sId="1">
    <oc r="R85">
      <f>(N85/Q85)</f>
    </oc>
    <nc r="R85"/>
  </rcc>
  <rcc rId="2919" sId="1">
    <oc r="S85">
      <f>(('Costo por negocio'!$B$3-DATA!R85)*DATA!O85)+('Costo por negocio'!$C$3-DATA!R85)*DATA!P85</f>
    </oc>
    <nc r="S85"/>
  </rcc>
  <rcc rId="2920" sId="1" numFmtId="19">
    <oc r="T85">
      <v>46101</v>
    </oc>
    <nc r="T85"/>
  </rcc>
  <rcc rId="2921" sId="1">
    <oc r="U85" t="inlineStr">
      <is>
        <t>SI</t>
      </is>
    </oc>
    <nc r="U85"/>
  </rcc>
  <rcc rId="2922" sId="1">
    <oc r="V85" t="inlineStr">
      <is>
        <t>SI</t>
      </is>
    </oc>
    <nc r="V85"/>
  </rcc>
  <rcc rId="2923" sId="1">
    <oc r="W85" t="inlineStr">
      <is>
        <t>SI</t>
      </is>
    </oc>
    <nc r="W85"/>
  </rcc>
  <rcc rId="2924" sId="1">
    <oc r="Y85" t="inlineStr">
      <is>
        <t>BED 9321</t>
      </is>
    </oc>
    <nc r="Y85"/>
  </rcc>
  <rcc rId="2925" sId="1" numFmtId="34">
    <oc r="AD85">
      <v>114913</v>
    </oc>
    <nc r="AD85"/>
  </rcc>
  <rcc rId="2926" sId="1" numFmtId="27">
    <oc r="AE85">
      <v>46097.6875</v>
    </oc>
    <nc r="AE85"/>
  </rcc>
  <rcc rId="2927" sId="1" numFmtId="34">
    <oc r="AF85">
      <v>115766</v>
    </oc>
    <nc r="AF85"/>
  </rcc>
  <rcc rId="2928" sId="1" numFmtId="27">
    <oc r="AG85">
      <v>46100.379166666666</v>
    </oc>
    <nc r="AG85"/>
  </rcc>
  <rcc rId="2929" sId="1">
    <oc r="AH85">
      <f>+AF85-AD85</f>
    </oc>
    <nc r="AH85"/>
  </rcc>
  <rcc rId="2930" sId="1">
    <oc r="AI85">
      <v>2</v>
    </oc>
    <nc r="AI85"/>
  </rcc>
  <rcc rId="2931" sId="1">
    <oc r="AJ85">
      <f>+AI85*5</f>
    </oc>
    <nc r="AJ85"/>
  </rcc>
  <rcc rId="2932" sId="1">
    <oc r="AK85">
      <f>+Q85-AJ85</f>
    </oc>
    <nc r="AK85"/>
  </rcc>
  <rcc rId="2933" sId="1">
    <oc r="AM85">
      <f>+AH85/Q85</f>
    </oc>
    <nc r="AM85"/>
  </rcc>
  <rcc rId="2934" sId="1">
    <oc r="AN85">
      <f>+Q85/AI85</f>
    </oc>
    <nc r="AN85"/>
  </rcc>
  <rcc rId="2935" sId="1">
    <oc r="AQ85">
      <f>+N85/78.54</f>
    </oc>
    <nc r="AQ85"/>
  </rcc>
  <rcc rId="2936" sId="1">
    <oc r="AR85">
      <f>+AH85/11</f>
    </oc>
    <nc r="AR85"/>
  </rcc>
  <rcc rId="2937" sId="1">
    <oc r="AS85">
      <f>+AR85-AQ85</f>
    </oc>
    <nc r="AS85"/>
  </rcc>
  <rcc rId="2938" sId="1">
    <oc r="AT85">
      <f>+AH85/AQ85</f>
    </oc>
    <nc r="AT85"/>
  </rcc>
  <rcc rId="2939" sId="1">
    <nc r="J88" t="inlineStr">
      <is>
        <t>Montevideo, Treinta y Tres</t>
      </is>
    </nc>
  </rcc>
  <rcc rId="2940" sId="1">
    <nc r="E88" t="inlineStr">
      <is>
        <t>17/03 al 18/03/2026</t>
      </is>
    </nc>
  </rcc>
  <rcv guid="{D015136D-255F-4042-9389-EB535F138010}" action="delete"/>
  <rdn rId="0" localSheetId="1" customView="1" name="Z_D015136D_255F_4042_9389_EB535F138010_.wvu.FilterData" hidden="1" oldHidden="1">
    <formula>DATA!$A$1:$AK$86</formula>
    <oldFormula>DATA!$A$1:$AK$86</oldFormula>
  </rdn>
  <rcv guid="{D015136D-255F-4042-9389-EB535F138010}" action="add"/>
</revisions>
</file>

<file path=xl/revisions/revisionLog1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8:AK88">
    <dxf>
      <fill>
        <patternFill patternType="solid">
          <bgColor rgb="FF92D050"/>
        </patternFill>
      </fill>
    </dxf>
  </rfmt>
  <rcc rId="2942" sId="1" numFmtId="19">
    <oc r="F88">
      <v>46105</v>
    </oc>
    <nc r="F88">
      <v>46098</v>
    </nc>
  </rcc>
  <rcc rId="2943" sId="1" numFmtId="19">
    <oc r="G88">
      <v>46107</v>
    </oc>
    <nc r="G88">
      <v>46099</v>
    </nc>
  </rcc>
</revisions>
</file>

<file path=xl/revisions/revisionLog1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70:AK70">
    <dxf>
      <fill>
        <patternFill>
          <bgColor rgb="FF00B050"/>
        </patternFill>
      </fill>
    </dxf>
  </rfmt>
  <rcc rId="2944" sId="1" odxf="1" dxf="1" numFmtId="19">
    <nc r="Z70">
      <v>46101</v>
    </nc>
    <odxf>
      <numFmt numFmtId="0" formatCode="General"/>
    </odxf>
    <ndxf>
      <numFmt numFmtId="19" formatCode="d/m/yyyy"/>
    </ndxf>
  </rcc>
  <rcc rId="2945" sId="1" odxf="1" dxf="1" numFmtId="19">
    <nc r="Z69">
      <v>46094</v>
    </nc>
    <odxf>
      <numFmt numFmtId="0" formatCode="General"/>
    </odxf>
    <ndxf>
      <numFmt numFmtId="19" formatCode="d/m/yyyy"/>
    </ndxf>
  </rcc>
  <rfmt sheetId="1" sqref="A80:AK80">
    <dxf>
      <fill>
        <patternFill>
          <bgColor rgb="FF00B050"/>
        </patternFill>
      </fill>
    </dxf>
  </rfmt>
  <rcc rId="2946" sId="1" odxf="1" dxf="1" numFmtId="19">
    <nc r="Z80">
      <v>46101</v>
    </nc>
    <odxf>
      <numFmt numFmtId="0" formatCode="General"/>
    </odxf>
    <ndxf>
      <numFmt numFmtId="19" formatCode="d/m/yyyy"/>
    </ndxf>
  </rcc>
  <rfmt sheetId="1" sqref="A85:AK85">
    <dxf>
      <fill>
        <patternFill>
          <bgColor rgb="FF00B050"/>
        </patternFill>
      </fill>
    </dxf>
  </rfmt>
  <rcc rId="2947" sId="1" odxf="1" dxf="1" numFmtId="19">
    <nc r="Z85">
      <v>46101</v>
    </nc>
    <odxf>
      <numFmt numFmtId="0" formatCode="General"/>
    </odxf>
    <ndxf>
      <numFmt numFmtId="19" formatCode="d/m/yyyy"/>
    </ndxf>
  </rcc>
</revisions>
</file>

<file path=xl/revisions/revisionLog1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5:AK85">
    <dxf>
      <fill>
        <patternFill>
          <bgColor theme="0"/>
        </patternFill>
      </fill>
    </dxf>
  </rfmt>
  <rcc rId="2948" sId="1" numFmtId="19">
    <oc r="Z85">
      <v>46101</v>
    </oc>
    <nc r="Z85"/>
  </rcc>
  <rcc rId="2949" sId="1">
    <oc r="D88">
      <v>3</v>
    </oc>
    <nc r="D88">
      <v>2</v>
    </nc>
  </rcc>
  <rfmt sheetId="1" sqref="A88:AK88">
    <dxf>
      <fill>
        <patternFill>
          <bgColor rgb="FF00B050"/>
        </patternFill>
      </fill>
    </dxf>
  </rfmt>
  <rcc rId="2950" sId="1" odxf="1" dxf="1" numFmtId="19">
    <nc r="Z88">
      <v>46101</v>
    </nc>
    <odxf>
      <numFmt numFmtId="0" formatCode="General"/>
    </odxf>
    <ndxf>
      <numFmt numFmtId="19" formatCode="d/m/yyyy"/>
    </ndxf>
  </rcc>
  <rfmt sheetId="1" sqref="A87:AK87">
    <dxf>
      <fill>
        <patternFill>
          <bgColor rgb="FF00B050"/>
        </patternFill>
      </fill>
    </dxf>
  </rfmt>
  <rcc rId="2951" sId="1" odxf="1" dxf="1" numFmtId="19">
    <nc r="Z87">
      <v>46101</v>
    </nc>
    <odxf>
      <numFmt numFmtId="0" formatCode="General"/>
    </odxf>
    <ndxf>
      <numFmt numFmtId="19" formatCode="d/m/yyyy"/>
    </ndxf>
  </rcc>
</revisions>
</file>

<file path=xl/revisions/revisionLog1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52" sId="1">
    <nc r="M79">
      <f>+N79-H79</f>
    </nc>
  </rcc>
  <rcc rId="2953" sId="1" numFmtId="34">
    <nc r="N79">
      <v>2188.8000000000002</v>
    </nc>
  </rcc>
  <rcc rId="2954" sId="1">
    <nc r="O79">
      <f>11+11</f>
    </nc>
  </rcc>
  <rcc rId="2955" sId="1">
    <nc r="Q79">
      <f>+P79+O79</f>
    </nc>
  </rcc>
  <rcc rId="2956" sId="1">
    <nc r="R79">
      <f>(N79/Q79)</f>
    </nc>
  </rcc>
  <rcc rId="2957" sId="1">
    <nc r="S79">
      <f>(('Costo por negocio'!$B$3-DATA!R79)*DATA!O79)+('Costo por negocio'!$C$3-DATA!R79)*DATA!P79</f>
    </nc>
  </rcc>
  <rcc rId="2958" sId="1" numFmtId="19">
    <nc r="T79">
      <v>46101</v>
    </nc>
  </rcc>
  <rcc rId="2959" sId="1">
    <nc r="U79" t="inlineStr">
      <is>
        <t>SI</t>
      </is>
    </nc>
  </rcc>
  <rcc rId="2960" sId="1">
    <nc r="V79" t="inlineStr">
      <is>
        <t>SI</t>
      </is>
    </nc>
  </rcc>
  <rcc rId="2961" sId="1">
    <nc r="W79" t="inlineStr">
      <is>
        <t>SI</t>
      </is>
    </nc>
  </rcc>
  <rcc rId="2962" sId="1">
    <nc r="Y79" t="inlineStr">
      <is>
        <t>BED 2527</t>
      </is>
    </nc>
  </rcc>
  <rcc rId="2963" sId="1" numFmtId="34">
    <nc r="AD79">
      <v>106418</v>
    </nc>
  </rcc>
  <rcc rId="2964" sId="1" numFmtId="27">
    <nc r="AE79">
      <v>46098.4375</v>
    </nc>
  </rcc>
  <rcc rId="2965" sId="1" numFmtId="34">
    <nc r="AF79">
      <v>106694</v>
    </nc>
  </rcc>
  <rcc rId="2966" sId="1" numFmtId="27">
    <nc r="AG79">
      <v>46101.37777777778</v>
    </nc>
  </rcc>
  <rcc rId="2967" sId="1">
    <nc r="AH79">
      <f>+AF79-AD79</f>
    </nc>
  </rcc>
  <rcc rId="2968" sId="1">
    <nc r="AI79">
      <v>3</v>
    </nc>
  </rcc>
  <rcc rId="2969" sId="1">
    <nc r="AJ79">
      <f>+AI79*5</f>
    </nc>
  </rcc>
  <rcc rId="2970" sId="1">
    <nc r="AK79">
      <f>+Q79-AJ79</f>
    </nc>
  </rcc>
  <rcc rId="2971" sId="1">
    <nc r="AM79">
      <f>+AH79/Q79</f>
    </nc>
  </rcc>
  <rcc rId="2972" sId="1">
    <nc r="AN79">
      <f>+Q79/AI79</f>
    </nc>
  </rcc>
  <rcc rId="2973" sId="1">
    <nc r="AQ79">
      <f>+N79/78.54</f>
    </nc>
  </rcc>
  <rcc rId="2974" sId="1">
    <nc r="AR79">
      <f>+AH79/11</f>
    </nc>
  </rcc>
  <rcc rId="2975" sId="1">
    <nc r="AS79">
      <f>+AR79-AQ79</f>
    </nc>
  </rcc>
  <rcc rId="2976" sId="1">
    <nc r="AT79">
      <f>+AH79/AQ79</f>
    </nc>
  </rcc>
  <rfmt sheetId="1" sqref="A79:AK79">
    <dxf>
      <fill>
        <patternFill patternType="solid">
          <bgColor rgb="FF92D050"/>
        </patternFill>
      </fill>
    </dxf>
  </rfmt>
  <rcv guid="{D015136D-255F-4042-9389-EB535F138010}" action="delete"/>
  <rdn rId="0" localSheetId="1" customView="1" name="Z_D015136D_255F_4042_9389_EB535F138010_.wvu.FilterData" hidden="1" oldHidden="1">
    <formula>DATA!$A$1:$AK$88</formula>
    <oldFormula>DATA!$A$1:$AK$86</oldFormula>
  </rdn>
  <rcv guid="{D015136D-255F-4042-9389-EB535F138010}" action="add"/>
</revisions>
</file>

<file path=xl/revisions/revisionLog1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78" sId="1">
    <nc r="B89" t="inlineStr">
      <is>
        <t>Gabriela Falero</t>
      </is>
    </nc>
  </rcc>
  <rcc rId="2979" sId="1">
    <nc r="C89">
      <v>2030</v>
    </nc>
  </rcc>
  <rcc rId="2980" sId="1">
    <nc r="K89" t="inlineStr">
      <is>
        <t>Alquiler</t>
      </is>
    </nc>
  </rcc>
  <rcc rId="2981" sId="1">
    <nc r="A89">
      <v>88</v>
    </nc>
  </rcc>
  <rcc rId="2982" sId="1">
    <nc r="J89" t="inlineStr">
      <is>
        <t>Montevideo, Maldonado, Canelones</t>
      </is>
    </nc>
  </rcc>
  <rcc rId="2983" sId="1">
    <nc r="D89">
      <v>3</v>
    </nc>
  </rcc>
  <rcc rId="2984" sId="1">
    <nc r="E89" t="inlineStr">
      <is>
        <t>17/03 al 19/03/2026</t>
      </is>
    </nc>
  </rcc>
  <rcc rId="2985" sId="1" numFmtId="19">
    <nc r="F89">
      <v>46098</v>
    </nc>
  </rcc>
  <rcc rId="2986" sId="1" numFmtId="19">
    <nc r="G89">
      <v>46100</v>
    </nc>
  </rcc>
  <rcc rId="2987" sId="1">
    <nc r="M89">
      <f>+N89-H89</f>
    </nc>
  </rcc>
  <rcc rId="2988" sId="1">
    <nc r="I89">
      <v>15</v>
    </nc>
  </rcc>
  <rcc rId="2989" sId="1">
    <nc r="N89">
      <f>2139.2+2250.4+1950.7</f>
    </nc>
  </rcc>
  <rcc rId="2990" sId="1" numFmtId="34">
    <nc r="O89">
      <v>5</v>
    </nc>
  </rcc>
  <rcc rId="2991" sId="1" numFmtId="34">
    <nc r="P89">
      <v>11</v>
    </nc>
  </rcc>
  <rcc rId="2992" sId="1">
    <nc r="Q89">
      <f>+P89+O89</f>
    </nc>
  </rcc>
  <rcc rId="2993" sId="1">
    <nc r="R89">
      <f>(N89/Q89)</f>
    </nc>
  </rcc>
  <rcc rId="2994" sId="1">
    <nc r="S89">
      <f>(('Costo por negocio'!$B$3-DATA!R89)*DATA!O89)+('Costo por negocio'!$C$3-DATA!R89)*DATA!P89</f>
    </nc>
  </rcc>
  <rcc rId="2995" sId="1" numFmtId="19">
    <nc r="T89">
      <v>46101</v>
    </nc>
  </rcc>
  <rcc rId="2996" sId="1">
    <nc r="U89" t="inlineStr">
      <is>
        <t>SI</t>
      </is>
    </nc>
  </rcc>
  <rcc rId="2997" sId="1">
    <nc r="V89" t="inlineStr">
      <is>
        <t>SI</t>
      </is>
    </nc>
  </rcc>
  <rcc rId="2998" sId="1">
    <nc r="W89" t="inlineStr">
      <is>
        <t>SI</t>
      </is>
    </nc>
  </rcc>
  <rcc rId="2999" sId="1">
    <nc r="Y89" t="inlineStr">
      <is>
        <t>BEB 9280</t>
      </is>
    </nc>
  </rcc>
  <rcc rId="3000" sId="1" numFmtId="34">
    <nc r="AD89">
      <v>104261</v>
    </nc>
  </rcc>
  <rcc rId="3001" sId="1" numFmtId="27">
    <nc r="AE89">
      <v>46097.666666666664</v>
    </nc>
  </rcc>
  <rcc rId="3002" sId="1" numFmtId="34">
    <nc r="AF89">
      <v>105154</v>
    </nc>
  </rcc>
  <rcc rId="3003" sId="1" numFmtId="27">
    <nc r="AG89">
      <v>46101.381944444445</v>
    </nc>
  </rcc>
  <rcc rId="3004" sId="1">
    <nc r="AH89">
      <f>+AF89-AD89</f>
    </nc>
  </rcc>
  <rcc rId="3005" sId="1">
    <nc r="AI89">
      <v>3</v>
    </nc>
  </rcc>
  <rcc rId="3006" sId="1">
    <nc r="AJ89">
      <f>+AI89*5</f>
    </nc>
  </rcc>
  <rcc rId="3007" sId="1">
    <nc r="AK89">
      <f>+Q89-AJ89</f>
    </nc>
  </rcc>
  <rcc rId="3008" sId="1">
    <nc r="AM89">
      <f>+AH89/Q89</f>
    </nc>
  </rcc>
  <rcc rId="3009" sId="1">
    <nc r="AN89">
      <f>+Q89/AI89</f>
    </nc>
  </rcc>
  <rcc rId="3010" sId="1">
    <nc r="AQ89">
      <f>+N89/78.54</f>
    </nc>
  </rcc>
  <rcc rId="3011" sId="1">
    <nc r="AR89">
      <f>+AH89/11</f>
    </nc>
  </rcc>
  <rcc rId="3012" sId="1">
    <nc r="AS89">
      <f>+AR89-AQ89</f>
    </nc>
  </rcc>
  <rcc rId="3013" sId="1">
    <nc r="AT89">
      <f>+AH89/AQ89</f>
    </nc>
  </rcc>
  <rcc rId="3014" sId="1">
    <nc r="AU89" t="inlineStr">
      <is>
        <t>Ricardo Cardona</t>
      </is>
    </nc>
  </rcc>
  <rcc rId="3015" sId="1">
    <nc r="AV89" t="inlineStr">
      <is>
        <t>Lorena Cabrera</t>
      </is>
    </nc>
  </rcc>
  <rcc rId="3016" sId="1">
    <nc r="AY89">
      <v>1</v>
    </nc>
  </rcc>
  <rcv guid="{D015136D-255F-4042-9389-EB535F138010}" action="delete"/>
  <rdn rId="0" localSheetId="1" customView="1" name="Z_D015136D_255F_4042_9389_EB535F138010_.wvu.FilterData" hidden="1" oldHidden="1">
    <formula>DATA!$A$1:$AK$88</formula>
    <oldFormula>DATA!$A$1:$AK$88</oldFormula>
  </rdn>
  <rcv guid="{D015136D-255F-4042-9389-EB535F138010}" action="add"/>
</revisions>
</file>

<file path=xl/revisions/revisionLog1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DATA!$A$1:$AK$88</formula>
    <oldFormula>DATA!$A$1:$AK$88</oldFormula>
  </rdn>
  <rcv guid="{D015136D-255F-4042-9389-EB535F138010}" action="add"/>
</revisions>
</file>

<file path=xl/revisions/revisionLog1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79:AK79">
    <dxf>
      <fill>
        <patternFill>
          <bgColor rgb="FF00B050"/>
        </patternFill>
      </fill>
    </dxf>
  </rfmt>
  <rcc rId="3019" sId="1" odxf="1" dxf="1" numFmtId="19">
    <nc r="Z79">
      <v>46101</v>
    </nc>
    <odxf>
      <numFmt numFmtId="0" formatCode="General"/>
    </odxf>
    <ndxf>
      <numFmt numFmtId="19" formatCode="d/m/yyyy"/>
    </ndxf>
  </rcc>
  <rcc rId="3020" sId="1">
    <oc r="M80">
      <f>+N80-H80</f>
    </oc>
    <nc r="M80">
      <f>+N80-H80</f>
    </nc>
  </rcc>
  <rcc rId="3021" sId="1">
    <oc r="M79">
      <f>+N79-H79</f>
    </oc>
    <nc r="M79">
      <f>+N79-H79</f>
    </nc>
  </rcc>
</revisions>
</file>

<file path=xl/revisions/revisionLog1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9:AK89">
    <dxf>
      <fill>
        <patternFill patternType="solid">
          <bgColor rgb="FF00B050"/>
        </patternFill>
      </fill>
    </dxf>
  </rfmt>
  <rcc rId="3022" sId="1" odxf="1" dxf="1" numFmtId="19">
    <nc r="Z89">
      <v>46101</v>
    </nc>
    <odxf>
      <numFmt numFmtId="0" formatCode="General"/>
    </odxf>
    <ndxf>
      <numFmt numFmtId="19" formatCode="d/m/yyyy"/>
    </ndxf>
  </rcc>
</revisions>
</file>

<file path=xl/revisions/revisionLog1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DATA!$A$1:$AK$88</formula>
    <oldFormula>DATA!$A$1:$AK$88</oldFormula>
  </rdn>
  <rcv guid="{D015136D-255F-4042-9389-EB535F138010}" action="add"/>
</revisions>
</file>

<file path=xl/revisions/revisionLog1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DATA!$A$1:$AK$89</formula>
    <oldFormula>DATA!$A$1:$AK$88</oldFormula>
  </rdn>
  <rcv guid="{D015136D-255F-4042-9389-EB535F138010}" action="add"/>
</revisions>
</file>

<file path=xl/revisions/revisionLog1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25" sId="1">
    <nc r="B90" t="inlineStr">
      <is>
        <t>Ignacio Ceroni</t>
      </is>
    </nc>
  </rcc>
  <rcc rId="3026" sId="1">
    <nc r="C90">
      <v>3007</v>
    </nc>
  </rcc>
  <rcc rId="3027" sId="1">
    <nc r="J90" t="inlineStr">
      <is>
        <t>Montevideo</t>
      </is>
    </nc>
  </rcc>
  <rcc rId="3028" sId="1">
    <nc r="A90">
      <v>89</v>
    </nc>
  </rcc>
  <rcc rId="3029" sId="1">
    <nc r="D90">
      <v>14</v>
    </nc>
  </rcc>
  <rcc rId="3030" sId="1">
    <nc r="E90" t="inlineStr">
      <is>
        <t>12/03 al 31/03/2026</t>
      </is>
    </nc>
  </rcc>
  <rcc rId="3031" sId="1" numFmtId="19">
    <nc r="F90">
      <v>46093</v>
    </nc>
  </rcc>
  <rcc rId="3032" sId="1" numFmtId="19">
    <nc r="G90">
      <v>46112</v>
    </nc>
  </rcc>
  <rcc rId="3033" sId="1">
    <nc r="K90" t="inlineStr">
      <is>
        <t>Propio</t>
      </is>
    </nc>
  </rcc>
  <rcc rId="3034" sId="1">
    <nc r="M90">
      <f>+N90-H90</f>
    </nc>
  </rcc>
  <rcc rId="3035" sId="1" numFmtId="34">
    <nc r="N90">
      <v>2300</v>
    </nc>
  </rcc>
  <rcc rId="3036" sId="1" numFmtId="34">
    <nc r="O90">
      <v>9</v>
    </nc>
  </rcc>
  <rcc rId="3037" sId="1">
    <nc r="Q90">
      <f>+P90+O90</f>
    </nc>
  </rcc>
  <rcc rId="3038" sId="1">
    <nc r="R90">
      <f>(N90/Q90)</f>
    </nc>
  </rcc>
  <rcc rId="3039" sId="1">
    <nc r="S90">
      <f>(('Costo por negocio'!$B$3-DATA!R90)*DATA!O90)+('Costo por negocio'!$C$3-DATA!R90)*DATA!P90</f>
    </nc>
  </rcc>
  <rcc rId="3040" sId="1">
    <nc r="U90" t="inlineStr">
      <is>
        <t>SI</t>
      </is>
    </nc>
  </rcc>
  <rcc rId="3041" sId="1">
    <nc r="V90" t="inlineStr">
      <is>
        <t>SI</t>
      </is>
    </nc>
  </rcc>
  <rcc rId="3042" sId="1">
    <nc r="W90" t="inlineStr">
      <is>
        <t>SI</t>
      </is>
    </nc>
  </rcc>
  <rcc rId="3043" sId="1" numFmtId="19">
    <nc r="T90">
      <v>46105</v>
    </nc>
  </rcc>
  <rcc rId="3044" sId="1">
    <nc r="Y90" t="inlineStr">
      <is>
        <t>SCG 4199</t>
      </is>
    </nc>
  </rcc>
  <rfmt sheetId="1" sqref="A90:AK90">
    <dxf>
      <fill>
        <patternFill patternType="solid">
          <bgColor rgb="FF92D050"/>
        </patternFill>
      </fill>
    </dxf>
  </rfmt>
  <rcv guid="{D015136D-255F-4042-9389-EB535F138010}" action="delete"/>
  <rdn rId="0" localSheetId="1" customView="1" name="Z_D015136D_255F_4042_9389_EB535F138010_.wvu.FilterData" hidden="1" oldHidden="1">
    <formula>DATA!$A$1:$AK$89</formula>
    <oldFormula>DATA!$A$1:$AK$89</oldFormula>
  </rdn>
  <rcv guid="{D015136D-255F-4042-9389-EB535F138010}" action="add"/>
</revisions>
</file>

<file path=xl/revisions/revisionLog1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90:AK90">
    <dxf>
      <fill>
        <patternFill>
          <bgColor rgb="FF00B050"/>
        </patternFill>
      </fill>
    </dxf>
  </rfmt>
  <rcc rId="3046" sId="1" odxf="1" dxf="1" numFmtId="19">
    <nc r="Z90">
      <v>46105</v>
    </nc>
    <odxf>
      <numFmt numFmtId="0" formatCode="General"/>
    </odxf>
    <ndxf>
      <numFmt numFmtId="19" formatCode="d/m/yyyy"/>
    </ndxf>
  </rcc>
  <rcv guid="{D41D3FB0-5142-496B-B92F-3F303994F17B}" action="delete"/>
  <rdn rId="0" localSheetId="1" customView="1" name="Z_D41D3FB0_5142_496B_B92F_3F303994F17B_.wvu.FilterData" hidden="1" oldHidden="1">
    <formula>DATA!$A$1:$AK$89</formula>
    <oldFormula>DATA!$A$1:$AK$81</oldFormula>
  </rdn>
  <rcv guid="{D41D3FB0-5142-496B-B92F-3F303994F17B}" action="add"/>
</revisions>
</file>

<file path=xl/revisions/revisionLog1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48" sId="1">
    <nc r="B91" t="inlineStr">
      <is>
        <t>Claudia Parrilla</t>
      </is>
    </nc>
  </rcc>
  <rcc rId="3049" sId="1">
    <nc r="C91">
      <v>2005</v>
    </nc>
  </rcc>
  <rcc rId="3050" sId="1">
    <nc r="I91">
      <v>15</v>
    </nc>
  </rcc>
  <rcc rId="3051" sId="1">
    <nc r="K91" t="inlineStr">
      <is>
        <t>Alquiler</t>
      </is>
    </nc>
  </rcc>
  <rfmt sheetId="1" sqref="A91">
    <dxf>
      <fill>
        <patternFill patternType="solid">
          <bgColor rgb="FFFFFF00"/>
        </patternFill>
      </fill>
    </dxf>
  </rfmt>
  <rcc rId="3052" sId="1">
    <nc r="E91" t="inlineStr">
      <is>
        <t>31/03 al 01/04/2026</t>
      </is>
    </nc>
  </rcc>
  <rcc rId="3053" sId="1">
    <nc r="D91">
      <v>2</v>
    </nc>
  </rcc>
  <rcc rId="3054" sId="1" numFmtId="19">
    <nc r="F91">
      <v>46112</v>
    </nc>
  </rcc>
  <rcc rId="3055" sId="1" numFmtId="19">
    <nc r="G91">
      <v>46113</v>
    </nc>
  </rcc>
  <rcc rId="3056" sId="1">
    <nc r="H91">
      <f>20*387</f>
    </nc>
  </rcc>
  <rcc rId="3057" sId="1">
    <nc r="J91" t="inlineStr">
      <is>
        <t>Montevideo, Colonia</t>
      </is>
    </nc>
  </rcc>
  <rcv guid="{D015136D-255F-4042-9389-EB535F138010}" action="delete"/>
  <rdn rId="0" localSheetId="1" customView="1" name="Z_D015136D_255F_4042_9389_EB535F138010_.wvu.FilterData" hidden="1" oldHidden="1">
    <formula>DATA!$A$1:$AK$89</formula>
    <oldFormula>DATA!$A$1:$AK$89</oldFormula>
  </rdn>
  <rcv guid="{D015136D-255F-4042-9389-EB535F138010}" action="add"/>
</revisions>
</file>

<file path=xl/revisions/revisionLog1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59" sId="1">
    <nc r="M77">
      <f>+N77-H77</f>
    </nc>
  </rcc>
  <rcc rId="3060" sId="1" numFmtId="34">
    <nc r="N77">
      <v>2884.2</v>
    </nc>
  </rcc>
  <rcc rId="3061" sId="1">
    <nc r="Q77">
      <f>+P77+O77</f>
    </nc>
  </rcc>
  <rcc rId="3062" sId="1">
    <nc r="R77">
      <f>(N77/Q77)</f>
    </nc>
  </rcc>
  <rcc rId="3063" sId="1">
    <nc r="S77">
      <f>(('Costo por negocio'!$B$3-DATA!R77)*DATA!O77)+('Costo por negocio'!$C$3-DATA!R77)*DATA!P77</f>
    </nc>
  </rcc>
  <rcc rId="3064" sId="1">
    <nc r="U77" t="inlineStr">
      <is>
        <t>SI</t>
      </is>
    </nc>
  </rcc>
  <rcc rId="3065" sId="1">
    <nc r="V77" t="inlineStr">
      <is>
        <t>SI</t>
      </is>
    </nc>
  </rcc>
  <rcc rId="3066" sId="1">
    <nc r="W77" t="inlineStr">
      <is>
        <t>SI</t>
      </is>
    </nc>
  </rcc>
  <rcc rId="3067" sId="1" numFmtId="19">
    <nc r="T77">
      <v>46105</v>
    </nc>
  </rcc>
  <rcc rId="3068" sId="1">
    <nc r="O77">
      <f>19+2</f>
    </nc>
  </rcc>
  <rcc rId="3069" sId="1">
    <nc r="Y77" t="inlineStr">
      <is>
        <t>BAB 1952</t>
      </is>
    </nc>
  </rcc>
  <rcc rId="3070" sId="1" numFmtId="34">
    <nc r="AD77">
      <v>113081</v>
    </nc>
  </rcc>
  <rcc rId="3071" sId="1" numFmtId="27">
    <nc r="AE77">
      <v>46097.708333333336</v>
    </nc>
  </rcc>
  <rcc rId="3072" sId="1" numFmtId="34">
    <nc r="AF77">
      <v>113512</v>
    </nc>
  </rcc>
  <rcc rId="3073" sId="1" numFmtId="27">
    <nc r="AG77">
      <v>46101.379861111112</v>
    </nc>
  </rcc>
  <rcc rId="3074" sId="1">
    <nc r="AH77">
      <f>+AF77-AD77</f>
    </nc>
  </rcc>
  <rcc rId="3075" sId="1">
    <nc r="AI77">
      <v>3</v>
    </nc>
  </rcc>
  <rcc rId="3076" sId="1">
    <nc r="AJ77">
      <f>+AI77*5</f>
    </nc>
  </rcc>
  <rcc rId="3077" sId="1">
    <nc r="AK77">
      <f>+Q77-AJ77</f>
    </nc>
  </rcc>
  <rcc rId="3078" sId="1">
    <nc r="AM77">
      <f>+AH77/Q77</f>
    </nc>
  </rcc>
  <rcc rId="3079" sId="1">
    <nc r="AN77">
      <f>+Q77/AI77</f>
    </nc>
  </rcc>
  <rcc rId="3080" sId="1">
    <nc r="AQ77">
      <f>+N77/78.54</f>
    </nc>
  </rcc>
  <rcc rId="3081" sId="1">
    <nc r="AR77">
      <f>+AH77/11</f>
    </nc>
  </rcc>
  <rcc rId="3082" sId="1">
    <nc r="AS77">
      <f>+AR77-AQ77</f>
    </nc>
  </rcc>
  <rcc rId="3083" sId="1">
    <nc r="AT77">
      <f>+AH77/AQ77</f>
    </nc>
  </rcc>
  <rfmt sheetId="1" sqref="A77:AK77">
    <dxf>
      <fill>
        <patternFill patternType="solid">
          <bgColor rgb="FF92D050"/>
        </patternFill>
      </fill>
    </dxf>
  </rfmt>
  <rcv guid="{D015136D-255F-4042-9389-EB535F138010}" action="delete"/>
  <rdn rId="0" localSheetId="1" customView="1" name="Z_D015136D_255F_4042_9389_EB535F138010_.wvu.FilterData" hidden="1" oldHidden="1">
    <formula>DATA!$A$1:$AK$91</formula>
    <oldFormula>DATA!$A$1:$AK$89</oldFormula>
  </rdn>
  <rcv guid="{D015136D-255F-4042-9389-EB535F138010}" action="add"/>
</revisions>
</file>

<file path=xl/revisions/revisionLog2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DATA!$A$1:$AY$1</formula>
    <oldFormula>DATA!$A$1:$AK$91</oldFormula>
  </rdn>
  <rcv guid="{D015136D-255F-4042-9389-EB535F138010}" action="add"/>
</revisions>
</file>

<file path=xl/revisions/revisionLog2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77:AK77">
    <dxf>
      <fill>
        <patternFill>
          <bgColor rgb="FF00B050"/>
        </patternFill>
      </fill>
    </dxf>
  </rfmt>
  <rcc rId="3086" sId="1" odxf="1" dxf="1" numFmtId="19">
    <nc r="Z77">
      <v>46105</v>
    </nc>
    <odxf>
      <numFmt numFmtId="0" formatCode="General"/>
    </odxf>
    <ndxf>
      <numFmt numFmtId="19" formatCode="d/m/yyyy"/>
    </ndxf>
  </rcc>
  <rcv guid="{D41D3FB0-5142-496B-B92F-3F303994F17B}" action="delete"/>
  <rdn rId="0" localSheetId="1" customView="1" name="Z_D41D3FB0_5142_496B_B92F_3F303994F17B_.wvu.FilterData" hidden="1" oldHidden="1">
    <formula>DATA!$A$1:$AK$91</formula>
    <oldFormula>DATA!$A$1:$AK$89</oldFormula>
  </rdn>
  <rcv guid="{D41D3FB0-5142-496B-B92F-3F303994F17B}" action="add"/>
</revisions>
</file>

<file path=xl/revisions/revisionLog2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88" sId="1">
    <nc r="B93" t="inlineStr">
      <is>
        <t>Lucia Santamaría</t>
      </is>
    </nc>
  </rcc>
  <rcc rId="3089" sId="1">
    <nc r="C93">
      <v>3065</v>
    </nc>
  </rcc>
  <rcc rId="3090" sId="1">
    <nc r="J93" t="inlineStr">
      <is>
        <t>Montevideo</t>
      </is>
    </nc>
  </rcc>
  <rm rId="3091" sheetId="1" source="A91:XFD91" destination="A94:XFD94" sourceSheetId="1">
    <undo index="0" exp="area" ref3D="1" dr="$A$1:$AY$91" dn="_FilterDatabase" sId="1"/>
    <undo index="0" exp="area" ref3D="1" dr="$A$1:$AK$91" dn="Z_D41D3FB0_5142_496B_B92F_3F303994F17B_.wvu.FilterData" sId="1"/>
    <rfmt sheetId="1" xfDxf="1" sqref="A94:XFD94" start="0" length="0">
      <dxf>
        <font>
          <name val="Calibri"/>
          <scheme val="none"/>
        </font>
      </dxf>
    </rfmt>
    <rfmt sheetId="1" sqref="A94" start="0" length="0">
      <dxf>
        <alignment horizontal="center" vertical="top" readingOrder="0"/>
        <border outline="0">
          <left style="thin">
            <color indexed="64"/>
          </left>
          <right style="thin">
            <color indexed="64"/>
          </right>
          <top style="thin">
            <color indexed="64"/>
          </top>
          <bottom style="thin">
            <color indexed="64"/>
          </bottom>
        </border>
      </dxf>
    </rfmt>
    <rfmt sheetId="1" sqref="B94" start="0" length="0">
      <dxf>
        <border outline="0">
          <left style="thin">
            <color indexed="64"/>
          </left>
          <right style="thin">
            <color indexed="64"/>
          </right>
          <top style="thin">
            <color indexed="64"/>
          </top>
          <bottom style="thin">
            <color indexed="64"/>
          </bottom>
        </border>
      </dxf>
    </rfmt>
    <rfmt sheetId="1" sqref="C94" start="0" length="0">
      <dxf>
        <border outline="0">
          <left style="thin">
            <color indexed="64"/>
          </left>
          <right style="thin">
            <color indexed="64"/>
          </right>
          <top style="thin">
            <color indexed="64"/>
          </top>
          <bottom style="thin">
            <color indexed="64"/>
          </bottom>
        </border>
      </dxf>
    </rfmt>
    <rfmt sheetId="1" sqref="D94" start="0" length="0">
      <dxf>
        <border outline="0">
          <left style="thin">
            <color indexed="64"/>
          </left>
          <right style="thin">
            <color indexed="64"/>
          </right>
          <top style="thin">
            <color indexed="64"/>
          </top>
          <bottom style="thin">
            <color indexed="64"/>
          </bottom>
        </border>
      </dxf>
    </rfmt>
    <rfmt sheetId="1" sqref="E94" start="0" length="0">
      <dxf>
        <border outline="0">
          <left style="thin">
            <color indexed="64"/>
          </left>
          <right style="thin">
            <color indexed="64"/>
          </right>
          <top style="thin">
            <color indexed="64"/>
          </top>
          <bottom style="thin">
            <color indexed="64"/>
          </bottom>
        </border>
      </dxf>
    </rfmt>
    <rfmt sheetId="1" sqref="F94" start="0" length="0">
      <dxf>
        <numFmt numFmtId="19" formatCode="dd/mm/yyyy"/>
        <border outline="0">
          <left style="thin">
            <color indexed="64"/>
          </left>
          <right style="thin">
            <color indexed="64"/>
          </right>
          <top style="thin">
            <color indexed="64"/>
          </top>
          <bottom style="thin">
            <color indexed="64"/>
          </bottom>
        </border>
      </dxf>
    </rfmt>
    <rfmt sheetId="1" sqref="G94" start="0" length="0">
      <dxf>
        <numFmt numFmtId="19" formatCode="dd/mm/yyyy"/>
        <border outline="0">
          <left style="thin">
            <color indexed="64"/>
          </left>
          <right style="thin">
            <color indexed="64"/>
          </right>
          <top style="thin">
            <color indexed="64"/>
          </top>
          <bottom style="thin">
            <color indexed="64"/>
          </bottom>
        </border>
      </dxf>
    </rfmt>
    <rfmt sheetId="1" sqref="H94" start="0" length="0">
      <dxf>
        <numFmt numFmtId="164" formatCode="_-* #,##0_-;\-* #,##0_-;_-* &quot;-&quot;??_-;_-@_-"/>
        <border outline="0">
          <left style="thin">
            <color indexed="64"/>
          </left>
          <right style="thin">
            <color indexed="64"/>
          </right>
          <top style="thin">
            <color indexed="64"/>
          </top>
          <bottom style="thin">
            <color indexed="64"/>
          </bottom>
        </border>
      </dxf>
    </rfmt>
    <rfmt sheetId="1" sqref="I94" start="0" length="0">
      <dxf>
        <border outline="0">
          <left style="thin">
            <color indexed="64"/>
          </left>
          <right style="thin">
            <color indexed="64"/>
          </right>
          <top style="thin">
            <color indexed="64"/>
          </top>
          <bottom style="thin">
            <color indexed="64"/>
          </bottom>
        </border>
      </dxf>
    </rfmt>
    <rfmt sheetId="1" sqref="J94" start="0" length="0">
      <dxf>
        <border outline="0">
          <left style="thin">
            <color indexed="64"/>
          </left>
          <right style="thin">
            <color indexed="64"/>
          </right>
          <top style="thin">
            <color indexed="64"/>
          </top>
          <bottom style="thin">
            <color indexed="64"/>
          </bottom>
        </border>
      </dxf>
    </rfmt>
    <rfmt sheetId="1" sqref="K94" start="0" length="0">
      <dxf>
        <border outline="0">
          <left style="thin">
            <color indexed="64"/>
          </left>
          <right style="thin">
            <color indexed="64"/>
          </right>
          <top style="thin">
            <color indexed="64"/>
          </top>
          <bottom style="thin">
            <color indexed="64"/>
          </bottom>
        </border>
      </dxf>
    </rfmt>
    <rfmt sheetId="1" sqref="L94" start="0" length="0">
      <dxf>
        <border outline="0">
          <left style="thin">
            <color indexed="64"/>
          </left>
          <right style="thin">
            <color indexed="64"/>
          </right>
          <top style="thin">
            <color indexed="64"/>
          </top>
          <bottom style="thin">
            <color indexed="64"/>
          </bottom>
        </border>
      </dxf>
    </rfmt>
    <rfmt sheetId="1" sqref="M94" start="0" length="0">
      <dxf>
        <numFmt numFmtId="35" formatCode="_-* #,##0.00_-;\-* #,##0.00_-;_-* &quot;-&quot;??_-;_-@_-"/>
        <border outline="0">
          <left style="thin">
            <color indexed="64"/>
          </left>
          <right style="thin">
            <color indexed="64"/>
          </right>
          <top style="thin">
            <color indexed="64"/>
          </top>
          <bottom style="thin">
            <color indexed="64"/>
          </bottom>
        </border>
      </dxf>
    </rfmt>
    <rfmt sheetId="1" sqref="N94" start="0" length="0">
      <dxf>
        <numFmt numFmtId="35" formatCode="_-* #,##0.00_-;\-* #,##0.00_-;_-* &quot;-&quot;??_-;_-@_-"/>
        <border outline="0">
          <left style="thin">
            <color indexed="64"/>
          </left>
          <right style="thin">
            <color indexed="64"/>
          </right>
          <top style="thin">
            <color indexed="64"/>
          </top>
          <bottom style="thin">
            <color indexed="64"/>
          </bottom>
        </border>
      </dxf>
    </rfmt>
    <rfmt sheetId="1" sqref="O94" start="0" length="0">
      <dxf>
        <numFmt numFmtId="164" formatCode="_-* #,##0_-;\-* #,##0_-;_-* &quot;-&quot;??_-;_-@_-"/>
        <border outline="0">
          <left style="thin">
            <color indexed="64"/>
          </left>
          <right style="thin">
            <color indexed="64"/>
          </right>
          <top style="thin">
            <color indexed="64"/>
          </top>
          <bottom style="thin">
            <color indexed="64"/>
          </bottom>
        </border>
      </dxf>
    </rfmt>
    <rfmt sheetId="1" sqref="P94" start="0" length="0">
      <dxf>
        <numFmt numFmtId="164" formatCode="_-* #,##0_-;\-* #,##0_-;_-* &quot;-&quot;??_-;_-@_-"/>
        <border outline="0">
          <left style="thin">
            <color indexed="64"/>
          </left>
          <right style="thin">
            <color indexed="64"/>
          </right>
          <top style="thin">
            <color indexed="64"/>
          </top>
          <bottom style="thin">
            <color indexed="64"/>
          </bottom>
        </border>
      </dxf>
    </rfmt>
    <rfmt sheetId="1" sqref="Q94" start="0" length="0">
      <dxf>
        <numFmt numFmtId="164" formatCode="_-* #,##0_-;\-* #,##0_-;_-* &quot;-&quot;??_-;_-@_-"/>
        <border outline="0">
          <left style="thin">
            <color indexed="64"/>
          </left>
          <right style="thin">
            <color indexed="64"/>
          </right>
          <top style="thin">
            <color indexed="64"/>
          </top>
          <bottom style="thin">
            <color indexed="64"/>
          </bottom>
        </border>
      </dxf>
    </rfmt>
    <rfmt sheetId="1" sqref="R94" start="0" length="0">
      <dxf>
        <numFmt numFmtId="35" formatCode="_-* #,##0.00_-;\-* #,##0.00_-;_-* &quot;-&quot;??_-;_-@_-"/>
        <border outline="0">
          <left style="thin">
            <color indexed="64"/>
          </left>
          <right style="thin">
            <color indexed="64"/>
          </right>
          <top style="thin">
            <color indexed="64"/>
          </top>
          <bottom style="thin">
            <color indexed="64"/>
          </bottom>
        </border>
      </dxf>
    </rfmt>
    <rfmt sheetId="1" sqref="S94" start="0" length="0">
      <dxf>
        <numFmt numFmtId="35" formatCode="_-* #,##0.00_-;\-* #,##0.00_-;_-* &quot;-&quot;??_-;_-@_-"/>
        <border outline="0">
          <left style="thin">
            <color indexed="64"/>
          </left>
          <right style="thin">
            <color indexed="64"/>
          </right>
          <top style="thin">
            <color indexed="64"/>
          </top>
          <bottom style="thin">
            <color indexed="64"/>
          </bottom>
        </border>
      </dxf>
    </rfmt>
    <rfmt sheetId="1" sqref="T94" start="0" length="0">
      <dxf>
        <numFmt numFmtId="19" formatCode="dd/mm/yyyy"/>
        <border outline="0">
          <left style="thin">
            <color indexed="64"/>
          </left>
          <right style="thin">
            <color indexed="64"/>
          </right>
          <top style="thin">
            <color indexed="64"/>
          </top>
          <bottom style="thin">
            <color indexed="64"/>
          </bottom>
        </border>
      </dxf>
    </rfmt>
    <rfmt sheetId="1" sqref="U94" start="0" length="0">
      <dxf>
        <border outline="0">
          <left style="thin">
            <color indexed="64"/>
          </left>
          <right style="thin">
            <color indexed="64"/>
          </right>
          <top style="thin">
            <color indexed="64"/>
          </top>
          <bottom style="thin">
            <color indexed="64"/>
          </bottom>
        </border>
      </dxf>
    </rfmt>
    <rfmt sheetId="1" sqref="V94" start="0" length="0">
      <dxf>
        <border outline="0">
          <left style="thin">
            <color indexed="64"/>
          </left>
          <right style="thin">
            <color indexed="64"/>
          </right>
          <top style="thin">
            <color indexed="64"/>
          </top>
          <bottom style="thin">
            <color indexed="64"/>
          </bottom>
        </border>
      </dxf>
    </rfmt>
    <rfmt sheetId="1" sqref="W94" start="0" length="0">
      <dxf>
        <border outline="0">
          <left style="thin">
            <color indexed="64"/>
          </left>
          <right style="thin">
            <color indexed="64"/>
          </right>
          <top style="thin">
            <color indexed="64"/>
          </top>
          <bottom style="thin">
            <color indexed="64"/>
          </bottom>
        </border>
      </dxf>
    </rfmt>
    <rfmt sheetId="1" sqref="X94" start="0" length="0">
      <dxf>
        <border outline="0">
          <left style="thin">
            <color indexed="64"/>
          </left>
          <right style="thin">
            <color indexed="64"/>
          </right>
          <top style="thin">
            <color indexed="64"/>
          </top>
          <bottom style="thin">
            <color indexed="64"/>
          </bottom>
        </border>
      </dxf>
    </rfmt>
    <rfmt sheetId="1" sqref="Y94" start="0" length="0">
      <dxf>
        <border outline="0">
          <left style="thin">
            <color indexed="64"/>
          </left>
          <right style="thin">
            <color indexed="64"/>
          </right>
          <top style="thin">
            <color indexed="64"/>
          </top>
          <bottom style="thin">
            <color indexed="64"/>
          </bottom>
        </border>
      </dxf>
    </rfmt>
    <rfmt sheetId="1" sqref="Z94" start="0" length="0">
      <dxf>
        <border outline="0">
          <left style="thin">
            <color indexed="64"/>
          </left>
          <right style="thin">
            <color indexed="64"/>
          </right>
          <top style="thin">
            <color indexed="64"/>
          </top>
          <bottom style="thin">
            <color indexed="64"/>
          </bottom>
        </border>
      </dxf>
    </rfmt>
    <rfmt sheetId="1" sqref="AA94" start="0" length="0">
      <dxf>
        <border outline="0">
          <left style="thin">
            <color indexed="64"/>
          </left>
          <right style="thin">
            <color indexed="64"/>
          </right>
          <top style="thin">
            <color indexed="64"/>
          </top>
          <bottom style="thin">
            <color indexed="64"/>
          </bottom>
        </border>
      </dxf>
    </rfmt>
    <rfmt sheetId="1" sqref="AB94" start="0" length="0">
      <dxf>
        <border outline="0">
          <left style="thin">
            <color indexed="64"/>
          </left>
          <right style="thin">
            <color indexed="64"/>
          </right>
          <top style="thin">
            <color indexed="64"/>
          </top>
          <bottom style="thin">
            <color indexed="64"/>
          </bottom>
        </border>
      </dxf>
    </rfmt>
    <rfmt sheetId="1" sqref="AC94" start="0" length="0">
      <dxf>
        <border outline="0">
          <left style="thin">
            <color indexed="64"/>
          </left>
          <right style="thin">
            <color indexed="64"/>
          </right>
          <top style="thin">
            <color indexed="64"/>
          </top>
          <bottom style="thin">
            <color indexed="64"/>
          </bottom>
        </border>
      </dxf>
    </rfmt>
    <rfmt sheetId="1" sqref="AD94" start="0" length="0">
      <dxf>
        <numFmt numFmtId="164" formatCode="_-* #,##0_-;\-* #,##0_-;_-* &quot;-&quot;??_-;_-@_-"/>
        <border outline="0">
          <left style="thin">
            <color indexed="64"/>
          </left>
          <right style="thin">
            <color indexed="64"/>
          </right>
          <top style="thin">
            <color indexed="64"/>
          </top>
          <bottom style="thin">
            <color indexed="64"/>
          </bottom>
        </border>
      </dxf>
    </rfmt>
    <rfmt sheetId="1" sqref="AE94" start="0" length="0">
      <dxf>
        <numFmt numFmtId="27" formatCode="dd/mm/yyyy\ h:mm"/>
        <border outline="0">
          <left style="thin">
            <color indexed="64"/>
          </left>
          <right style="thin">
            <color indexed="64"/>
          </right>
          <top style="thin">
            <color indexed="64"/>
          </top>
          <bottom style="thin">
            <color indexed="64"/>
          </bottom>
        </border>
      </dxf>
    </rfmt>
    <rfmt sheetId="1" sqref="AF94" start="0" length="0">
      <dxf>
        <numFmt numFmtId="164" formatCode="_-* #,##0_-;\-* #,##0_-;_-* &quot;-&quot;??_-;_-@_-"/>
        <border outline="0">
          <left style="thin">
            <color indexed="64"/>
          </left>
          <right style="thin">
            <color indexed="64"/>
          </right>
          <top style="thin">
            <color indexed="64"/>
          </top>
          <bottom style="thin">
            <color indexed="64"/>
          </bottom>
        </border>
      </dxf>
    </rfmt>
    <rfmt sheetId="1" sqref="AG94" start="0" length="0">
      <dxf>
        <numFmt numFmtId="27" formatCode="dd/mm/yyyy\ h:mm"/>
        <border outline="0">
          <left style="thin">
            <color indexed="64"/>
          </left>
          <right style="thin">
            <color indexed="64"/>
          </right>
          <top style="thin">
            <color indexed="64"/>
          </top>
          <bottom style="thin">
            <color indexed="64"/>
          </bottom>
        </border>
      </dxf>
    </rfmt>
    <rfmt sheetId="1" sqref="AH94" start="0" length="0">
      <dxf>
        <numFmt numFmtId="164" formatCode="_-* #,##0_-;\-* #,##0_-;_-* &quot;-&quot;??_-;_-@_-"/>
        <border outline="0">
          <left style="thin">
            <color indexed="64"/>
          </left>
          <right style="thin">
            <color indexed="64"/>
          </right>
          <top style="thin">
            <color indexed="64"/>
          </top>
          <bottom style="thin">
            <color indexed="64"/>
          </bottom>
        </border>
      </dxf>
    </rfmt>
    <rfmt sheetId="1" sqref="AI94" start="0" length="0">
      <dxf>
        <border outline="0">
          <left style="thin">
            <color indexed="64"/>
          </left>
          <right style="thin">
            <color indexed="64"/>
          </right>
          <top style="thin">
            <color indexed="64"/>
          </top>
          <bottom style="thin">
            <color indexed="64"/>
          </bottom>
        </border>
      </dxf>
    </rfmt>
    <rfmt sheetId="1" sqref="AJ94" start="0" length="0">
      <dxf>
        <border outline="0">
          <left style="thin">
            <color indexed="64"/>
          </left>
          <right style="thin">
            <color indexed="64"/>
          </right>
          <top style="thin">
            <color indexed="64"/>
          </top>
          <bottom style="thin">
            <color indexed="64"/>
          </bottom>
        </border>
      </dxf>
    </rfmt>
    <rfmt sheetId="1" sqref="AK94" start="0" length="0">
      <dxf>
        <border outline="0">
          <left style="thin">
            <color indexed="64"/>
          </left>
          <right style="thin">
            <color indexed="64"/>
          </right>
          <top style="thin">
            <color indexed="64"/>
          </top>
          <bottom style="thin">
            <color indexed="64"/>
          </bottom>
        </border>
      </dxf>
    </rfmt>
    <rfmt sheetId="1" sqref="AM94" start="0" length="0">
      <dxf>
        <numFmt numFmtId="1" formatCode="0"/>
      </dxf>
    </rfmt>
    <rfmt sheetId="1" sqref="AN94" start="0" length="0">
      <dxf>
        <numFmt numFmtId="1" formatCode="0"/>
      </dxf>
    </rfmt>
    <rfmt sheetId="1" sqref="AQ94" start="0" length="0">
      <dxf>
        <numFmt numFmtId="164" formatCode="_-* #,##0_-;\-* #,##0_-;_-* &quot;-&quot;??_-;_-@_-"/>
      </dxf>
    </rfmt>
    <rfmt sheetId="1" sqref="AR94" start="0" length="0">
      <dxf>
        <numFmt numFmtId="164" formatCode="_-* #,##0_-;\-* #,##0_-;_-* &quot;-&quot;??_-;_-@_-"/>
      </dxf>
    </rfmt>
    <rfmt sheetId="1" sqref="AS94" start="0" length="0">
      <dxf>
        <numFmt numFmtId="164" formatCode="_-* #,##0_-;\-* #,##0_-;_-* &quot;-&quot;??_-;_-@_-"/>
      </dxf>
    </rfmt>
    <rfmt sheetId="1" sqref="AT94" start="0" length="0">
      <dxf>
        <numFmt numFmtId="164" formatCode="_-* #,##0_-;\-* #,##0_-;_-* &quot;-&quot;??_-;_-@_-"/>
      </dxf>
    </rfmt>
  </rm>
  <rrc rId="3092" sId="1" ref="A91:XFD91" action="deleteRow">
    <rfmt sheetId="1" xfDxf="1" sqref="A91:XFD91" start="0" length="0"/>
    <rfmt sheetId="1" sqref="A91" start="0" length="0">
      <dxf>
        <alignment horizontal="center" vertical="top" readingOrder="0"/>
      </dxf>
    </rfmt>
    <rfmt sheetId="1" sqref="M91" start="0" length="0">
      <dxf>
        <numFmt numFmtId="35" formatCode="_-* #,##0.00_-;\-* #,##0.00_-;_-* &quot;-&quot;??_-;_-@_-"/>
      </dxf>
    </rfmt>
    <rfmt sheetId="1" sqref="N91" start="0" length="0">
      <dxf>
        <numFmt numFmtId="35" formatCode="_-* #,##0.00_-;\-* #,##0.00_-;_-* &quot;-&quot;??_-;_-@_-"/>
      </dxf>
    </rfmt>
    <rfmt sheetId="1" sqref="R91" start="0" length="0">
      <dxf>
        <numFmt numFmtId="35" formatCode="_-* #,##0.00_-;\-* #,##0.00_-;_-* &quot;-&quot;??_-;_-@_-"/>
      </dxf>
    </rfmt>
    <rfmt sheetId="1" sqref="S91" start="0" length="0">
      <dxf>
        <numFmt numFmtId="35" formatCode="_-* #,##0.00_-;\-* #,##0.00_-;_-* &quot;-&quot;??_-;_-@_-"/>
      </dxf>
    </rfmt>
  </rrc>
  <rrc rId="3093" sId="1" ref="A91:XFD91" action="deleteRow">
    <rfmt sheetId="1" xfDxf="1" sqref="A91:XFD91" start="0" length="0">
      <dxf>
        <font>
          <name val="Calibri"/>
          <scheme val="none"/>
        </font>
      </dxf>
    </rfmt>
    <rfmt sheetId="1" sqref="A91" start="0" length="0">
      <dxf>
        <alignment horizontal="center" vertical="top" readingOrder="0"/>
        <border outline="0">
          <left style="thin">
            <color indexed="64"/>
          </left>
          <right style="thin">
            <color indexed="64"/>
          </right>
          <top style="thin">
            <color indexed="64"/>
          </top>
          <bottom style="thin">
            <color indexed="64"/>
          </bottom>
        </border>
      </dxf>
    </rfmt>
    <rfmt sheetId="1" sqref="B91" start="0" length="0">
      <dxf>
        <border outline="0">
          <left style="thin">
            <color indexed="64"/>
          </left>
          <right style="thin">
            <color indexed="64"/>
          </right>
          <top style="thin">
            <color indexed="64"/>
          </top>
          <bottom style="thin">
            <color indexed="64"/>
          </bottom>
        </border>
      </dxf>
    </rfmt>
    <rfmt sheetId="1" sqref="C91" start="0" length="0">
      <dxf>
        <border outline="0">
          <left style="thin">
            <color indexed="64"/>
          </left>
          <right style="thin">
            <color indexed="64"/>
          </right>
          <top style="thin">
            <color indexed="64"/>
          </top>
          <bottom style="thin">
            <color indexed="64"/>
          </bottom>
        </border>
      </dxf>
    </rfmt>
    <rfmt sheetId="1" sqref="D91" start="0" length="0">
      <dxf>
        <border outline="0">
          <left style="thin">
            <color indexed="64"/>
          </left>
          <right style="thin">
            <color indexed="64"/>
          </right>
          <top style="thin">
            <color indexed="64"/>
          </top>
          <bottom style="thin">
            <color indexed="64"/>
          </bottom>
        </border>
      </dxf>
    </rfmt>
    <rfmt sheetId="1" sqref="E91" start="0" length="0">
      <dxf>
        <border outline="0">
          <left style="thin">
            <color indexed="64"/>
          </left>
          <right style="thin">
            <color indexed="64"/>
          </right>
          <top style="thin">
            <color indexed="64"/>
          </top>
          <bottom style="thin">
            <color indexed="64"/>
          </bottom>
        </border>
      </dxf>
    </rfmt>
    <rfmt sheetId="1" sqref="F91" start="0" length="0">
      <dxf>
        <numFmt numFmtId="19" formatCode="dd/mm/yyyy"/>
        <border outline="0">
          <left style="thin">
            <color indexed="64"/>
          </left>
          <right style="thin">
            <color indexed="64"/>
          </right>
          <top style="thin">
            <color indexed="64"/>
          </top>
          <bottom style="thin">
            <color indexed="64"/>
          </bottom>
        </border>
      </dxf>
    </rfmt>
    <rfmt sheetId="1" sqref="G91" start="0" length="0">
      <dxf>
        <numFmt numFmtId="19" formatCode="dd/mm/yyyy"/>
        <border outline="0">
          <left style="thin">
            <color indexed="64"/>
          </left>
          <right style="thin">
            <color indexed="64"/>
          </right>
          <top style="thin">
            <color indexed="64"/>
          </top>
          <bottom style="thin">
            <color indexed="64"/>
          </bottom>
        </border>
      </dxf>
    </rfmt>
    <rfmt sheetId="1" sqref="H91" start="0" length="0">
      <dxf>
        <numFmt numFmtId="164" formatCode="_-* #,##0_-;\-* #,##0_-;_-* &quot;-&quot;??_-;_-@_-"/>
        <border outline="0">
          <left style="thin">
            <color indexed="64"/>
          </left>
          <right style="thin">
            <color indexed="64"/>
          </right>
          <top style="thin">
            <color indexed="64"/>
          </top>
          <bottom style="thin">
            <color indexed="64"/>
          </bottom>
        </border>
      </dxf>
    </rfmt>
    <rfmt sheetId="1" sqref="I91" start="0" length="0">
      <dxf>
        <border outline="0">
          <left style="thin">
            <color indexed="64"/>
          </left>
          <right style="thin">
            <color indexed="64"/>
          </right>
          <top style="thin">
            <color indexed="64"/>
          </top>
          <bottom style="thin">
            <color indexed="64"/>
          </bottom>
        </border>
      </dxf>
    </rfmt>
    <rfmt sheetId="1" sqref="J91" start="0" length="0">
      <dxf>
        <border outline="0">
          <left style="thin">
            <color indexed="64"/>
          </left>
          <right style="thin">
            <color indexed="64"/>
          </right>
          <top style="thin">
            <color indexed="64"/>
          </top>
          <bottom style="thin">
            <color indexed="64"/>
          </bottom>
        </border>
      </dxf>
    </rfmt>
    <rfmt sheetId="1" sqref="K91" start="0" length="0">
      <dxf>
        <border outline="0">
          <left style="thin">
            <color indexed="64"/>
          </left>
          <right style="thin">
            <color indexed="64"/>
          </right>
          <top style="thin">
            <color indexed="64"/>
          </top>
          <bottom style="thin">
            <color indexed="64"/>
          </bottom>
        </border>
      </dxf>
    </rfmt>
    <rfmt sheetId="1" sqref="L91" start="0" length="0">
      <dxf>
        <border outline="0">
          <left style="thin">
            <color indexed="64"/>
          </left>
          <right style="thin">
            <color indexed="64"/>
          </right>
          <top style="thin">
            <color indexed="64"/>
          </top>
          <bottom style="thin">
            <color indexed="64"/>
          </bottom>
        </border>
      </dxf>
    </rfmt>
    <rfmt sheetId="1" sqref="M91" start="0" length="0">
      <dxf>
        <numFmt numFmtId="35" formatCode="_-* #,##0.00_-;\-* #,##0.00_-;_-* &quot;-&quot;??_-;_-@_-"/>
        <border outline="0">
          <left style="thin">
            <color indexed="64"/>
          </left>
          <right style="thin">
            <color indexed="64"/>
          </right>
          <top style="thin">
            <color indexed="64"/>
          </top>
          <bottom style="thin">
            <color indexed="64"/>
          </bottom>
        </border>
      </dxf>
    </rfmt>
    <rfmt sheetId="1" sqref="N91" start="0" length="0">
      <dxf>
        <numFmt numFmtId="35" formatCode="_-* #,##0.00_-;\-* #,##0.00_-;_-* &quot;-&quot;??_-;_-@_-"/>
        <border outline="0">
          <left style="thin">
            <color indexed="64"/>
          </left>
          <right style="thin">
            <color indexed="64"/>
          </right>
          <top style="thin">
            <color indexed="64"/>
          </top>
          <bottom style="thin">
            <color indexed="64"/>
          </bottom>
        </border>
      </dxf>
    </rfmt>
    <rfmt sheetId="1" sqref="O91" start="0" length="0">
      <dxf>
        <numFmt numFmtId="164" formatCode="_-* #,##0_-;\-* #,##0_-;_-* &quot;-&quot;??_-;_-@_-"/>
        <border outline="0">
          <left style="thin">
            <color indexed="64"/>
          </left>
          <right style="thin">
            <color indexed="64"/>
          </right>
          <top style="thin">
            <color indexed="64"/>
          </top>
          <bottom style="thin">
            <color indexed="64"/>
          </bottom>
        </border>
      </dxf>
    </rfmt>
    <rfmt sheetId="1" sqref="P91" start="0" length="0">
      <dxf>
        <numFmt numFmtId="164" formatCode="_-* #,##0_-;\-* #,##0_-;_-* &quot;-&quot;??_-;_-@_-"/>
        <border outline="0">
          <left style="thin">
            <color indexed="64"/>
          </left>
          <right style="thin">
            <color indexed="64"/>
          </right>
          <top style="thin">
            <color indexed="64"/>
          </top>
          <bottom style="thin">
            <color indexed="64"/>
          </bottom>
        </border>
      </dxf>
    </rfmt>
    <rfmt sheetId="1" sqref="Q91" start="0" length="0">
      <dxf>
        <numFmt numFmtId="164" formatCode="_-* #,##0_-;\-* #,##0_-;_-* &quot;-&quot;??_-;_-@_-"/>
        <border outline="0">
          <left style="thin">
            <color indexed="64"/>
          </left>
          <right style="thin">
            <color indexed="64"/>
          </right>
          <top style="thin">
            <color indexed="64"/>
          </top>
          <bottom style="thin">
            <color indexed="64"/>
          </bottom>
        </border>
      </dxf>
    </rfmt>
    <rfmt sheetId="1" sqref="R91" start="0" length="0">
      <dxf>
        <numFmt numFmtId="35" formatCode="_-* #,##0.00_-;\-* #,##0.00_-;_-* &quot;-&quot;??_-;_-@_-"/>
        <border outline="0">
          <left style="thin">
            <color indexed="64"/>
          </left>
          <right style="thin">
            <color indexed="64"/>
          </right>
          <top style="thin">
            <color indexed="64"/>
          </top>
          <bottom style="thin">
            <color indexed="64"/>
          </bottom>
        </border>
      </dxf>
    </rfmt>
    <rfmt sheetId="1" sqref="S91" start="0" length="0">
      <dxf>
        <numFmt numFmtId="35" formatCode="_-* #,##0.00_-;\-* #,##0.00_-;_-* &quot;-&quot;??_-;_-@_-"/>
        <border outline="0">
          <left style="thin">
            <color indexed="64"/>
          </left>
          <right style="thin">
            <color indexed="64"/>
          </right>
          <top style="thin">
            <color indexed="64"/>
          </top>
          <bottom style="thin">
            <color indexed="64"/>
          </bottom>
        </border>
      </dxf>
    </rfmt>
    <rfmt sheetId="1" sqref="T91" start="0" length="0">
      <dxf>
        <numFmt numFmtId="19" formatCode="dd/mm/yyyy"/>
        <border outline="0">
          <left style="thin">
            <color indexed="64"/>
          </left>
          <right style="thin">
            <color indexed="64"/>
          </right>
          <top style="thin">
            <color indexed="64"/>
          </top>
          <bottom style="thin">
            <color indexed="64"/>
          </bottom>
        </border>
      </dxf>
    </rfmt>
    <rfmt sheetId="1" sqref="U91" start="0" length="0">
      <dxf>
        <border outline="0">
          <left style="thin">
            <color indexed="64"/>
          </left>
          <right style="thin">
            <color indexed="64"/>
          </right>
          <top style="thin">
            <color indexed="64"/>
          </top>
          <bottom style="thin">
            <color indexed="64"/>
          </bottom>
        </border>
      </dxf>
    </rfmt>
    <rfmt sheetId="1" sqref="V91" start="0" length="0">
      <dxf>
        <border outline="0">
          <left style="thin">
            <color indexed="64"/>
          </left>
          <right style="thin">
            <color indexed="64"/>
          </right>
          <top style="thin">
            <color indexed="64"/>
          </top>
          <bottom style="thin">
            <color indexed="64"/>
          </bottom>
        </border>
      </dxf>
    </rfmt>
    <rfmt sheetId="1" sqref="W91" start="0" length="0">
      <dxf>
        <border outline="0">
          <left style="thin">
            <color indexed="64"/>
          </left>
          <right style="thin">
            <color indexed="64"/>
          </right>
          <top style="thin">
            <color indexed="64"/>
          </top>
          <bottom style="thin">
            <color indexed="64"/>
          </bottom>
        </border>
      </dxf>
    </rfmt>
    <rfmt sheetId="1" sqref="X91" start="0" length="0">
      <dxf>
        <border outline="0">
          <left style="thin">
            <color indexed="64"/>
          </left>
          <right style="thin">
            <color indexed="64"/>
          </right>
          <top style="thin">
            <color indexed="64"/>
          </top>
          <bottom style="thin">
            <color indexed="64"/>
          </bottom>
        </border>
      </dxf>
    </rfmt>
    <rfmt sheetId="1" sqref="Y91" start="0" length="0">
      <dxf>
        <border outline="0">
          <left style="thin">
            <color indexed="64"/>
          </left>
          <right style="thin">
            <color indexed="64"/>
          </right>
          <top style="thin">
            <color indexed="64"/>
          </top>
          <bottom style="thin">
            <color indexed="64"/>
          </bottom>
        </border>
      </dxf>
    </rfmt>
    <rfmt sheetId="1" sqref="Z91" start="0" length="0">
      <dxf>
        <border outline="0">
          <left style="thin">
            <color indexed="64"/>
          </left>
          <right style="thin">
            <color indexed="64"/>
          </right>
          <top style="thin">
            <color indexed="64"/>
          </top>
          <bottom style="thin">
            <color indexed="64"/>
          </bottom>
        </border>
      </dxf>
    </rfmt>
    <rfmt sheetId="1" sqref="AA91" start="0" length="0">
      <dxf>
        <border outline="0">
          <left style="thin">
            <color indexed="64"/>
          </left>
          <right style="thin">
            <color indexed="64"/>
          </right>
          <top style="thin">
            <color indexed="64"/>
          </top>
          <bottom style="thin">
            <color indexed="64"/>
          </bottom>
        </border>
      </dxf>
    </rfmt>
    <rfmt sheetId="1" sqref="AB91" start="0" length="0">
      <dxf>
        <border outline="0">
          <left style="thin">
            <color indexed="64"/>
          </left>
          <right style="thin">
            <color indexed="64"/>
          </right>
          <top style="thin">
            <color indexed="64"/>
          </top>
          <bottom style="thin">
            <color indexed="64"/>
          </bottom>
        </border>
      </dxf>
    </rfmt>
    <rfmt sheetId="1" sqref="AC91" start="0" length="0">
      <dxf>
        <border outline="0">
          <left style="thin">
            <color indexed="64"/>
          </left>
          <right style="thin">
            <color indexed="64"/>
          </right>
          <top style="thin">
            <color indexed="64"/>
          </top>
          <bottom style="thin">
            <color indexed="64"/>
          </bottom>
        </border>
      </dxf>
    </rfmt>
    <rfmt sheetId="1" sqref="AD91" start="0" length="0">
      <dxf>
        <numFmt numFmtId="164" formatCode="_-* #,##0_-;\-* #,##0_-;_-* &quot;-&quot;??_-;_-@_-"/>
        <border outline="0">
          <left style="thin">
            <color indexed="64"/>
          </left>
          <right style="thin">
            <color indexed="64"/>
          </right>
          <top style="thin">
            <color indexed="64"/>
          </top>
          <bottom style="thin">
            <color indexed="64"/>
          </bottom>
        </border>
      </dxf>
    </rfmt>
    <rfmt sheetId="1" sqref="AE91" start="0" length="0">
      <dxf>
        <numFmt numFmtId="27" formatCode="dd/mm/yyyy\ h:mm"/>
        <border outline="0">
          <left style="thin">
            <color indexed="64"/>
          </left>
          <right style="thin">
            <color indexed="64"/>
          </right>
          <top style="thin">
            <color indexed="64"/>
          </top>
          <bottom style="thin">
            <color indexed="64"/>
          </bottom>
        </border>
      </dxf>
    </rfmt>
    <rfmt sheetId="1" sqref="AF91" start="0" length="0">
      <dxf>
        <numFmt numFmtId="164" formatCode="_-* #,##0_-;\-* #,##0_-;_-* &quot;-&quot;??_-;_-@_-"/>
        <border outline="0">
          <left style="thin">
            <color indexed="64"/>
          </left>
          <right style="thin">
            <color indexed="64"/>
          </right>
          <top style="thin">
            <color indexed="64"/>
          </top>
          <bottom style="thin">
            <color indexed="64"/>
          </bottom>
        </border>
      </dxf>
    </rfmt>
    <rfmt sheetId="1" sqref="AG91" start="0" length="0">
      <dxf>
        <numFmt numFmtId="27" formatCode="dd/mm/yyyy\ h:mm"/>
        <border outline="0">
          <left style="thin">
            <color indexed="64"/>
          </left>
          <right style="thin">
            <color indexed="64"/>
          </right>
          <top style="thin">
            <color indexed="64"/>
          </top>
          <bottom style="thin">
            <color indexed="64"/>
          </bottom>
        </border>
      </dxf>
    </rfmt>
    <rfmt sheetId="1" sqref="AH91" start="0" length="0">
      <dxf>
        <numFmt numFmtId="164" formatCode="_-* #,##0_-;\-* #,##0_-;_-* &quot;-&quot;??_-;_-@_-"/>
        <border outline="0">
          <left style="thin">
            <color indexed="64"/>
          </left>
          <right style="thin">
            <color indexed="64"/>
          </right>
          <top style="thin">
            <color indexed="64"/>
          </top>
          <bottom style="thin">
            <color indexed="64"/>
          </bottom>
        </border>
      </dxf>
    </rfmt>
    <rfmt sheetId="1" sqref="AI91" start="0" length="0">
      <dxf>
        <border outline="0">
          <left style="thin">
            <color indexed="64"/>
          </left>
          <right style="thin">
            <color indexed="64"/>
          </right>
          <top style="thin">
            <color indexed="64"/>
          </top>
          <bottom style="thin">
            <color indexed="64"/>
          </bottom>
        </border>
      </dxf>
    </rfmt>
    <rfmt sheetId="1" sqref="AJ91" start="0" length="0">
      <dxf>
        <border outline="0">
          <left style="thin">
            <color indexed="64"/>
          </left>
          <right style="thin">
            <color indexed="64"/>
          </right>
          <top style="thin">
            <color indexed="64"/>
          </top>
          <bottom style="thin">
            <color indexed="64"/>
          </bottom>
        </border>
      </dxf>
    </rfmt>
    <rfmt sheetId="1" sqref="AK91" start="0" length="0">
      <dxf>
        <border outline="0">
          <left style="thin">
            <color indexed="64"/>
          </left>
          <right style="thin">
            <color indexed="64"/>
          </right>
          <top style="thin">
            <color indexed="64"/>
          </top>
          <bottom style="thin">
            <color indexed="64"/>
          </bottom>
        </border>
      </dxf>
    </rfmt>
    <rfmt sheetId="1" sqref="AM91" start="0" length="0">
      <dxf>
        <numFmt numFmtId="1" formatCode="0"/>
      </dxf>
    </rfmt>
    <rfmt sheetId="1" sqref="AN91" start="0" length="0">
      <dxf>
        <numFmt numFmtId="1" formatCode="0"/>
      </dxf>
    </rfmt>
    <rfmt sheetId="1" sqref="AQ91" start="0" length="0">
      <dxf>
        <numFmt numFmtId="164" formatCode="_-* #,##0_-;\-* #,##0_-;_-* &quot;-&quot;??_-;_-@_-"/>
      </dxf>
    </rfmt>
    <rfmt sheetId="1" sqref="AR91" start="0" length="0">
      <dxf>
        <numFmt numFmtId="164" formatCode="_-* #,##0_-;\-* #,##0_-;_-* &quot;-&quot;??_-;_-@_-"/>
      </dxf>
    </rfmt>
    <rfmt sheetId="1" sqref="AS91" start="0" length="0">
      <dxf>
        <numFmt numFmtId="164" formatCode="_-* #,##0_-;\-* #,##0_-;_-* &quot;-&quot;??_-;_-@_-"/>
      </dxf>
    </rfmt>
    <rfmt sheetId="1" sqref="AT91" start="0" length="0">
      <dxf>
        <numFmt numFmtId="164" formatCode="_-* #,##0_-;\-* #,##0_-;_-* &quot;-&quot;??_-;_-@_-"/>
      </dxf>
    </rfmt>
  </rrc>
  <rcc rId="3094" sId="1">
    <nc r="A91">
      <v>90</v>
    </nc>
  </rcc>
  <rcc rId="3095" sId="1">
    <nc r="D91">
      <v>2</v>
    </nc>
  </rcc>
  <rcc rId="3096" sId="1">
    <nc r="M91">
      <f>+N91-H91</f>
    </nc>
  </rcc>
  <rcc rId="3097" sId="1">
    <nc r="K91" t="inlineStr">
      <is>
        <t>Alquiler</t>
      </is>
    </nc>
  </rcc>
  <rcc rId="3098" sId="1" numFmtId="19">
    <nc r="F91">
      <v>46100</v>
    </nc>
  </rcc>
  <rcc rId="3099" sId="1" numFmtId="19">
    <nc r="G91">
      <v>46101</v>
    </nc>
  </rcc>
  <rcc rId="3100" sId="1">
    <nc r="E91" t="inlineStr">
      <is>
        <t>19/03 al 20/03/2026</t>
      </is>
    </nc>
  </rcc>
  <rcc rId="3101" sId="1" numFmtId="34">
    <nc r="N91">
      <v>1878.33</v>
    </nc>
  </rcc>
  <rcc rId="3102" sId="1">
    <nc r="O91">
      <f>19+5</f>
    </nc>
  </rcc>
  <rcc rId="3103" sId="1">
    <nc r="Q91">
      <f>+P91+O91</f>
    </nc>
  </rcc>
  <rcc rId="3104" sId="1">
    <nc r="R91">
      <f>(N91/Q91)</f>
    </nc>
  </rcc>
  <rcc rId="3105" sId="1">
    <nc r="S91">
      <f>(('Costo por negocio'!$B$3-DATA!R91)*DATA!O91)+('Costo por negocio'!$C$3-DATA!R91)*DATA!P91</f>
    </nc>
  </rcc>
  <rcc rId="3106" sId="1">
    <nc r="U91" t="inlineStr">
      <is>
        <t>SI</t>
      </is>
    </nc>
  </rcc>
  <rcc rId="3107" sId="1">
    <nc r="V91" t="inlineStr">
      <is>
        <t>SI</t>
      </is>
    </nc>
  </rcc>
  <rcc rId="3108" sId="1">
    <nc r="W91" t="inlineStr">
      <is>
        <t>SI</t>
      </is>
    </nc>
  </rcc>
  <rcc rId="3109" sId="1" numFmtId="19">
    <nc r="T91">
      <v>46106</v>
    </nc>
  </rcc>
  <rcc rId="3110" sId="1">
    <nc r="Y91" t="inlineStr">
      <is>
        <t>ABD 6876</t>
      </is>
    </nc>
  </rcc>
  <rcc rId="3111" sId="1" numFmtId="34">
    <nc r="AD91">
      <v>72951</v>
    </nc>
  </rcc>
  <rcc rId="3112" sId="1" numFmtId="27">
    <nc r="AE91">
      <v>46100.40902777778</v>
    </nc>
  </rcc>
  <rcc rId="3113" sId="1" numFmtId="34">
    <nc r="AF91">
      <v>73199</v>
    </nc>
  </rcc>
  <rcc rId="3114" sId="1" numFmtId="27">
    <nc r="AG91">
      <v>46102.396527777775</v>
    </nc>
  </rcc>
  <rcc rId="3115" sId="1">
    <nc r="AH91">
      <f>+AF91-AD91</f>
    </nc>
  </rcc>
  <rcc rId="3116" sId="1">
    <nc r="AI91">
      <v>2</v>
    </nc>
  </rcc>
  <rcc rId="3117" sId="1">
    <nc r="AJ91">
      <f>+AI91*5</f>
    </nc>
  </rcc>
  <rcc rId="3118" sId="1">
    <nc r="AK91">
      <f>+Q91-AJ91</f>
    </nc>
  </rcc>
  <rcc rId="3119" sId="1">
    <nc r="AM91">
      <f>+AH91/Q91</f>
    </nc>
  </rcc>
  <rcc rId="3120" sId="1">
    <nc r="AN91">
      <f>+Q91/AI91</f>
    </nc>
  </rcc>
  <rcc rId="3121" sId="1">
    <nc r="AQ91">
      <f>+N91/78.54</f>
    </nc>
  </rcc>
  <rcc rId="3122" sId="1">
    <nc r="AR91">
      <f>+AH91/11</f>
    </nc>
  </rcc>
  <rcc rId="3123" sId="1">
    <nc r="AS91">
      <f>+AR91-AQ91</f>
    </nc>
  </rcc>
  <rcc rId="3124" sId="1">
    <nc r="AT91">
      <f>+AH91/AQ91</f>
    </nc>
  </rcc>
  <rfmt sheetId="1" sqref="A91:AK91">
    <dxf>
      <fill>
        <patternFill patternType="solid">
          <bgColor rgb="FF92D050"/>
        </patternFill>
      </fill>
    </dxf>
  </rfmt>
  <rcv guid="{D015136D-255F-4042-9389-EB535F138010}" action="delete"/>
  <rdn rId="0" localSheetId="1" customView="1" name="Z_D015136D_255F_4042_9389_EB535F138010_.wvu.FilterData" hidden="1" oldHidden="1">
    <formula>DATA!$A$1:$AY$92</formula>
    <oldFormula>DATA!$A$1:$AY$1</oldFormula>
  </rdn>
  <rcv guid="{D015136D-255F-4042-9389-EB535F138010}" action="add"/>
</revisions>
</file>

<file path=xl/revisions/revisionLog2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41D3FB0-5142-496B-B92F-3F303994F17B}" action="delete"/>
  <rdn rId="0" localSheetId="1" customView="1" name="Z_D41D3FB0_5142_496B_B92F_3F303994F17B_.wvu.FilterData" hidden="1" oldHidden="1">
    <formula>DATA!$A$1:$AK$92</formula>
    <oldFormula>DATA!$A$1:$AK$92</oldFormula>
  </rdn>
  <rcv guid="{D41D3FB0-5142-496B-B92F-3F303994F17B}" action="add"/>
</revisions>
</file>

<file path=xl/revisions/revisionLog2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93" start="0" length="0">
    <dxf>
      <fill>
        <patternFill patternType="solid">
          <bgColor rgb="FFFFFF00"/>
        </patternFill>
      </fill>
    </dxf>
  </rfmt>
  <rcc rId="3127" sId="1">
    <nc r="B93" t="inlineStr">
      <is>
        <t>Ignacio Ceroni</t>
      </is>
    </nc>
  </rcc>
  <rcc rId="3128" sId="1">
    <nc r="C93">
      <v>3007</v>
    </nc>
  </rcc>
  <rcc rId="3129" sId="1" numFmtId="34">
    <nc r="H93">
      <v>3000</v>
    </nc>
  </rcc>
  <rcc rId="3130" sId="1">
    <nc r="J93" t="inlineStr">
      <is>
        <t>Montevideo</t>
      </is>
    </nc>
  </rcc>
  <rcc rId="3131" sId="1">
    <nc r="K93" t="inlineStr">
      <is>
        <t>Alquiler</t>
      </is>
    </nc>
  </rcc>
  <rcc rId="3132" sId="1">
    <nc r="D93">
      <v>3</v>
    </nc>
  </rcc>
  <rcc rId="3133" sId="1">
    <nc r="E93" t="inlineStr">
      <is>
        <t>30/03 al 01/04/2026</t>
      </is>
    </nc>
  </rcc>
  <rcc rId="3134" sId="1" numFmtId="19">
    <nc r="F93">
      <v>46111</v>
    </nc>
  </rcc>
  <rcc rId="3135" sId="1" numFmtId="19">
    <nc r="G93">
      <v>46113</v>
    </nc>
  </rcc>
  <rcc rId="3136" sId="1">
    <nc r="I93">
      <v>15</v>
    </nc>
  </rcc>
  <rcv guid="{D015136D-255F-4042-9389-EB535F138010}" action="delete"/>
  <rdn rId="0" localSheetId="1" customView="1" name="Z_D015136D_255F_4042_9389_EB535F138010_.wvu.FilterData" hidden="1" oldHidden="1">
    <formula>DATA!$A$1:$AY$92</formula>
    <oldFormula>DATA!$A$1:$AY$92</oldFormula>
  </rdn>
  <rcv guid="{D015136D-255F-4042-9389-EB535F138010}" action="add"/>
</revisions>
</file>

<file path=xl/revisions/revisionLog2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91:AK91">
    <dxf>
      <fill>
        <patternFill>
          <bgColor rgb="FF00B050"/>
        </patternFill>
      </fill>
    </dxf>
  </rfmt>
  <rcc rId="3138" sId="1" odxf="1" dxf="1" numFmtId="19">
    <nc r="Z91">
      <v>46106</v>
    </nc>
    <odxf>
      <numFmt numFmtId="0" formatCode="General"/>
    </odxf>
    <ndxf>
      <numFmt numFmtId="19" formatCode="d/m/yyyy"/>
    </ndxf>
  </rcc>
</revisions>
</file>

<file path=xl/revisions/revisionLog2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39" sId="1">
    <nc r="A92">
      <v>91</v>
    </nc>
  </rcc>
  <rcc rId="3140" sId="1">
    <nc r="A93">
      <v>92</v>
    </nc>
  </rcc>
  <rfmt sheetId="1" sqref="A92:A93">
    <dxf>
      <fill>
        <patternFill patternType="none">
          <bgColor auto="1"/>
        </patternFill>
      </fill>
    </dxf>
  </rfmt>
  <rcv guid="{D015136D-255F-4042-9389-EB535F138010}" action="delete"/>
  <rdn rId="0" localSheetId="1" customView="1" name="Z_D015136D_255F_4042_9389_EB535F138010_.wvu.FilterData" hidden="1" oldHidden="1">
    <formula>DATA!$A$1:$AY$92</formula>
    <oldFormula>DATA!$A$1:$AY$92</oldFormula>
  </rdn>
  <rcv guid="{D015136D-255F-4042-9389-EB535F138010}" action="add"/>
</revisions>
</file>

<file path=xl/revisions/revisionLog2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DATA!$A$1:$AY$93</formula>
    <oldFormula>DATA!$A$1:$AY$92</oldFormula>
  </rdn>
  <rcv guid="{D015136D-255F-4042-9389-EB535F138010}" action="add"/>
</revisions>
</file>

<file path=xl/revisions/revisionLog2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43" sId="1">
    <nc r="P86">
      <f>+O86+N86</f>
    </nc>
  </rcc>
  <rcc rId="3144" sId="1">
    <nc r="Q86">
      <f>(M86/P86)</f>
    </nc>
  </rcc>
  <rcc rId="3145" sId="1">
    <nc r="R86">
      <f>(('Costo por negocio'!$B$3-DATA!Q86)*DATA!N86)+('Costo por negocio'!$C$3-DATA!Q86)*DATA!O86</f>
    </nc>
  </rcc>
  <rcc rId="3146" sId="1" numFmtId="34">
    <nc r="S86">
      <v>46105</v>
    </nc>
  </rcc>
  <rcc rId="3147" sId="1">
    <nc r="T86" t="inlineStr">
      <is>
        <t>SI</t>
      </is>
    </nc>
  </rcc>
  <rcc rId="3148" sId="1">
    <nc r="U86" t="inlineStr">
      <is>
        <t>SI</t>
      </is>
    </nc>
  </rcc>
  <rcc rId="3149" sId="1">
    <nc r="V86" t="inlineStr">
      <is>
        <t>SI</t>
      </is>
    </nc>
  </rcc>
  <rcc rId="3150" sId="1">
    <nc r="Q86">
      <f>+P86+O86</f>
    </nc>
  </rcc>
  <rcc rId="3151" sId="1">
    <nc r="R86">
      <f>(N86/Q86)</f>
    </nc>
  </rcc>
  <rcc rId="3152" sId="1">
    <nc r="S86">
      <f>(('Costo por negocio'!$B$3-DATA!R86)*DATA!O86)+('Costo por negocio'!$C$3-DATA!R86)*DATA!P86</f>
    </nc>
  </rcc>
  <rcc rId="3153" sId="1">
    <nc r="U86" t="inlineStr">
      <is>
        <t>SI</t>
      </is>
    </nc>
  </rcc>
  <rcc rId="3154" sId="1">
    <nc r="V86" t="inlineStr">
      <is>
        <t>SI</t>
      </is>
    </nc>
  </rcc>
  <rcc rId="3155" sId="1">
    <nc r="W86" t="inlineStr">
      <is>
        <t>SI</t>
      </is>
    </nc>
  </rcc>
  <rcc rId="3156" sId="1" numFmtId="19">
    <nc r="T86">
      <v>46108</v>
    </nc>
  </rcc>
  <rcc rId="3157" sId="1">
    <nc r="Y86" t="inlineStr">
      <is>
        <t>BEC 5477</t>
      </is>
    </nc>
  </rcc>
  <rcc rId="3158" sId="1" numFmtId="34">
    <nc r="AD86">
      <v>85980</v>
    </nc>
  </rcc>
  <rcc rId="3159" sId="1" numFmtId="27">
    <nc r="AE86">
      <v>46104.444444444445</v>
    </nc>
  </rcc>
  <rcc rId="3160" sId="1" numFmtId="34">
    <nc r="AF86">
      <v>86654</v>
    </nc>
  </rcc>
  <rcc rId="3161" sId="1" numFmtId="27">
    <nc r="AG86">
      <v>46108.395833333336</v>
    </nc>
  </rcc>
  <rcc rId="3162" sId="1">
    <nc r="AH86">
      <f>+AF86-AD86</f>
    </nc>
  </rcc>
  <rcc rId="3163" sId="1">
    <nc r="AI86">
      <v>4</v>
    </nc>
  </rcc>
  <rcc rId="3164" sId="1">
    <nc r="AJ86">
      <f>+AI86*5</f>
    </nc>
  </rcc>
  <rcc rId="3165" sId="1">
    <nc r="AK86">
      <f>+Q86-AJ86</f>
    </nc>
  </rcc>
  <rcc rId="3166" sId="1">
    <nc r="AM86">
      <f>+AH86/Q86</f>
    </nc>
  </rcc>
  <rcc rId="3167" sId="1">
    <nc r="AN86">
      <f>+Q86/AI86</f>
    </nc>
  </rcc>
  <rcc rId="3168" sId="1">
    <nc r="AQ86">
      <f>+N86/78.54</f>
    </nc>
  </rcc>
  <rcc rId="3169" sId="1">
    <nc r="AR86">
      <f>+AH86/11</f>
    </nc>
  </rcc>
  <rcc rId="3170" sId="1">
    <nc r="AS86">
      <f>+AR86-AQ86</f>
    </nc>
  </rcc>
  <rcc rId="3171" sId="1">
    <nc r="AT86">
      <f>+AH86/AQ86</f>
    </nc>
  </rcc>
  <rfmt sheetId="1" sqref="A86:AK86">
    <dxf>
      <fill>
        <patternFill patternType="solid">
          <bgColor rgb="FF92D050"/>
        </patternFill>
      </fill>
    </dxf>
  </rfmt>
  <rcv guid="{D015136D-255F-4042-9389-EB535F138010}" action="delete"/>
  <rdn rId="0" localSheetId="1" customView="1" name="Z_D015136D_255F_4042_9389_EB535F138010_.wvu.FilterData" hidden="1" oldHidden="1">
    <formula>DATA!$A$1:$AY$93</formula>
    <oldFormula>DATA!$A$1:$AY$93</oldFormula>
  </rdn>
  <rcv guid="{D015136D-255F-4042-9389-EB535F138010}" action="add"/>
</revisions>
</file>

<file path=xl/revisions/revisionLog2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73" sId="1">
    <nc r="M83">
      <f>+N83-H83</f>
    </nc>
  </rcc>
  <rcc rId="3174" sId="1" numFmtId="34">
    <nc r="N83">
      <v>1300.0999999999999</v>
    </nc>
  </rcc>
  <rcc rId="3175" sId="1" numFmtId="34">
    <nc r="O83">
      <v>6</v>
    </nc>
  </rcc>
  <rcc rId="3176" sId="1">
    <nc r="Q83">
      <f>+P83+O83</f>
    </nc>
  </rcc>
  <rcc rId="3177" sId="1">
    <nc r="R83">
      <f>(N83/Q83)</f>
    </nc>
  </rcc>
  <rcc rId="3178" sId="1">
    <nc r="S83">
      <f>(('Costo por negocio'!$B$3-DATA!R83)*DATA!O83)+('Costo por negocio'!$C$3-DATA!R83)*DATA!P83</f>
    </nc>
  </rcc>
  <rcc rId="3179" sId="1">
    <nc r="U83" t="inlineStr">
      <is>
        <t>SI</t>
      </is>
    </nc>
  </rcc>
  <rcc rId="3180" sId="1">
    <nc r="V83" t="inlineStr">
      <is>
        <t>SI</t>
      </is>
    </nc>
  </rcc>
  <rcc rId="3181" sId="1">
    <nc r="W83" t="inlineStr">
      <is>
        <t>SI</t>
      </is>
    </nc>
  </rcc>
  <rcc rId="3182" sId="1" numFmtId="19">
    <nc r="T83">
      <v>46108</v>
    </nc>
  </rcc>
  <rcc rId="3183" sId="1">
    <nc r="Y83" t="inlineStr">
      <is>
        <t>BEC 5485</t>
      </is>
    </nc>
  </rcc>
  <rcc rId="3184" sId="1" numFmtId="34">
    <nc r="AD83">
      <v>53704</v>
    </nc>
  </rcc>
  <rcc rId="3185" sId="1" numFmtId="27">
    <nc r="AE83">
      <v>46104.6875</v>
    </nc>
  </rcc>
  <rcc rId="3186" sId="1" numFmtId="34">
    <nc r="AF83">
      <v>53866</v>
    </nc>
  </rcc>
  <rcc rId="3187" sId="1" numFmtId="27">
    <nc r="AG83">
      <v>46108.380555555559</v>
    </nc>
  </rcc>
  <rcc rId="3188" sId="1">
    <nc r="AH83">
      <f>+AF83-AD83</f>
    </nc>
  </rcc>
  <rcc rId="3189" sId="1">
    <nc r="AI83">
      <v>3</v>
    </nc>
  </rcc>
  <rcc rId="3190" sId="1">
    <nc r="AJ83">
      <f>+AI83*5</f>
    </nc>
  </rcc>
  <rcc rId="3191" sId="1">
    <nc r="AK83">
      <f>+Q83-AJ83</f>
    </nc>
  </rcc>
  <rcc rId="3192" sId="1">
    <nc r="AM83">
      <f>+AH83/Q83</f>
    </nc>
  </rcc>
  <rcc rId="3193" sId="1">
    <nc r="AN83">
      <f>+Q83/AI83</f>
    </nc>
  </rcc>
  <rcc rId="3194" sId="1">
    <nc r="AQ83">
      <f>+N83/78.54</f>
    </nc>
  </rcc>
  <rcc rId="3195" sId="1">
    <nc r="AR83">
      <f>+AH83/11</f>
    </nc>
  </rcc>
  <rcc rId="3196" sId="1">
    <nc r="AS83">
      <f>+AR83-AQ83</f>
    </nc>
  </rcc>
  <rcc rId="3197" sId="1">
    <nc r="AT83">
      <f>+AH83/AQ83</f>
    </nc>
  </rcc>
  <rfmt sheetId="1" sqref="A83:AK83">
    <dxf>
      <fill>
        <patternFill patternType="solid">
          <bgColor rgb="FF92D050"/>
        </patternFill>
      </fill>
    </dxf>
  </rfmt>
  <rcv guid="{D015136D-255F-4042-9389-EB535F138010}" action="delete"/>
  <rdn rId="0" localSheetId="1" customView="1" name="Z_D015136D_255F_4042_9389_EB535F138010_.wvu.FilterData" hidden="1" oldHidden="1">
    <formula>DATA!$A$1:$AY$93</formula>
    <oldFormula>DATA!$A$1:$AY$93</oldFormula>
  </rdn>
  <rcv guid="{D015136D-255F-4042-9389-EB535F138010}" action="add"/>
</revisions>
</file>

<file path=xl/revisions/revisionLog2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DATA!$A$1:$AK$93</formula>
    <oldFormula>DATA!$A$1:$AY$93</oldFormula>
  </rdn>
  <rcv guid="{D015136D-255F-4042-9389-EB535F138010}" action="add"/>
</revisions>
</file>

<file path=xl/revisions/revisionLog2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00" sId="1">
    <oc r="R26">
      <f>(N26/Q26)</f>
    </oc>
    <nc r="R26">
      <f>(N26/Q26)</f>
    </nc>
  </rcc>
  <rcc rId="3201" sId="1">
    <oc r="Q52">
      <f>+P52+O52</f>
    </oc>
    <nc r="Q52"/>
  </rcc>
  <rcc rId="3202" sId="1">
    <oc r="R52">
      <f>(N52/Q52)</f>
    </oc>
    <nc r="R52"/>
  </rcc>
  <rcc rId="3203" sId="1">
    <oc r="S52">
      <f>(('Costo por negocio'!$B$2-DATA!R52)*DATA!O52)+('Costo por negocio'!$C$2-DATA!R52)*DATA!P52</f>
    </oc>
    <nc r="S52"/>
  </rcc>
  <rcv guid="{D015136D-255F-4042-9389-EB535F138010}" action="delete"/>
  <rdn rId="0" localSheetId="1" customView="1" name="Z_D015136D_255F_4042_9389_EB535F138010_.wvu.FilterData" hidden="1" oldHidden="1">
    <formula>DATA!$A$1:$AK$93</formula>
    <oldFormula>DATA!$A$1:$AK$93</oldFormula>
  </rdn>
  <rcv guid="{D015136D-255F-4042-9389-EB535F138010}" action="add"/>
</revisions>
</file>

<file path=xl/revisions/revisionLog2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05" sId="1">
    <oc r="R26">
      <f>(N26/Q26)</f>
    </oc>
    <nc r="R26">
      <f>(N26/Q26)</f>
    </nc>
  </rcc>
  <rcc rId="3206" sId="1">
    <oc r="S26">
      <f>(('Costo por negocio'!$B$2-DATA!R26)*DATA!O26)+('Costo por negocio'!$C$2-DATA!R26)*DATA!P26</f>
    </oc>
    <nc r="S26">
      <f>(('Costo por negocio'!$B$2-DATA!R26)*DATA!O26)+('Costo por negocio'!$C$2-DATA!R26)*DATA!P26</f>
    </nc>
  </rcc>
  <rcc rId="3207" sId="1" numFmtId="27">
    <oc r="AG26" t="inlineStr">
      <is>
        <t>06/02/2026 9:019</t>
      </is>
    </oc>
    <nc r="AG26">
      <v>46059.388194444444</v>
    </nc>
  </rcc>
  <rcv guid="{D015136D-255F-4042-9389-EB535F138010}" action="delete"/>
  <rdn rId="0" localSheetId="1" customView="1" name="Z_D015136D_255F_4042_9389_EB535F138010_.wvu.FilterData" hidden="1" oldHidden="1">
    <formula>DATA!$A$1:$AY$93</formula>
    <oldFormula>DATA!$A$1:$AK$93</oldFormula>
  </rdn>
  <rcv guid="{D015136D-255F-4042-9389-EB535F138010}" action="add"/>
</revisions>
</file>

<file path=xl/revisions/revisionLog2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DATA!$A$1:$AY$1</formula>
    <oldFormula>DATA!$A$1:$AY$93</oldFormula>
  </rdn>
  <rcv guid="{D015136D-255F-4042-9389-EB535F138010}" action="add"/>
</revisions>
</file>

<file path=xl/revisions/revisionLog2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10" sId="1">
    <nc r="M85">
      <f>+N85-H85</f>
    </nc>
  </rcc>
  <rcc rId="3211" sId="1">
    <nc r="N85">
      <f>1053.5+2600.1+2246.4+1500+500</f>
    </nc>
  </rcc>
  <rcc rId="3212" sId="1">
    <nc r="P85">
      <f>20+6</f>
    </nc>
  </rcc>
  <rcc rId="3213" sId="1">
    <nc r="Q85">
      <f>+P85+O85</f>
    </nc>
  </rcc>
  <rcc rId="3214" sId="1">
    <nc r="R85">
      <f>(N85/Q85)</f>
    </nc>
  </rcc>
  <rcc rId="3215" sId="1">
    <nc r="S85">
      <f>(('Costo por negocio'!$B$3-DATA!R85)*DATA!O85)+('Costo por negocio'!$C$3-DATA!R85)*DATA!P85</f>
    </nc>
  </rcc>
  <rcc rId="3216" sId="1">
    <nc r="U85" t="inlineStr">
      <is>
        <t>SI</t>
      </is>
    </nc>
  </rcc>
  <rcc rId="3217" sId="1">
    <nc r="V85" t="inlineStr">
      <is>
        <t>SI</t>
      </is>
    </nc>
  </rcc>
  <rcc rId="3218" sId="1">
    <nc r="W85" t="inlineStr">
      <is>
        <t>SI</t>
      </is>
    </nc>
  </rcc>
  <rcc rId="3219" sId="1" numFmtId="19">
    <nc r="T85">
      <v>46108</v>
    </nc>
  </rcc>
  <rcc rId="3220" sId="1">
    <nc r="Y85" t="inlineStr">
      <is>
        <t>BEC 5530</t>
      </is>
    </nc>
  </rcc>
  <rcc rId="3221" sId="1" numFmtId="34">
    <nc r="AD85">
      <v>93373</v>
    </nc>
  </rcc>
  <rcc rId="3222" sId="1" numFmtId="27">
    <nc r="AE85">
      <v>46104.708333333336</v>
    </nc>
  </rcc>
  <rcc rId="3223" sId="1" numFmtId="34">
    <nc r="AF85">
      <v>94693</v>
    </nc>
  </rcc>
  <rcc rId="3224" sId="1" numFmtId="27">
    <nc r="AG85">
      <v>46108.384027777778</v>
    </nc>
  </rcc>
  <rcc rId="3225" sId="1">
    <nc r="AH85">
      <f>+AF85-AD85</f>
    </nc>
  </rcc>
  <rcc rId="3226" sId="1">
    <nc r="AI85">
      <v>3</v>
    </nc>
  </rcc>
  <rcc rId="3227" sId="1">
    <nc r="AJ85">
      <f>+AI85*5</f>
    </nc>
  </rcc>
  <rcc rId="3228" sId="1">
    <nc r="AK85">
      <f>+Q85-AJ85</f>
    </nc>
  </rcc>
  <rcc rId="3229" sId="1">
    <nc r="AM85">
      <f>+AH85/Q85</f>
    </nc>
  </rcc>
  <rcc rId="3230" sId="1">
    <nc r="AN85">
      <f>+Q85/AI85</f>
    </nc>
  </rcc>
  <rcc rId="3231" sId="1">
    <nc r="AQ85">
      <f>+N85/78.54</f>
    </nc>
  </rcc>
  <rcc rId="3232" sId="1">
    <nc r="AR85">
      <f>+AH85/11</f>
    </nc>
  </rcc>
  <rcc rId="3233" sId="1">
    <nc r="AS85">
      <f>+AR85-AQ85</f>
    </nc>
  </rcc>
  <rcc rId="3234" sId="1">
    <nc r="AT85">
      <f>+AH85/AQ85</f>
    </nc>
  </rcc>
  <rfmt sheetId="1" sqref="A85:AK85">
    <dxf>
      <fill>
        <patternFill>
          <bgColor rgb="FF92D050"/>
        </patternFill>
      </fill>
    </dxf>
  </rfmt>
  <rcv guid="{D015136D-255F-4042-9389-EB535F138010}" action="delete"/>
  <rdn rId="0" localSheetId="1" customView="1" name="Z_D015136D_255F_4042_9389_EB535F138010_.wvu.FilterData" hidden="1" oldHidden="1">
    <formula>DATA!$A$1:$AK$93</formula>
    <oldFormula>DATA!$A$1:$AY$1</oldFormula>
  </rdn>
  <rcv guid="{D015136D-255F-4042-9389-EB535F138010}" action="add"/>
</revisions>
</file>

<file path=xl/revisions/revisionLog2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DATA!$A$1:$AK$93</formula>
    <oldFormula>DATA!$A$1:$AK$93</oldFormula>
  </rdn>
  <rcv guid="{D015136D-255F-4042-9389-EB535F138010}" action="add"/>
</revisions>
</file>

<file path=xl/revisions/revisionLog2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3:AK83">
    <dxf>
      <fill>
        <patternFill>
          <bgColor rgb="FF00B050"/>
        </patternFill>
      </fill>
    </dxf>
  </rfmt>
  <rcc rId="3237" sId="1" odxf="1" dxf="1" numFmtId="19">
    <nc r="Z83">
      <v>46108</v>
    </nc>
    <odxf>
      <numFmt numFmtId="0" formatCode="General"/>
    </odxf>
    <ndxf>
      <numFmt numFmtId="19" formatCode="d/m/yyyy"/>
    </ndxf>
  </rcc>
  <rfmt sheetId="1" sqref="A85:AK86">
    <dxf>
      <fill>
        <patternFill>
          <bgColor rgb="FF00B050"/>
        </patternFill>
      </fill>
    </dxf>
  </rfmt>
  <rcc rId="3238" sId="1" numFmtId="19">
    <nc r="Z85">
      <v>46108</v>
    </nc>
  </rcc>
  <rcc rId="3239" sId="1" odxf="1" dxf="1" numFmtId="19">
    <nc r="Z86">
      <v>46108</v>
    </nc>
    <odxf>
      <numFmt numFmtId="0" formatCode="General"/>
    </odxf>
    <ndxf>
      <numFmt numFmtId="19" formatCode="d/m/yyyy"/>
    </ndxf>
  </rcc>
</revisions>
</file>

<file path=xl/revisions/revisionLog2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94" start="0" length="0">
    <dxf>
      <fill>
        <patternFill patternType="solid">
          <bgColor rgb="FF00B050"/>
        </patternFill>
      </fill>
    </dxf>
  </rfmt>
  <rcc rId="3240" sId="1" odxf="1" dxf="1">
    <nc r="B94" t="inlineStr">
      <is>
        <t>Gabriela Falero</t>
      </is>
    </nc>
    <odxf>
      <fill>
        <patternFill patternType="none">
          <bgColor indexed="65"/>
        </patternFill>
      </fill>
    </odxf>
    <ndxf>
      <fill>
        <patternFill patternType="solid">
          <bgColor rgb="FF00B050"/>
        </patternFill>
      </fill>
    </ndxf>
  </rcc>
  <rcc rId="3241" sId="1" odxf="1" dxf="1">
    <nc r="C94">
      <v>2030</v>
    </nc>
    <odxf>
      <fill>
        <patternFill patternType="none">
          <bgColor indexed="65"/>
        </patternFill>
      </fill>
    </odxf>
    <ndxf>
      <fill>
        <patternFill patternType="solid">
          <bgColor rgb="FF00B050"/>
        </patternFill>
      </fill>
    </ndxf>
  </rcc>
  <rcc rId="3242" sId="1" odxf="1" dxf="1">
    <nc r="D94">
      <v>3</v>
    </nc>
    <odxf>
      <fill>
        <patternFill patternType="none">
          <bgColor indexed="65"/>
        </patternFill>
      </fill>
    </odxf>
    <ndxf>
      <fill>
        <patternFill patternType="solid">
          <bgColor rgb="FF00B050"/>
        </patternFill>
      </fill>
    </ndxf>
  </rcc>
  <rfmt sheetId="1" sqref="E94" start="0" length="0">
    <dxf>
      <fill>
        <patternFill patternType="solid">
          <bgColor rgb="FF00B050"/>
        </patternFill>
      </fill>
    </dxf>
  </rfmt>
  <rfmt sheetId="1" sqref="F94" start="0" length="0">
    <dxf>
      <fill>
        <patternFill patternType="solid">
          <bgColor rgb="FF00B050"/>
        </patternFill>
      </fill>
    </dxf>
  </rfmt>
  <rfmt sheetId="1" sqref="G94" start="0" length="0">
    <dxf>
      <fill>
        <patternFill patternType="solid">
          <bgColor rgb="FF00B050"/>
        </patternFill>
      </fill>
    </dxf>
  </rfmt>
  <rfmt sheetId="1" sqref="H94" start="0" length="0">
    <dxf>
      <fill>
        <patternFill patternType="solid">
          <bgColor rgb="FF00B050"/>
        </patternFill>
      </fill>
    </dxf>
  </rfmt>
  <rcc rId="3243" sId="1" odxf="1" dxf="1">
    <nc r="I94">
      <v>15</v>
    </nc>
    <odxf>
      <fill>
        <patternFill patternType="none">
          <bgColor indexed="65"/>
        </patternFill>
      </fill>
    </odxf>
    <ndxf>
      <fill>
        <patternFill patternType="solid">
          <bgColor rgb="FF00B050"/>
        </patternFill>
      </fill>
    </ndxf>
  </rcc>
  <rfmt sheetId="1" sqref="J94" start="0" length="0">
    <dxf>
      <fill>
        <patternFill patternType="solid">
          <bgColor rgb="FF00B050"/>
        </patternFill>
      </fill>
    </dxf>
  </rfmt>
  <rcc rId="3244" sId="1" odxf="1" dxf="1">
    <nc r="K94" t="inlineStr">
      <is>
        <t>Alquiler</t>
      </is>
    </nc>
    <odxf>
      <fill>
        <patternFill patternType="none">
          <bgColor indexed="65"/>
        </patternFill>
      </fill>
    </odxf>
    <ndxf>
      <fill>
        <patternFill patternType="solid">
          <bgColor rgb="FF00B050"/>
        </patternFill>
      </fill>
    </ndxf>
  </rcc>
  <rfmt sheetId="1" sqref="L94" start="0" length="0">
    <dxf>
      <fill>
        <patternFill patternType="solid">
          <bgColor rgb="FF00B050"/>
        </patternFill>
      </fill>
    </dxf>
  </rfmt>
  <rcc rId="3245" sId="1" odxf="1" dxf="1">
    <nc r="M94">
      <f>+N94-H94</f>
    </nc>
    <odxf>
      <fill>
        <patternFill patternType="none">
          <bgColor indexed="65"/>
        </patternFill>
      </fill>
    </odxf>
    <ndxf>
      <fill>
        <patternFill patternType="solid">
          <bgColor rgb="FF00B050"/>
        </patternFill>
      </fill>
    </ndxf>
  </rcc>
  <rfmt sheetId="1" sqref="N94" start="0" length="0">
    <dxf>
      <fill>
        <patternFill patternType="solid">
          <bgColor rgb="FF00B050"/>
        </patternFill>
      </fill>
    </dxf>
  </rfmt>
  <rfmt sheetId="1" sqref="O94" start="0" length="0">
    <dxf>
      <fill>
        <patternFill patternType="solid">
          <bgColor rgb="FF00B050"/>
        </patternFill>
      </fill>
    </dxf>
  </rfmt>
  <rfmt sheetId="1" sqref="P94" start="0" length="0">
    <dxf>
      <fill>
        <patternFill patternType="solid">
          <bgColor rgb="FF00B050"/>
        </patternFill>
      </fill>
    </dxf>
  </rfmt>
  <rcc rId="3246" sId="1" odxf="1" dxf="1">
    <nc r="Q94">
      <f>+P94+O94</f>
    </nc>
    <odxf>
      <fill>
        <patternFill patternType="none">
          <bgColor indexed="65"/>
        </patternFill>
      </fill>
    </odxf>
    <ndxf>
      <fill>
        <patternFill patternType="solid">
          <bgColor rgb="FF00B050"/>
        </patternFill>
      </fill>
    </ndxf>
  </rcc>
  <rcc rId="3247" sId="1" odxf="1" dxf="1">
    <nc r="R94">
      <f>(N94/Q94)</f>
    </nc>
    <odxf>
      <fill>
        <patternFill patternType="none">
          <bgColor indexed="65"/>
        </patternFill>
      </fill>
    </odxf>
    <ndxf>
      <fill>
        <patternFill patternType="solid">
          <bgColor rgb="FF00B050"/>
        </patternFill>
      </fill>
    </ndxf>
  </rcc>
  <rcc rId="3248" sId="1" odxf="1" dxf="1">
    <nc r="S94">
      <f>(('Costo por negocio'!$B$3-DATA!R94)*DATA!O94)+('Costo por negocio'!$C$3-DATA!R94)*DATA!P94</f>
    </nc>
    <odxf>
      <fill>
        <patternFill patternType="none">
          <bgColor indexed="65"/>
        </patternFill>
      </fill>
    </odxf>
    <ndxf>
      <fill>
        <patternFill patternType="solid">
          <bgColor rgb="FF00B050"/>
        </patternFill>
      </fill>
    </ndxf>
  </rcc>
  <rfmt sheetId="1" sqref="T94" start="0" length="0">
    <dxf>
      <fill>
        <patternFill patternType="solid">
          <bgColor rgb="FF00B050"/>
        </patternFill>
      </fill>
    </dxf>
  </rfmt>
  <rcc rId="3249" sId="1" odxf="1" dxf="1">
    <nc r="U94" t="inlineStr">
      <is>
        <t>SI</t>
      </is>
    </nc>
    <odxf>
      <fill>
        <patternFill patternType="none">
          <bgColor indexed="65"/>
        </patternFill>
      </fill>
    </odxf>
    <ndxf>
      <fill>
        <patternFill patternType="solid">
          <bgColor rgb="FF00B050"/>
        </patternFill>
      </fill>
    </ndxf>
  </rcc>
  <rcc rId="3250" sId="1" odxf="1" dxf="1">
    <nc r="V94" t="inlineStr">
      <is>
        <t>SI</t>
      </is>
    </nc>
    <odxf>
      <fill>
        <patternFill patternType="none">
          <bgColor indexed="65"/>
        </patternFill>
      </fill>
    </odxf>
    <ndxf>
      <fill>
        <patternFill patternType="solid">
          <bgColor rgb="FF00B050"/>
        </patternFill>
      </fill>
    </ndxf>
  </rcc>
  <rcc rId="3251" sId="1" odxf="1" dxf="1">
    <nc r="W94" t="inlineStr">
      <is>
        <t>SI</t>
      </is>
    </nc>
    <odxf>
      <fill>
        <patternFill patternType="none">
          <bgColor indexed="65"/>
        </patternFill>
      </fill>
    </odxf>
    <ndxf>
      <fill>
        <patternFill patternType="solid">
          <bgColor rgb="FF00B050"/>
        </patternFill>
      </fill>
    </ndxf>
  </rcc>
  <rfmt sheetId="1" sqref="X94" start="0" length="0">
    <dxf>
      <fill>
        <patternFill patternType="solid">
          <bgColor rgb="FF00B050"/>
        </patternFill>
      </fill>
    </dxf>
  </rfmt>
  <rfmt sheetId="1" sqref="Y94" start="0" length="0">
    <dxf>
      <fill>
        <patternFill patternType="solid">
          <bgColor rgb="FF00B050"/>
        </patternFill>
      </fill>
    </dxf>
  </rfmt>
  <rfmt sheetId="1" sqref="Z94" start="0" length="0">
    <dxf>
      <numFmt numFmtId="19" formatCode="d/m/yyyy"/>
      <fill>
        <patternFill patternType="solid">
          <bgColor rgb="FF00B050"/>
        </patternFill>
      </fill>
    </dxf>
  </rfmt>
  <rfmt sheetId="1" sqref="AA94" start="0" length="0">
    <dxf>
      <fill>
        <patternFill patternType="solid">
          <bgColor rgb="FF00B050"/>
        </patternFill>
      </fill>
    </dxf>
  </rfmt>
  <rfmt sheetId="1" sqref="AB94" start="0" length="0">
    <dxf>
      <fill>
        <patternFill patternType="solid">
          <bgColor rgb="FF00B050"/>
        </patternFill>
      </fill>
    </dxf>
  </rfmt>
  <rfmt sheetId="1" sqref="AC94" start="0" length="0">
    <dxf>
      <fill>
        <patternFill patternType="solid">
          <bgColor rgb="FF00B050"/>
        </patternFill>
      </fill>
    </dxf>
  </rfmt>
  <rfmt sheetId="1" sqref="AD94" start="0" length="0">
    <dxf>
      <fill>
        <patternFill patternType="solid">
          <bgColor rgb="FF00B050"/>
        </patternFill>
      </fill>
    </dxf>
  </rfmt>
  <rfmt sheetId="1" sqref="AE94" start="0" length="0">
    <dxf>
      <fill>
        <patternFill patternType="solid">
          <bgColor rgb="FF00B050"/>
        </patternFill>
      </fill>
    </dxf>
  </rfmt>
  <rfmt sheetId="1" sqref="AF94" start="0" length="0">
    <dxf>
      <fill>
        <patternFill patternType="solid">
          <bgColor rgb="FF00B050"/>
        </patternFill>
      </fill>
    </dxf>
  </rfmt>
  <rfmt sheetId="1" sqref="AG94" start="0" length="0">
    <dxf>
      <fill>
        <patternFill patternType="solid">
          <bgColor rgb="FF00B050"/>
        </patternFill>
      </fill>
    </dxf>
  </rfmt>
  <rcc rId="3252" sId="1" odxf="1" dxf="1">
    <nc r="AH94">
      <f>+AF94-AD94</f>
    </nc>
    <odxf>
      <fill>
        <patternFill patternType="none">
          <bgColor indexed="65"/>
        </patternFill>
      </fill>
    </odxf>
    <ndxf>
      <fill>
        <patternFill patternType="solid">
          <bgColor rgb="FF00B050"/>
        </patternFill>
      </fill>
    </ndxf>
  </rcc>
  <rcc rId="3253" sId="1" odxf="1" dxf="1">
    <nc r="AI94">
      <v>3</v>
    </nc>
    <odxf>
      <fill>
        <patternFill patternType="none">
          <bgColor indexed="65"/>
        </patternFill>
      </fill>
    </odxf>
    <ndxf>
      <fill>
        <patternFill patternType="solid">
          <bgColor rgb="FF00B050"/>
        </patternFill>
      </fill>
    </ndxf>
  </rcc>
  <rcc rId="3254" sId="1" odxf="1" dxf="1">
    <nc r="AJ94">
      <f>+AI94*5</f>
    </nc>
    <odxf>
      <fill>
        <patternFill patternType="none">
          <bgColor indexed="65"/>
        </patternFill>
      </fill>
    </odxf>
    <ndxf>
      <fill>
        <patternFill patternType="solid">
          <bgColor rgb="FF00B050"/>
        </patternFill>
      </fill>
    </ndxf>
  </rcc>
  <rcc rId="3255" sId="1" odxf="1" dxf="1">
    <nc r="AK94">
      <f>+Q94-AJ94</f>
    </nc>
    <odxf>
      <fill>
        <patternFill patternType="none">
          <bgColor indexed="65"/>
        </patternFill>
      </fill>
    </odxf>
    <ndxf>
      <fill>
        <patternFill patternType="solid">
          <bgColor rgb="FF00B050"/>
        </patternFill>
      </fill>
    </ndxf>
  </rcc>
  <rcc rId="3256" sId="1">
    <nc r="AM94">
      <f>+AH94/Q94</f>
    </nc>
  </rcc>
  <rcc rId="3257" sId="1">
    <nc r="AN94">
      <f>+Q94/AI94</f>
    </nc>
  </rcc>
  <rcc rId="3258" sId="1">
    <nc r="AQ94">
      <f>+N94/78.54</f>
    </nc>
  </rcc>
  <rcc rId="3259" sId="1">
    <nc r="AR94">
      <f>+AH94/11</f>
    </nc>
  </rcc>
  <rcc rId="3260" sId="1">
    <nc r="AS94">
      <f>+AR94-AQ94</f>
    </nc>
  </rcc>
  <rcc rId="3261" sId="1">
    <nc r="AT94">
      <f>+AH94/AQ94</f>
    </nc>
  </rcc>
  <rcc rId="3262" sId="1">
    <nc r="A94">
      <v>93</v>
    </nc>
  </rcc>
  <rcc rId="3263" sId="1">
    <nc r="E94" t="inlineStr">
      <is>
        <t>24/03 al 26/03/2026</t>
      </is>
    </nc>
  </rcc>
  <rcc rId="3264" sId="1" numFmtId="19">
    <nc r="F94">
      <v>46105</v>
    </nc>
  </rcc>
  <rcc rId="3265" sId="1" numFmtId="19">
    <nc r="G94">
      <v>46107</v>
    </nc>
  </rcc>
  <rcc rId="3266" sId="1">
    <nc r="J94" t="inlineStr">
      <is>
        <t>Montevideo, Canelones</t>
      </is>
    </nc>
  </rcc>
  <rcc rId="3267" sId="1" numFmtId="34">
    <nc r="N94">
      <v>3458</v>
    </nc>
  </rcc>
  <rcc rId="3268" sId="1" numFmtId="34">
    <nc r="O94">
      <v>15</v>
    </nc>
  </rcc>
  <rcc rId="3269" sId="1" numFmtId="19">
    <nc r="T94">
      <v>46111</v>
    </nc>
  </rcc>
  <rcc rId="3270" sId="1">
    <nc r="Y94" t="inlineStr">
      <is>
        <t>BEB 8417</t>
      </is>
    </nc>
  </rcc>
  <rcc rId="3271" sId="1" numFmtId="19">
    <nc r="Z94">
      <v>46111</v>
    </nc>
  </rcc>
  <rcc rId="3272" sId="1" numFmtId="34">
    <nc r="AD94">
      <v>81181</v>
    </nc>
  </rcc>
  <rcc rId="3273" sId="1" numFmtId="27">
    <nc r="AE94">
      <v>46104.6875</v>
    </nc>
  </rcc>
  <rcc rId="3274" sId="1" numFmtId="34">
    <nc r="AF94">
      <v>81858</v>
    </nc>
  </rcc>
  <rcc rId="3275" sId="1" numFmtId="27">
    <nc r="AG94">
      <v>46108.375</v>
    </nc>
  </rcc>
  <rcc rId="3276" sId="1">
    <nc r="AU94" t="inlineStr">
      <is>
        <t>Sylvia Antunez</t>
      </is>
    </nc>
  </rcc>
  <rcc rId="3277" sId="1">
    <nc r="AY94">
      <v>1</v>
    </nc>
  </rcc>
</revisions>
</file>

<file path=xl/revisions/revisionLog2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DATA!$A$1:$AK$93</formula>
    <oldFormula>DATA!$A$1:$AK$93</oldFormula>
  </rdn>
  <rcv guid="{D015136D-255F-4042-9389-EB535F138010}" action="add"/>
</revisions>
</file>

<file path=xl/revisions/revisionLog2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DATA!$A$1:$AK$94</formula>
    <oldFormula>DATA!$A$1:$AK$93</oldFormula>
  </rdn>
  <rcv guid="{D015136D-255F-4042-9389-EB535F138010}" action="add"/>
</revisions>
</file>

<file path=xl/revisions/revisionLog2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80" sId="1">
    <nc r="B95" t="inlineStr">
      <is>
        <t>Fernando López</t>
      </is>
    </nc>
  </rcc>
  <rcc rId="3281" sId="1">
    <nc r="C95">
      <v>3117</v>
    </nc>
  </rcc>
  <rcc rId="3282" sId="1">
    <nc r="J95" t="inlineStr">
      <is>
        <t>Montevideo</t>
      </is>
    </nc>
  </rcc>
  <rcc rId="3283" sId="1">
    <nc r="K95" t="inlineStr">
      <is>
        <t>Propio</t>
      </is>
    </nc>
  </rcc>
  <rcc rId="3284" sId="1">
    <nc r="A95">
      <v>94</v>
    </nc>
  </rcc>
  <rcc rId="3285" sId="1">
    <nc r="D95">
      <v>14</v>
    </nc>
  </rcc>
  <rcc rId="3286" sId="1">
    <nc r="E95" t="inlineStr">
      <is>
        <t>12/03 al 31/03/2026</t>
      </is>
    </nc>
  </rcc>
  <rcc rId="3287" sId="1" numFmtId="19">
    <nc r="F95">
      <v>46093</v>
    </nc>
  </rcc>
  <rcc rId="3288" sId="1" numFmtId="19">
    <nc r="G95">
      <v>46112</v>
    </nc>
  </rcc>
  <rcc rId="3289" sId="1">
    <nc r="M95">
      <f>+N95-H95</f>
    </nc>
  </rcc>
  <rcc rId="3290" sId="1">
    <nc r="N95">
      <f>2000+1700</f>
    </nc>
  </rcc>
  <rcc rId="3291" sId="1" numFmtId="34">
    <nc r="O95">
      <v>12</v>
    </nc>
  </rcc>
  <rcc rId="3292" sId="1">
    <nc r="Q95">
      <f>+P95+O95</f>
    </nc>
  </rcc>
  <rcc rId="3293" sId="1">
    <nc r="R95">
      <f>(N95/Q95)</f>
    </nc>
  </rcc>
  <rcc rId="3294" sId="1">
    <nc r="S95">
      <f>(('Costo por negocio'!$B$3-DATA!R95)*DATA!O95)+('Costo por negocio'!$C$3-DATA!R95)*DATA!P95</f>
    </nc>
  </rcc>
  <rcc rId="3295" sId="1">
    <nc r="U95" t="inlineStr">
      <is>
        <t>SI</t>
      </is>
    </nc>
  </rcc>
  <rcc rId="3296" sId="1">
    <nc r="V95" t="inlineStr">
      <is>
        <t>SI</t>
      </is>
    </nc>
  </rcc>
  <rcc rId="3297" sId="1">
    <nc r="W95" t="inlineStr">
      <is>
        <t>SI</t>
      </is>
    </nc>
  </rcc>
  <rcc rId="3298" sId="1" numFmtId="19">
    <nc r="T95">
      <v>46112</v>
    </nc>
  </rcc>
  <rcc rId="3299" sId="1">
    <nc r="Y95" t="inlineStr">
      <is>
        <t>SCL 8868</t>
      </is>
    </nc>
  </rcc>
  <rfmt sheetId="1" sqref="A95:AK95">
    <dxf>
      <fill>
        <patternFill patternType="solid">
          <bgColor rgb="FF92D050"/>
        </patternFill>
      </fill>
    </dxf>
  </rfmt>
  <rcv guid="{D015136D-255F-4042-9389-EB535F138010}" action="delete"/>
  <rdn rId="0" localSheetId="1" customView="1" name="Z_D015136D_255F_4042_9389_EB535F138010_.wvu.FilterData" hidden="1" oldHidden="1">
    <formula>DATA!$A$1:$AK$94</formula>
    <oldFormula>DATA!$A$1:$AK$94</oldFormula>
  </rdn>
  <rcv guid="{D015136D-255F-4042-9389-EB535F138010}" action="add"/>
</revisions>
</file>

<file path=xl/revisions/revisionLog2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95:AK95">
    <dxf>
      <fill>
        <patternFill>
          <bgColor rgb="FF00B050"/>
        </patternFill>
      </fill>
    </dxf>
  </rfmt>
  <rcc rId="3301" sId="1" odxf="1" dxf="1" numFmtId="19">
    <nc r="Z95">
      <v>46112</v>
    </nc>
    <odxf>
      <numFmt numFmtId="0" formatCode="General"/>
    </odxf>
    <ndxf>
      <numFmt numFmtId="19" formatCode="d/m/yyyy"/>
    </ndxf>
  </rcc>
</revisions>
</file>

<file path=xl/revisions/revisionLog2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02" sId="1" odxf="1" dxf="1">
    <nc r="A96">
      <v>95</v>
    </nc>
    <ndxf>
      <fill>
        <patternFill patternType="solid">
          <bgColor rgb="FF92D050"/>
        </patternFill>
      </fill>
    </ndxf>
  </rcc>
  <rcc rId="3303" sId="1" odxf="1" dxf="1">
    <nc r="B96" t="inlineStr">
      <is>
        <t>Lucia Santamaría</t>
      </is>
    </nc>
    <ndxf>
      <fill>
        <patternFill patternType="solid">
          <bgColor rgb="FF92D050"/>
        </patternFill>
      </fill>
    </ndxf>
  </rcc>
  <rcc rId="3304" sId="1" odxf="1" dxf="1">
    <nc r="C96">
      <v>3065</v>
    </nc>
    <ndxf>
      <fill>
        <patternFill patternType="solid">
          <bgColor rgb="FF92D050"/>
        </patternFill>
      </fill>
    </ndxf>
  </rcc>
  <rcc rId="3305" sId="1" odxf="1" dxf="1">
    <nc r="D96">
      <v>2</v>
    </nc>
    <ndxf>
      <fill>
        <patternFill patternType="solid">
          <bgColor rgb="FF92D050"/>
        </patternFill>
      </fill>
    </ndxf>
  </rcc>
  <rfmt sheetId="1" sqref="E96" start="0" length="0">
    <dxf>
      <fill>
        <patternFill patternType="solid">
          <bgColor rgb="FF92D050"/>
        </patternFill>
      </fill>
    </dxf>
  </rfmt>
  <rfmt sheetId="1" sqref="F96" start="0" length="0">
    <dxf>
      <fill>
        <patternFill patternType="solid">
          <bgColor rgb="FF92D050"/>
        </patternFill>
      </fill>
    </dxf>
  </rfmt>
  <rfmt sheetId="1" sqref="G96" start="0" length="0">
    <dxf>
      <fill>
        <patternFill patternType="solid">
          <bgColor rgb="FF92D050"/>
        </patternFill>
      </fill>
    </dxf>
  </rfmt>
  <rfmt sheetId="1" sqref="H96" start="0" length="0">
    <dxf>
      <fill>
        <patternFill patternType="solid">
          <bgColor rgb="FF92D050"/>
        </patternFill>
      </fill>
    </dxf>
  </rfmt>
  <rfmt sheetId="1" sqref="I96" start="0" length="0">
    <dxf>
      <fill>
        <patternFill patternType="solid">
          <bgColor rgb="FF92D050"/>
        </patternFill>
      </fill>
    </dxf>
  </rfmt>
  <rcc rId="3306" sId="1" odxf="1" dxf="1">
    <nc r="J96" t="inlineStr">
      <is>
        <t>Montevideo</t>
      </is>
    </nc>
    <ndxf>
      <fill>
        <patternFill patternType="solid">
          <bgColor rgb="FF92D050"/>
        </patternFill>
      </fill>
    </ndxf>
  </rcc>
  <rcc rId="3307" sId="1" odxf="1" dxf="1">
    <nc r="K96" t="inlineStr">
      <is>
        <t>Alquiler</t>
      </is>
    </nc>
    <ndxf>
      <fill>
        <patternFill patternType="solid">
          <bgColor rgb="FF92D050"/>
        </patternFill>
      </fill>
    </ndxf>
  </rcc>
  <rfmt sheetId="1" sqref="L96" start="0" length="0">
    <dxf>
      <fill>
        <patternFill patternType="solid">
          <bgColor rgb="FF92D050"/>
        </patternFill>
      </fill>
    </dxf>
  </rfmt>
  <rfmt sheetId="1" sqref="M96" start="0" length="0">
    <dxf>
      <fill>
        <patternFill patternType="solid">
          <bgColor rgb="FF92D050"/>
        </patternFill>
      </fill>
    </dxf>
  </rfmt>
  <rfmt sheetId="1" sqref="N96" start="0" length="0">
    <dxf>
      <fill>
        <patternFill patternType="solid">
          <bgColor rgb="FF92D050"/>
        </patternFill>
      </fill>
    </dxf>
  </rfmt>
  <rfmt sheetId="1" sqref="O96" start="0" length="0">
    <dxf>
      <fill>
        <patternFill patternType="solid">
          <bgColor rgb="FF92D050"/>
        </patternFill>
      </fill>
    </dxf>
  </rfmt>
  <rfmt sheetId="1" sqref="P96" start="0" length="0">
    <dxf>
      <fill>
        <patternFill patternType="solid">
          <bgColor rgb="FF92D050"/>
        </patternFill>
      </fill>
    </dxf>
  </rfmt>
  <rfmt sheetId="1" sqref="Q96" start="0" length="0">
    <dxf>
      <fill>
        <patternFill patternType="solid">
          <bgColor rgb="FF92D050"/>
        </patternFill>
      </fill>
    </dxf>
  </rfmt>
  <rfmt sheetId="1" sqref="R96" start="0" length="0">
    <dxf>
      <fill>
        <patternFill patternType="solid">
          <bgColor rgb="FF92D050"/>
        </patternFill>
      </fill>
    </dxf>
  </rfmt>
  <rfmt sheetId="1" sqref="S96" start="0" length="0">
    <dxf>
      <fill>
        <patternFill patternType="solid">
          <bgColor rgb="FF92D050"/>
        </patternFill>
      </fill>
    </dxf>
  </rfmt>
  <rfmt sheetId="1" sqref="T96" start="0" length="0">
    <dxf>
      <fill>
        <patternFill patternType="solid">
          <bgColor rgb="FF92D050"/>
        </patternFill>
      </fill>
    </dxf>
  </rfmt>
  <rfmt sheetId="1" sqref="U96" start="0" length="0">
    <dxf>
      <fill>
        <patternFill patternType="solid">
          <bgColor rgb="FF92D050"/>
        </patternFill>
      </fill>
    </dxf>
  </rfmt>
  <rfmt sheetId="1" sqref="V96" start="0" length="0">
    <dxf>
      <fill>
        <patternFill patternType="solid">
          <bgColor rgb="FF92D050"/>
        </patternFill>
      </fill>
    </dxf>
  </rfmt>
  <rfmt sheetId="1" sqref="W96" start="0" length="0">
    <dxf>
      <fill>
        <patternFill patternType="solid">
          <bgColor rgb="FF92D050"/>
        </patternFill>
      </fill>
    </dxf>
  </rfmt>
  <rfmt sheetId="1" sqref="X96" start="0" length="0">
    <dxf>
      <fill>
        <patternFill patternType="solid">
          <bgColor rgb="FF92D050"/>
        </patternFill>
      </fill>
    </dxf>
  </rfmt>
  <rfmt sheetId="1" sqref="Y96" start="0" length="0">
    <dxf>
      <fill>
        <patternFill patternType="solid">
          <bgColor rgb="FF92D050"/>
        </patternFill>
      </fill>
    </dxf>
  </rfmt>
  <rfmt sheetId="1" sqref="Z96" start="0" length="0">
    <dxf>
      <fill>
        <patternFill patternType="solid">
          <bgColor rgb="FF92D050"/>
        </patternFill>
      </fill>
    </dxf>
  </rfmt>
  <rfmt sheetId="1" sqref="AA96" start="0" length="0">
    <dxf>
      <fill>
        <patternFill patternType="solid">
          <bgColor rgb="FF92D050"/>
        </patternFill>
      </fill>
    </dxf>
  </rfmt>
  <rfmt sheetId="1" sqref="AB96" start="0" length="0">
    <dxf>
      <fill>
        <patternFill patternType="solid">
          <bgColor rgb="FF92D050"/>
        </patternFill>
      </fill>
    </dxf>
  </rfmt>
  <rfmt sheetId="1" sqref="AC96" start="0" length="0">
    <dxf>
      <fill>
        <patternFill patternType="solid">
          <bgColor rgb="FF92D050"/>
        </patternFill>
      </fill>
    </dxf>
  </rfmt>
  <rfmt sheetId="1" sqref="AD96" start="0" length="0">
    <dxf>
      <fill>
        <patternFill patternType="solid">
          <bgColor rgb="FF92D050"/>
        </patternFill>
      </fill>
    </dxf>
  </rfmt>
  <rfmt sheetId="1" sqref="AE96" start="0" length="0">
    <dxf>
      <fill>
        <patternFill patternType="solid">
          <bgColor rgb="FF92D050"/>
        </patternFill>
      </fill>
    </dxf>
  </rfmt>
  <rfmt sheetId="1" sqref="AF96" start="0" length="0">
    <dxf>
      <fill>
        <patternFill patternType="solid">
          <bgColor rgb="FF92D050"/>
        </patternFill>
      </fill>
    </dxf>
  </rfmt>
  <rfmt sheetId="1" sqref="AG96" start="0" length="0">
    <dxf>
      <fill>
        <patternFill patternType="solid">
          <bgColor rgb="FF92D050"/>
        </patternFill>
      </fill>
    </dxf>
  </rfmt>
  <rfmt sheetId="1" sqref="AH96" start="0" length="0">
    <dxf>
      <fill>
        <patternFill patternType="solid">
          <bgColor rgb="FF92D050"/>
        </patternFill>
      </fill>
    </dxf>
  </rfmt>
  <rfmt sheetId="1" sqref="AI96" start="0" length="0">
    <dxf>
      <fill>
        <patternFill patternType="solid">
          <bgColor rgb="FF92D050"/>
        </patternFill>
      </fill>
    </dxf>
  </rfmt>
  <rfmt sheetId="1" sqref="AJ96" start="0" length="0">
    <dxf>
      <fill>
        <patternFill patternType="solid">
          <bgColor rgb="FF92D050"/>
        </patternFill>
      </fill>
    </dxf>
  </rfmt>
  <rfmt sheetId="1" sqref="AK96" start="0" length="0">
    <dxf>
      <fill>
        <patternFill patternType="solid">
          <bgColor rgb="FF92D050"/>
        </patternFill>
      </fill>
    </dxf>
  </rfmt>
  <rcc rId="3308" sId="1">
    <nc r="E96" t="inlineStr">
      <is>
        <t>25/03 al 26/03/2026</t>
      </is>
    </nc>
  </rcc>
  <rcc rId="3309" sId="1" numFmtId="19">
    <nc r="F96">
      <v>46106</v>
    </nc>
  </rcc>
  <rcc rId="3310" sId="1" numFmtId="19">
    <nc r="G96">
      <v>46107</v>
    </nc>
  </rcc>
  <rcc rId="3311" sId="1">
    <nc r="M96">
      <f>+N96-H96</f>
    </nc>
  </rcc>
  <rcc rId="3312" sId="1" numFmtId="34">
    <nc r="N96">
      <v>2611</v>
    </nc>
  </rcc>
  <rcc rId="3313" sId="1">
    <nc r="O96">
      <f>20+1</f>
    </nc>
  </rcc>
  <rcc rId="3314" sId="1">
    <nc r="Q96">
      <f>+P96+O96</f>
    </nc>
  </rcc>
  <rcc rId="3315" sId="1">
    <nc r="R96">
      <f>(N96/Q96)</f>
    </nc>
  </rcc>
  <rcc rId="3316" sId="1">
    <nc r="S96">
      <f>(('Costo por negocio'!$B$3-DATA!R96)*DATA!O96)+('Costo por negocio'!$C$3-DATA!R96)*DATA!P96</f>
    </nc>
  </rcc>
  <rcc rId="3317" sId="1" numFmtId="19">
    <nc r="T96">
      <v>46112</v>
    </nc>
  </rcc>
  <rcc rId="3318" sId="1">
    <nc r="U96" t="inlineStr">
      <is>
        <t>SI</t>
      </is>
    </nc>
  </rcc>
  <rcc rId="3319" sId="1">
    <nc r="V96" t="inlineStr">
      <is>
        <t>SI</t>
      </is>
    </nc>
  </rcc>
  <rcc rId="3320" sId="1">
    <nc r="W96" t="inlineStr">
      <is>
        <t>SI</t>
      </is>
    </nc>
  </rcc>
  <rcc rId="3321" sId="1">
    <nc r="Y96" t="inlineStr">
      <is>
        <t>ABD 6867</t>
      </is>
    </nc>
  </rcc>
  <rcc rId="3322" sId="1" numFmtId="34">
    <nc r="AD96">
      <v>79305</v>
    </nc>
  </rcc>
  <rcc rId="3323" sId="1" numFmtId="27">
    <nc r="AE96">
      <v>46106.375</v>
    </nc>
  </rcc>
  <rcc rId="3324" sId="1" numFmtId="34">
    <nc r="AF96">
      <v>79541</v>
    </nc>
  </rcc>
  <rcc rId="3325" sId="1" numFmtId="27">
    <nc r="AG96">
      <v>46108.381944444445</v>
    </nc>
  </rcc>
  <rcc rId="3326" sId="1">
    <nc r="AH96">
      <f>+AF96-AD96</f>
    </nc>
  </rcc>
  <rcc rId="3327" sId="1">
    <nc r="AI96">
      <v>2</v>
    </nc>
  </rcc>
  <rcc rId="3328" sId="1">
    <nc r="AJ96">
      <f>+AI96*5</f>
    </nc>
  </rcc>
  <rcc rId="3329" sId="1">
    <nc r="AK96">
      <f>+Q96-AJ96</f>
    </nc>
  </rcc>
  <rcc rId="3330" sId="1">
    <nc r="AM96">
      <f>+AH96/Q96</f>
    </nc>
  </rcc>
  <rcc rId="3331" sId="1">
    <nc r="AN96">
      <f>+Q96/AI96</f>
    </nc>
  </rcc>
  <rcc rId="3332" sId="1">
    <nc r="AQ96">
      <f>+N96/78.54</f>
    </nc>
  </rcc>
  <rcc rId="3333" sId="1">
    <nc r="AR96">
      <f>+AH96/11</f>
    </nc>
  </rcc>
  <rcc rId="3334" sId="1">
    <nc r="AS96">
      <f>+AR96-AQ96</f>
    </nc>
  </rcc>
  <rcc rId="3335" sId="1">
    <nc r="AT96">
      <f>+AH96/AQ96</f>
    </nc>
  </rcc>
  <rcv guid="{D015136D-255F-4042-9389-EB535F138010}" action="delete"/>
  <rdn rId="0" localSheetId="1" customView="1" name="Z_D015136D_255F_4042_9389_EB535F138010_.wvu.FilterData" hidden="1" oldHidden="1">
    <formula>DATA!$A$1:$AK$95</formula>
    <oldFormula>DATA!$A$1:$AK$94</oldFormula>
  </rdn>
  <rcv guid="{D015136D-255F-4042-9389-EB535F138010}" action="add"/>
</revisions>
</file>

<file path=xl/revisions/revisionLog2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37" sId="1">
    <nc r="B97" t="inlineStr">
      <is>
        <t>Ignacio Ceroni</t>
      </is>
    </nc>
  </rcc>
  <rcc rId="3338" sId="1">
    <nc r="C97">
      <v>3007</v>
    </nc>
  </rcc>
  <rcc rId="3339" sId="1" numFmtId="34">
    <nc r="H97">
      <v>3000</v>
    </nc>
  </rcc>
  <rcc rId="3340" sId="1">
    <nc r="I97">
      <v>15</v>
    </nc>
  </rcc>
  <rcc rId="3341" sId="1">
    <nc r="J97" t="inlineStr">
      <is>
        <t>Montevideo</t>
      </is>
    </nc>
  </rcc>
  <rcc rId="3342" sId="1">
    <nc r="K97" t="inlineStr">
      <is>
        <t>Alquiler</t>
      </is>
    </nc>
  </rcc>
  <rcc rId="3343" sId="1">
    <nc r="A97">
      <v>96</v>
    </nc>
  </rcc>
  <rcc rId="3344" sId="1">
    <nc r="E97" t="inlineStr">
      <is>
        <t>06/04 al 09/04/2026</t>
      </is>
    </nc>
  </rcc>
  <rcc rId="3345" sId="1" numFmtId="19">
    <nc r="F97">
      <v>46118</v>
    </nc>
  </rcc>
  <rcc rId="3346" sId="1" numFmtId="19">
    <nc r="G97">
      <v>46121</v>
    </nc>
  </rcc>
  <rcc rId="3347" sId="1">
    <nc r="B98" t="inlineStr">
      <is>
        <t>Luis Amicone</t>
      </is>
    </nc>
  </rcc>
  <rcc rId="3348" sId="1">
    <nc r="C98">
      <v>3075</v>
    </nc>
  </rcc>
  <rcc rId="3349" sId="1">
    <nc r="D98">
      <v>3</v>
    </nc>
  </rcc>
  <rcc rId="3350" sId="1">
    <nc r="I98">
      <v>15</v>
    </nc>
  </rcc>
  <rcc rId="3351" sId="1">
    <nc r="K98" t="inlineStr">
      <is>
        <t>Alquiler</t>
      </is>
    </nc>
  </rcc>
  <rcc rId="3352" sId="1">
    <nc r="A98">
      <v>97</v>
    </nc>
  </rcc>
  <rcc rId="3353" sId="1">
    <nc r="D97">
      <v>4</v>
    </nc>
  </rcc>
  <rcc rId="3354" sId="1">
    <nc r="E98" t="inlineStr">
      <is>
        <t>07/04 al 09/04/2026</t>
      </is>
    </nc>
  </rcc>
  <rcc rId="3355" sId="1" numFmtId="19">
    <nc r="F98">
      <v>46119</v>
    </nc>
  </rcc>
  <rcc rId="3356" sId="1" numFmtId="19">
    <nc r="G98">
      <v>46121</v>
    </nc>
  </rcc>
  <rcc rId="3357" sId="1" numFmtId="34">
    <nc r="H98">
      <v>7000</v>
    </nc>
  </rcc>
  <rcc rId="3358" sId="1">
    <nc r="J98" t="inlineStr">
      <is>
        <t>Montevideo, Tacuarembo</t>
      </is>
    </nc>
  </rcc>
  <rcc rId="3359" sId="1">
    <nc r="B99" t="inlineStr">
      <is>
        <t>Claudia Parrilla</t>
      </is>
    </nc>
  </rcc>
  <rcc rId="3360" sId="1">
    <nc r="C99">
      <v>2005</v>
    </nc>
  </rcc>
  <rcc rId="3361" sId="1">
    <nc r="I99">
      <v>15</v>
    </nc>
  </rcc>
  <rcc rId="3362" sId="1">
    <nc r="K99" t="inlineStr">
      <is>
        <t>Alquiler</t>
      </is>
    </nc>
  </rcc>
  <rcc rId="3363" sId="1">
    <nc r="A99">
      <v>98</v>
    </nc>
  </rcc>
  <rcc rId="3364" sId="1">
    <nc r="D99">
      <v>3</v>
    </nc>
  </rcc>
  <rcc rId="3365" sId="1">
    <nc r="E99" t="inlineStr">
      <is>
        <t>07/04 al 09/04/2026</t>
      </is>
    </nc>
  </rcc>
  <rcc rId="3366" sId="1" numFmtId="19">
    <nc r="F99">
      <v>46119</v>
    </nc>
  </rcc>
  <rcc rId="3367" sId="1" numFmtId="19">
    <nc r="G99">
      <v>46121</v>
    </nc>
  </rcc>
  <rcc rId="3368" sId="1">
    <nc r="H99">
      <f>20*260</f>
    </nc>
  </rcc>
  <rcc rId="3369" sId="1">
    <nc r="J99" t="inlineStr">
      <is>
        <t>Montevideo, Canelones</t>
      </is>
    </nc>
  </rcc>
  <rcv guid="{D015136D-255F-4042-9389-EB535F138010}" action="delete"/>
  <rdn rId="0" localSheetId="1" customView="1" name="Z_D015136D_255F_4042_9389_EB535F138010_.wvu.FilterData" hidden="1" oldHidden="1">
    <formula>DATA!$A$1:$AK$96</formula>
    <oldFormula>DATA!$A$1:$AK$95</oldFormula>
  </rdn>
  <rcv guid="{D015136D-255F-4042-9389-EB535F138010}" action="add"/>
</revisions>
</file>

<file path=xl/revisions/revisionLog2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371" sId="3" eol="1" ref="A8:XFD8" action="insertRow"/>
</revisions>
</file>

<file path=xl/revisions/revisionLog2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96:AK96">
    <dxf>
      <fill>
        <patternFill>
          <bgColor rgb="FF00B050"/>
        </patternFill>
      </fill>
    </dxf>
  </rfmt>
  <rcc rId="3372" sId="1" odxf="1" dxf="1" numFmtId="19">
    <nc r="Z96">
      <v>46112</v>
    </nc>
    <odxf>
      <numFmt numFmtId="0" formatCode="General"/>
    </odxf>
    <ndxf>
      <numFmt numFmtId="19" formatCode="d/m/yyyy"/>
    </ndxf>
  </rcc>
  <rcc rId="3373" sId="1">
    <nc r="X96" t="inlineStr">
      <is>
        <t>Lucia tuvo un accidente en su auto propio que es automatico. Se autorizo uso de auto de alquiler automatico donde el costo es de usd 75 iva incluido por dia. Se estima que la reparación de su auto demore en el entorno a 1 mes.</t>
      </is>
    </nc>
  </rcc>
</revisions>
</file>

<file path=xl/revisions/revisionLog2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A4" start="0" length="0">
    <dxf>
      <numFmt numFmtId="22" formatCode="mmm\-yy"/>
    </dxf>
  </rfmt>
  <rcc rId="3374" sId="2" numFmtId="22">
    <nc r="A4">
      <v>46113</v>
    </nc>
  </rcc>
</revisions>
</file>

<file path=xl/revisions/revisionLog2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DATA!$A$1:$AK$99</formula>
    <oldFormula>DATA!$A$1:$AK$96</oldFormula>
  </rdn>
  <rcv guid="{D015136D-255F-4042-9389-EB535F138010}" action="add"/>
</revisions>
</file>

<file path=xl/revisions/revisionLog2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76" sId="1">
    <nc r="B100" t="inlineStr">
      <is>
        <t>Lorena Cabrera</t>
      </is>
    </nc>
  </rcc>
  <rcc rId="3377" sId="1">
    <nc r="C100">
      <v>1618</v>
    </nc>
  </rcc>
  <rcc rId="3378" sId="1">
    <nc r="I100">
      <v>15</v>
    </nc>
  </rcc>
  <rcc rId="3379" sId="1">
    <nc r="J100" t="inlineStr">
      <is>
        <t>Canelones</t>
      </is>
    </nc>
  </rcc>
  <rcc rId="3380" sId="1">
    <nc r="A100">
      <v>99</v>
    </nc>
  </rcc>
  <rcc rId="3381" sId="1">
    <nc r="E100" t="inlineStr">
      <is>
        <t>01/04 al 15/04/2026</t>
      </is>
    </nc>
  </rcc>
  <rcc rId="3382" sId="1" numFmtId="19">
    <nc r="F100">
      <v>46113</v>
    </nc>
  </rcc>
  <rcc rId="3383" sId="1" numFmtId="19">
    <nc r="G100">
      <v>46127</v>
    </nc>
  </rcc>
  <rcc rId="3384" sId="1" numFmtId="34">
    <nc r="H100">
      <v>3500</v>
    </nc>
  </rcc>
  <rcc rId="3385" sId="1">
    <nc r="K100" t="inlineStr">
      <is>
        <t>Propio</t>
      </is>
    </nc>
  </rcc>
  <rcc rId="3386" sId="1">
    <nc r="D100">
      <v>9</v>
    </nc>
  </rcc>
  <rcv guid="{D015136D-255F-4042-9389-EB535F138010}" action="delete"/>
  <rdn rId="0" localSheetId="1" customView="1" name="Z_D015136D_255F_4042_9389_EB535F138010_.wvu.Rows" hidden="1" oldHidden="1">
    <formula>DATA!$2:$96</formula>
  </rdn>
  <rdn rId="0" localSheetId="1" customView="1" name="Z_D015136D_255F_4042_9389_EB535F138010_.wvu.FilterData" hidden="1" oldHidden="1">
    <formula>DATA!$A$1:$AK$99</formula>
    <oldFormula>DATA!$A$1:$AK$99</oldFormula>
  </rdn>
  <rcv guid="{D015136D-255F-4042-9389-EB535F138010}" action="add"/>
</revisions>
</file>

<file path=xl/revisions/revisionLog2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dn rId="0" localSheetId="1" customView="1" name="Z_D015136D_255F_4042_9389_EB535F138010_.wvu.Rows" hidden="1" oldHidden="1">
    <oldFormula>DATA!$2:$96</oldFormula>
  </rdn>
  <rcv guid="{D015136D-255F-4042-9389-EB535F138010}" action="delete"/>
  <rdn rId="0" localSheetId="1" customView="1" name="Z_D015136D_255F_4042_9389_EB535F138010_.wvu.FilterData" hidden="1" oldHidden="1">
    <formula>DATA!$A$1:$AK$99</formula>
    <oldFormula>DATA!$A$1:$AK$99</oldFormula>
  </rdn>
  <rcv guid="{D015136D-255F-4042-9389-EB535F138010}" action="add"/>
</revisions>
</file>

<file path=xl/revisions/revisionLog2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91" sId="1">
    <nc r="M82">
      <f>+N82-H82</f>
    </nc>
  </rcc>
  <rcc rId="3392" sId="1">
    <nc r="N82">
      <f>3659+100.71</f>
    </nc>
  </rcc>
  <rcc rId="3393" sId="1" numFmtId="34">
    <nc r="O82">
      <v>17</v>
    </nc>
  </rcc>
  <rcc rId="3394" sId="1">
    <nc r="Q82">
      <f>+P82+O82</f>
    </nc>
  </rcc>
  <rcc rId="3395" sId="1">
    <nc r="R82">
      <f>(N82/Q82)</f>
    </nc>
  </rcc>
  <rcc rId="3396" sId="1">
    <nc r="S82">
      <f>(('Costo por negocio'!$B$3-DATA!R82)*DATA!O82)+('Costo por negocio'!$C$3-DATA!R82)*DATA!P82</f>
    </nc>
  </rcc>
  <rcc rId="3397" sId="1" numFmtId="19">
    <nc r="T82">
      <v>46112</v>
    </nc>
  </rcc>
  <rcc rId="3398" sId="1">
    <nc r="U82" t="inlineStr">
      <is>
        <t>SI</t>
      </is>
    </nc>
  </rcc>
  <rcc rId="3399" sId="1">
    <nc r="V82" t="inlineStr">
      <is>
        <t>SI</t>
      </is>
    </nc>
  </rcc>
  <rcc rId="3400" sId="1">
    <nc r="W82" t="inlineStr">
      <is>
        <t>SI</t>
      </is>
    </nc>
  </rcc>
  <rcc rId="3401" sId="1">
    <nc r="Y82" t="inlineStr">
      <is>
        <t>BEB 8417</t>
      </is>
    </nc>
  </rcc>
  <rcc rId="3402" sId="1" numFmtId="34">
    <nc r="AD82">
      <v>81181</v>
    </nc>
  </rcc>
  <rcc rId="3403" sId="1" numFmtId="27">
    <nc r="AE82">
      <v>46104.6875</v>
    </nc>
  </rcc>
  <rcc rId="3404" sId="1" numFmtId="34">
    <nc r="AF82">
      <v>81858</v>
    </nc>
  </rcc>
  <rcc rId="3405" sId="1" numFmtId="27">
    <nc r="AG82">
      <v>46108.375</v>
    </nc>
  </rcc>
  <rcc rId="3406" sId="1">
    <nc r="AH82">
      <f>+AF82-AD82</f>
    </nc>
  </rcc>
  <rcc rId="3407" sId="1">
    <nc r="AI82">
      <v>3</v>
    </nc>
  </rcc>
  <rcc rId="3408" sId="1">
    <nc r="AJ82">
      <f>+AI82*5</f>
    </nc>
  </rcc>
  <rcc rId="3409" sId="1">
    <nc r="AK82">
      <f>+Q82-AJ82</f>
    </nc>
  </rcc>
  <rcc rId="3410" sId="1">
    <nc r="AM82">
      <f>+AH82/Q82</f>
    </nc>
  </rcc>
  <rcc rId="3411" sId="1">
    <nc r="AN82">
      <f>+Q82/AI82</f>
    </nc>
  </rcc>
  <rcc rId="3412" sId="1">
    <nc r="AQ82">
      <f>+N82/78.54</f>
    </nc>
  </rcc>
  <rcc rId="3413" sId="1">
    <nc r="AR82">
      <f>+AH82/11</f>
    </nc>
  </rcc>
  <rcc rId="3414" sId="1">
    <nc r="AS82">
      <f>+AR82-AQ82</f>
    </nc>
  </rcc>
  <rcc rId="3415" sId="1">
    <nc r="AT82">
      <f>+AH82/AQ82</f>
    </nc>
  </rcc>
  <rfmt sheetId="1" sqref="A82:AK82">
    <dxf>
      <fill>
        <patternFill patternType="solid">
          <bgColor rgb="FF92D050"/>
        </patternFill>
      </fill>
    </dxf>
  </rfmt>
  <rcv guid="{D015136D-255F-4042-9389-EB535F138010}" action="delete"/>
  <rdn rId="0" localSheetId="1" customView="1" name="Z_D015136D_255F_4042_9389_EB535F138010_.wvu.FilterData" hidden="1" oldHidden="1">
    <formula>DATA!$A$1:$AK$99</formula>
    <oldFormula>DATA!$A$1:$AK$99</oldFormula>
  </rdn>
  <rcv guid="{D015136D-255F-4042-9389-EB535F138010}" action="add"/>
</revisions>
</file>

<file path=xl/revisions/revisionLog2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17" sId="1">
    <nc r="M84">
      <f>+N84-H84</f>
    </nc>
  </rcc>
  <rcc rId="3418" sId="1">
    <nc r="N84">
      <f>2176.5+1497</f>
    </nc>
  </rcc>
  <rcc rId="3419" sId="1" numFmtId="34">
    <nc r="O84">
      <v>10</v>
    </nc>
  </rcc>
  <rcc rId="3420" sId="1">
    <nc r="Q84">
      <f>+P84+O84</f>
    </nc>
  </rcc>
  <rcc rId="3421" sId="1">
    <nc r="R84">
      <f>(N84/Q84)</f>
    </nc>
  </rcc>
  <rcc rId="3422" sId="1">
    <nc r="S84">
      <f>(('Costo por negocio'!$B$3-DATA!R84)*DATA!O84)+('Costo por negocio'!$C$3-DATA!R84)*DATA!P84</f>
    </nc>
  </rcc>
  <rcc rId="3423" sId="1" numFmtId="19">
    <nc r="T84">
      <v>46112</v>
    </nc>
  </rcc>
  <rcc rId="3424" sId="1">
    <nc r="U84" t="inlineStr">
      <is>
        <t>SI</t>
      </is>
    </nc>
  </rcc>
  <rcc rId="3425" sId="1">
    <nc r="V84" t="inlineStr">
      <is>
        <t>SI</t>
      </is>
    </nc>
  </rcc>
  <rcc rId="3426" sId="1">
    <nc r="W84" t="inlineStr">
      <is>
        <t>SI</t>
      </is>
    </nc>
  </rcc>
  <rcc rId="3427" sId="1">
    <nc r="Y84" t="inlineStr">
      <is>
        <t>BED 3013</t>
      </is>
    </nc>
  </rcc>
  <rcc rId="3428" sId="1" numFmtId="34">
    <nc r="AD84">
      <v>127400</v>
    </nc>
  </rcc>
  <rcc rId="3429" sId="1" numFmtId="27">
    <nc r="AE84">
      <v>46104.708333333336</v>
    </nc>
  </rcc>
  <rcc rId="3430" sId="1" numFmtId="34">
    <nc r="AF84">
      <v>128235</v>
    </nc>
  </rcc>
  <rcc rId="3431" sId="1">
    <nc r="AH84">
      <f>+AF84-AD84</f>
    </nc>
  </rcc>
  <rcc rId="3432" sId="1" numFmtId="27">
    <nc r="AG84">
      <v>46108.375</v>
    </nc>
  </rcc>
  <rcc rId="3433" sId="1">
    <nc r="AI84">
      <v>3</v>
    </nc>
  </rcc>
  <rcc rId="3434" sId="1">
    <nc r="AJ84">
      <f>+AI84*5</f>
    </nc>
  </rcc>
  <rcc rId="3435" sId="1">
    <nc r="AK84">
      <f>+Q84-AJ84</f>
    </nc>
  </rcc>
  <rcc rId="3436" sId="1">
    <nc r="AM84">
      <f>+AH84/Q84</f>
    </nc>
  </rcc>
  <rcc rId="3437" sId="1">
    <nc r="AN84">
      <f>+Q84/AI84</f>
    </nc>
  </rcc>
  <rcc rId="3438" sId="1">
    <nc r="AQ84">
      <f>+N84/78.54</f>
    </nc>
  </rcc>
  <rcc rId="3439" sId="1">
    <nc r="AR84">
      <f>+AH84/11</f>
    </nc>
  </rcc>
  <rcc rId="3440" sId="1">
    <nc r="AS84">
      <f>+AR84-AQ84</f>
    </nc>
  </rcc>
  <rcc rId="3441" sId="1">
    <nc r="AT84">
      <f>+AH84/AQ84</f>
    </nc>
  </rcc>
  <rfmt sheetId="1" sqref="A84:AK84">
    <dxf>
      <fill>
        <patternFill patternType="solid">
          <bgColor rgb="FF92D050"/>
        </patternFill>
      </fill>
    </dxf>
  </rfmt>
  <rcv guid="{D015136D-255F-4042-9389-EB535F138010}" action="delete"/>
  <rdn rId="0" localSheetId="1" customView="1" name="Z_D015136D_255F_4042_9389_EB535F138010_.wvu.FilterData" hidden="1" oldHidden="1">
    <formula>DATA!$A$1:$AK$99</formula>
    <oldFormula>DATA!$A$1:$AK$99</oldFormula>
  </rdn>
  <rcv guid="{D015136D-255F-4042-9389-EB535F138010}" action="add"/>
</revisions>
</file>

<file path=xl/revisions/revisionLog2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1:AK81">
    <dxf>
      <fill>
        <patternFill patternType="solid">
          <bgColor rgb="FFFF0000"/>
        </patternFill>
      </fill>
    </dxf>
  </rfmt>
  <rcc rId="3443" sId="1">
    <nc r="X81" t="inlineStr">
      <is>
        <t>Para descontar tuvo un accidente y esta usando auto alquiler.</t>
      </is>
    </nc>
  </rcc>
</revisions>
</file>

<file path=xl/revisions/revisionLog2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2:AK82">
    <dxf>
      <fill>
        <patternFill>
          <bgColor rgb="FF00B050"/>
        </patternFill>
      </fill>
    </dxf>
  </rfmt>
  <rcc rId="3444" sId="1" odxf="1" dxf="1" numFmtId="19">
    <nc r="Z82">
      <v>46112</v>
    </nc>
    <odxf>
      <numFmt numFmtId="0" formatCode="General"/>
    </odxf>
    <ndxf>
      <numFmt numFmtId="19" formatCode="d/m/yyyy"/>
    </ndxf>
  </rcc>
  <rfmt sheetId="1" sqref="A84:AK84">
    <dxf>
      <fill>
        <patternFill>
          <bgColor rgb="FF00B050"/>
        </patternFill>
      </fill>
    </dxf>
  </rfmt>
  <rcc rId="3445" sId="1" odxf="1" dxf="1" numFmtId="19">
    <nc r="Z84">
      <v>46112</v>
    </nc>
    <odxf>
      <numFmt numFmtId="0" formatCode="General"/>
    </odxf>
    <ndxf>
      <numFmt numFmtId="19" formatCode="d/m/yyyy"/>
    </ndxf>
  </rcc>
</revisions>
</file>

<file path=xl/revisions/revisionLog2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46" sId="1">
    <nc r="B101" t="inlineStr">
      <is>
        <t>Luis Amicone</t>
      </is>
    </nc>
  </rcc>
  <rcc rId="3447" sId="1">
    <nc r="C101">
      <v>3075</v>
    </nc>
  </rcc>
  <rcc rId="3448" sId="1">
    <nc r="J101" t="inlineStr">
      <is>
        <t>Montevideo, Tacuarembo</t>
      </is>
    </nc>
  </rcc>
  <rcc rId="3449" sId="1">
    <nc r="A101">
      <v>100</v>
    </nc>
  </rcc>
  <rcc rId="3450" sId="1">
    <nc r="D101">
      <v>14</v>
    </nc>
  </rcc>
  <rcc rId="3451" sId="1">
    <nc r="E101" t="inlineStr">
      <is>
        <t>12/03 al 31/03/2026</t>
      </is>
    </nc>
  </rcc>
  <rcc rId="3452" sId="1" numFmtId="19">
    <nc r="F101">
      <v>46093</v>
    </nc>
  </rcc>
  <rcc rId="3453" sId="1" numFmtId="19">
    <nc r="G101">
      <v>46112</v>
    </nc>
  </rcc>
  <rcc rId="3454" sId="1">
    <nc r="I91">
      <v>10</v>
    </nc>
  </rcc>
  <rcc rId="3455" sId="1">
    <nc r="I25">
      <v>10</v>
    </nc>
  </rcc>
  <rcc rId="3456" sId="1">
    <nc r="I72">
      <v>15</v>
    </nc>
  </rcc>
  <rcc rId="3457" sId="1">
    <oc r="D87">
      <v>8</v>
    </oc>
    <nc r="D87">
      <v>2</v>
    </nc>
  </rcc>
  <rcc rId="3458" sId="1">
    <nc r="I87">
      <v>10</v>
    </nc>
  </rcc>
  <rcc rId="3459" sId="1">
    <nc r="I96">
      <v>10</v>
    </nc>
  </rcc>
  <rcc rId="3460" sId="1">
    <nc r="K101" t="inlineStr">
      <is>
        <t>Propio</t>
      </is>
    </nc>
  </rcc>
  <rcv guid="{D015136D-255F-4042-9389-EB535F138010}" action="delete"/>
  <rdn rId="0" localSheetId="1" customView="1" name="Z_D015136D_255F_4042_9389_EB535F138010_.wvu.FilterData" hidden="1" oldHidden="1">
    <formula>DATA!$A$1:$AK$101</formula>
    <oldFormula>DATA!$A$1:$AK$99</oldFormula>
  </rdn>
  <rcv guid="{D015136D-255F-4042-9389-EB535F138010}" action="add"/>
</revisions>
</file>

<file path=xl/revisions/revisionLog2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62" sId="1">
    <oc r="J101" t="inlineStr">
      <is>
        <t>Montevideo, Tacuarembo</t>
      </is>
    </oc>
    <nc r="J101" t="inlineStr">
      <is>
        <t>Montevideo</t>
      </is>
    </nc>
  </rcc>
  <rcc rId="3463" sId="1">
    <nc r="M101">
      <f>+N101-H101</f>
    </nc>
  </rcc>
  <rcc rId="3464" sId="1">
    <nc r="N101">
      <f>1000+2000</f>
    </nc>
  </rcc>
  <rcc rId="3465" sId="1">
    <nc r="O101">
      <f>9+1</f>
    </nc>
  </rcc>
  <rcc rId="3466" sId="1">
    <nc r="Q101">
      <f>+P101+O101</f>
    </nc>
  </rcc>
  <rcc rId="3467" sId="1">
    <nc r="R101">
      <f>(N101/Q101)</f>
    </nc>
  </rcc>
  <rcc rId="3468" sId="1">
    <nc r="S101">
      <f>(('Costo por negocio'!$B$3-DATA!R101)*DATA!O101)+('Costo por negocio'!$C$3-DATA!R101)*DATA!P101</f>
    </nc>
  </rcc>
  <rcc rId="3469" sId="1">
    <nc r="U101" t="inlineStr">
      <is>
        <t>SI</t>
      </is>
    </nc>
  </rcc>
  <rcc rId="3470" sId="1">
    <nc r="V101" t="inlineStr">
      <is>
        <t>SI</t>
      </is>
    </nc>
  </rcc>
  <rcc rId="3471" sId="1">
    <nc r="W101" t="inlineStr">
      <is>
        <t>SI</t>
      </is>
    </nc>
  </rcc>
  <rcc rId="3472" sId="1" numFmtId="19">
    <nc r="T101">
      <v>46113</v>
    </nc>
  </rcc>
  <rcc rId="3473" sId="3" numFmtId="22">
    <oc r="B3">
      <v>46023</v>
    </oc>
    <nc r="B3">
      <v>46082</v>
    </nc>
  </rcc>
  <rcc rId="3474" sId="3">
    <oc r="B5">
      <v>77.790000000000006</v>
    </oc>
    <nc r="B5">
      <v>76.88</v>
    </nc>
  </rcc>
  <rcc rId="3475" sId="3" numFmtId="4">
    <oc r="B6">
      <v>262.83213141025641</v>
    </oc>
    <nc r="B6">
      <v>259.75747863247858</v>
    </nc>
  </rcc>
  <rcc rId="3476" sId="3" numFmtId="4">
    <oc r="B7">
      <v>391.65104166666669</v>
    </oc>
    <nc r="B7">
      <v>387.0694444444444</v>
    </nc>
  </rcc>
  <rcc rId="3477" sId="3">
    <oc r="D4" t="inlineStr">
      <is>
        <t>Enero 2026 a Marzo 2026</t>
      </is>
    </oc>
    <nc r="D4" t="inlineStr">
      <is>
        <t>Marzo 2026 a Abril 2026</t>
      </is>
    </nc>
  </rcc>
  <rcc rId="3478" sId="3" odxf="1" dxf="1">
    <oc r="E4" t="inlineStr">
      <is>
        <t>Enero 2026 a Marzo 2026</t>
      </is>
    </oc>
    <nc r="E4" t="inlineStr">
      <is>
        <t>Marzo 2026 a Abril 2026</t>
      </is>
    </nc>
    <odxf/>
    <ndxf/>
  </rcc>
  <rcc rId="3479" sId="3">
    <oc r="A1" t="inlineStr">
      <is>
        <t>AJUSTES DE PRECIOS DE COMBUSTIBLES DESDE 01/03/2026</t>
      </is>
    </oc>
    <nc r="A1" t="inlineStr">
      <is>
        <t>AJUSTES DE PRECIOS DE COMBUSTIBLES DESDE 01/04/2026</t>
      </is>
    </nc>
  </rcc>
  <rcc rId="3480" sId="3" numFmtId="22">
    <oc r="C3">
      <v>46082</v>
    </oc>
    <nc r="C3">
      <v>46113</v>
    </nc>
  </rcc>
  <rcc rId="3481" sId="3">
    <oc r="C5">
      <v>76.88</v>
    </oc>
    <nc r="C5">
      <v>82.27</v>
    </nc>
  </rcc>
  <rcv guid="{D015136D-255F-4042-9389-EB535F138010}" action="delete"/>
  <rdn rId="0" localSheetId="1" customView="1" name="Z_D015136D_255F_4042_9389_EB535F138010_.wvu.FilterData" hidden="1" oldHidden="1">
    <formula>DATA!$A$1:$AK$101</formula>
    <oldFormula>DATA!$A$1:$AK$101</oldFormula>
  </rdn>
  <rcv guid="{D015136D-255F-4042-9389-EB535F138010}" action="add"/>
</revisions>
</file>

<file path=xl/revisions/revisionLog2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83" sId="2">
    <nc r="B4">
      <v>278</v>
    </nc>
  </rcc>
  <rcc rId="3484" sId="2">
    <nc r="C4">
      <v>414</v>
    </nc>
  </rcc>
  <rcc rId="3485" sId="2">
    <oc r="B12">
      <f>B3</f>
    </oc>
    <nc r="B12">
      <f>B4</f>
    </nc>
  </rcc>
  <rcc rId="3486" sId="2">
    <oc r="C12">
      <f>C3</f>
    </oc>
    <nc r="C12">
      <f>C4</f>
    </nc>
  </rcc>
</revisions>
</file>

<file path=xl/revisions/revisionLog2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01:AK101">
    <dxf>
      <fill>
        <patternFill patternType="solid">
          <bgColor rgb="FF92D050"/>
        </patternFill>
      </fill>
    </dxf>
  </rfmt>
</revisions>
</file>

<file path=xl/revisions/revisionLog2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87" sId="1">
    <nc r="B102" t="inlineStr">
      <is>
        <t>Rolando Ball</t>
      </is>
    </nc>
  </rcc>
  <rcc rId="3488" sId="1">
    <nc r="C102">
      <v>1332</v>
    </nc>
  </rcc>
  <rcc rId="3489" sId="1">
    <nc r="J102" t="inlineStr">
      <is>
        <t>Rocha</t>
      </is>
    </nc>
  </rcc>
  <rcc rId="3490" sId="1">
    <nc r="K102" t="inlineStr">
      <is>
        <t>Propio</t>
      </is>
    </nc>
  </rcc>
  <rcc rId="3491" sId="1">
    <nc r="A102">
      <v>101</v>
    </nc>
  </rcc>
  <rcc rId="3492" sId="1">
    <nc r="D102">
      <v>14</v>
    </nc>
  </rcc>
  <rcc rId="3493" sId="1">
    <nc r="E102" t="inlineStr">
      <is>
        <t>12/03 al 31/03/2026</t>
      </is>
    </nc>
  </rcc>
  <rcc rId="3494" sId="1" numFmtId="19">
    <nc r="F102">
      <v>46093</v>
    </nc>
  </rcc>
  <rcc rId="3495" sId="1" numFmtId="19">
    <nc r="G102">
      <v>46112</v>
    </nc>
  </rcc>
  <rcc rId="3496" sId="1" numFmtId="34">
    <nc r="M102">
      <v>3000</v>
    </nc>
  </rcc>
  <rcc rId="3497" sId="1">
    <nc r="N102">
      <f>1000+1600</f>
    </nc>
  </rcc>
  <rcc rId="3498" sId="1" numFmtId="34">
    <nc r="O102">
      <v>5</v>
    </nc>
  </rcc>
  <rcc rId="3499" sId="1" numFmtId="34">
    <nc r="P102">
      <v>3</v>
    </nc>
  </rcc>
  <rcc rId="3500" sId="1">
    <nc r="Q102">
      <f>+P102+O102</f>
    </nc>
  </rcc>
  <rcc rId="3501" sId="1">
    <nc r="R102">
      <f>(N102/Q102)</f>
    </nc>
  </rcc>
  <rcc rId="3502" sId="1">
    <nc r="S102">
      <f>(('Costo por negocio'!$B$3-DATA!R102)*DATA!O102)+('Costo por negocio'!$C$3-DATA!R102)*DATA!P102</f>
    </nc>
  </rcc>
  <rcc rId="3503" sId="1" numFmtId="19">
    <nc r="T102">
      <v>46113</v>
    </nc>
  </rcc>
  <rcc rId="3504" sId="1">
    <nc r="U102" t="inlineStr">
      <is>
        <t>SI</t>
      </is>
    </nc>
  </rcc>
  <rcc rId="3505" sId="1">
    <nc r="V102" t="inlineStr">
      <is>
        <t>SI</t>
      </is>
    </nc>
  </rcc>
  <rcc rId="3506" sId="1">
    <nc r="W102" t="inlineStr">
      <is>
        <t>SI</t>
      </is>
    </nc>
  </rcc>
  <rcc rId="3507" sId="1">
    <nc r="Y102" t="inlineStr">
      <is>
        <t>CBD 1303</t>
      </is>
    </nc>
  </rcc>
  <rcc rId="3508" sId="1">
    <nc r="Y101" t="inlineStr">
      <is>
        <t>SDA 5511</t>
      </is>
    </nc>
  </rcc>
  <rcc rId="3509" sId="1">
    <nc r="Y19" t="inlineStr">
      <is>
        <t>SBI 6680</t>
      </is>
    </nc>
  </rcc>
  <rcv guid="{D015136D-255F-4042-9389-EB535F138010}" action="delete"/>
  <rdn rId="0" localSheetId="1" customView="1" name="Z_D015136D_255F_4042_9389_EB535F138010_.wvu.FilterData" hidden="1" oldHidden="1">
    <formula>DATA!$A$1:$AK$102</formula>
    <oldFormula>DATA!$A$1:$AK$101</oldFormula>
  </rdn>
  <rcv guid="{D015136D-255F-4042-9389-EB535F138010}" action="add"/>
</revisions>
</file>

<file path=xl/revisions/revisionLog2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11" sId="1">
    <oc r="J93" t="inlineStr">
      <is>
        <t>Montevideo</t>
      </is>
    </oc>
    <nc r="J93" t="inlineStr">
      <is>
        <t>Montevideo, Paysandu</t>
      </is>
    </nc>
  </rcc>
</revisions>
</file>

<file path=xl/revisions/revisionLog2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12" sId="1">
    <oc r="K100" t="inlineStr">
      <is>
        <t>Propio</t>
      </is>
    </oc>
    <nc r="K100" t="inlineStr">
      <is>
        <t>Alquiler</t>
      </is>
    </nc>
  </rcc>
  <rcc rId="3513" sId="1">
    <oc r="J100" t="inlineStr">
      <is>
        <t>Canelones</t>
      </is>
    </oc>
    <nc r="J100" t="inlineStr">
      <is>
        <t>Canelones, Maldonado</t>
      </is>
    </nc>
  </rcc>
  <rcc rId="3514" sId="1">
    <oc r="D100">
      <v>9</v>
    </oc>
    <nc r="D100">
      <v>3</v>
    </nc>
  </rcc>
  <rcc rId="3515" sId="1">
    <oc r="E100" t="inlineStr">
      <is>
        <t>01/04 al 15/04/2026</t>
      </is>
    </oc>
    <nc r="E100" t="inlineStr">
      <is>
        <t>07/04 al 09/04/2026</t>
      </is>
    </nc>
  </rcc>
  <rcc rId="3516" sId="1" numFmtId="19">
    <oc r="F100">
      <v>46113</v>
    </oc>
    <nc r="F100">
      <v>46119</v>
    </nc>
  </rcc>
  <rcc rId="3517" sId="1" numFmtId="19">
    <oc r="G100">
      <v>46127</v>
    </oc>
    <nc r="G100">
      <v>46121</v>
    </nc>
  </rcc>
  <rcv guid="{D015136D-255F-4042-9389-EB535F138010}" action="delete"/>
  <rdn rId="0" localSheetId="1" customView="1" name="Z_D015136D_255F_4042_9389_EB535F138010_.wvu.FilterData" hidden="1" oldHidden="1">
    <formula>DATA!$A$1:$AK$102</formula>
    <oldFormula>DATA!$A$1:$AK$102</oldFormula>
  </rdn>
  <rcv guid="{D015136D-255F-4042-9389-EB535F138010}" action="add"/>
</revisions>
</file>

<file path=xl/revisions/revisionLog2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19" sId="1">
    <nc r="B103" t="inlineStr">
      <is>
        <t>Fernando López</t>
      </is>
    </nc>
  </rcc>
  <rcc rId="3520" sId="1">
    <nc r="C103">
      <v>3117</v>
    </nc>
  </rcc>
  <rcc rId="3521" sId="1">
    <nc r="D103">
      <v>14</v>
    </nc>
  </rcc>
  <rcc rId="3522" sId="1">
    <nc r="E103" t="inlineStr">
      <is>
        <t>12/03 al 31/03/2026</t>
      </is>
    </nc>
  </rcc>
  <rcc rId="3523" sId="1" numFmtId="19">
    <nc r="F103">
      <v>46093</v>
    </nc>
  </rcc>
  <rcc rId="3524" sId="1" numFmtId="19">
    <nc r="G103">
      <v>46112</v>
    </nc>
  </rcc>
  <rcc rId="3525" sId="1">
    <nc r="J103" t="inlineStr">
      <is>
        <t>Montevideo</t>
      </is>
    </nc>
  </rcc>
  <rcc rId="3526" sId="1">
    <nc r="K103" t="inlineStr">
      <is>
        <t>Propio</t>
      </is>
    </nc>
  </rcc>
  <rfmt sheetId="1" sqref="A102:AK102">
    <dxf>
      <fill>
        <patternFill patternType="solid">
          <bgColor rgb="FF92D050"/>
        </patternFill>
      </fill>
    </dxf>
  </rfmt>
  <rcv guid="{D015136D-255F-4042-9389-EB535F138010}" action="delete"/>
  <rdn rId="0" localSheetId="1" customView="1" name="Z_D015136D_255F_4042_9389_EB535F138010_.wvu.FilterData" hidden="1" oldHidden="1">
    <formula>DATA!$A$1:$AK$102</formula>
    <oldFormula>DATA!$A$1:$AK$102</oldFormula>
  </rdn>
  <rcv guid="{D015136D-255F-4042-9389-EB535F138010}" action="add"/>
</revisions>
</file>

<file path=xl/revisions/revisionLog2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528" sId="1" ref="A103:XFD103" action="deleteRow">
    <rfmt sheetId="1" xfDxf="1" sqref="A103:XFD103" start="0" length="0">
      <dxf>
        <font>
          <name val="Calibri"/>
          <scheme val="none"/>
        </font>
      </dxf>
    </rfmt>
    <rfmt sheetId="1" sqref="A103" start="0" length="0">
      <dxf>
        <alignment horizontal="center" vertical="top" readingOrder="0"/>
        <border outline="0">
          <left style="thin">
            <color indexed="64"/>
          </left>
          <right style="thin">
            <color indexed="64"/>
          </right>
          <top style="thin">
            <color indexed="64"/>
          </top>
          <bottom style="thin">
            <color indexed="64"/>
          </bottom>
        </border>
      </dxf>
    </rfmt>
    <rcc rId="0" sId="1" dxf="1">
      <nc r="B103" t="inlineStr">
        <is>
          <t>Fernando López</t>
        </is>
      </nc>
      <ndxf>
        <border outline="0">
          <left style="thin">
            <color indexed="64"/>
          </left>
          <right style="thin">
            <color indexed="64"/>
          </right>
          <top style="thin">
            <color indexed="64"/>
          </top>
          <bottom style="thin">
            <color indexed="64"/>
          </bottom>
        </border>
      </ndxf>
    </rcc>
    <rcc rId="0" sId="1" dxf="1">
      <nc r="C103">
        <v>3117</v>
      </nc>
      <ndxf>
        <border outline="0">
          <left style="thin">
            <color indexed="64"/>
          </left>
          <right style="thin">
            <color indexed="64"/>
          </right>
          <top style="thin">
            <color indexed="64"/>
          </top>
          <bottom style="thin">
            <color indexed="64"/>
          </bottom>
        </border>
      </ndxf>
    </rcc>
    <rcc rId="0" sId="1" dxf="1">
      <nc r="D103">
        <v>14</v>
      </nc>
      <ndxf>
        <border outline="0">
          <left style="thin">
            <color indexed="64"/>
          </left>
          <right style="thin">
            <color indexed="64"/>
          </right>
          <top style="thin">
            <color indexed="64"/>
          </top>
          <bottom style="thin">
            <color indexed="64"/>
          </bottom>
        </border>
      </ndxf>
    </rcc>
    <rcc rId="0" sId="1" dxf="1">
      <nc r="E103" t="inlineStr">
        <is>
          <t>12/03 al 31/03/2026</t>
        </is>
      </nc>
      <ndxf>
        <border outline="0">
          <left style="thin">
            <color indexed="64"/>
          </left>
          <right style="thin">
            <color indexed="64"/>
          </right>
          <top style="thin">
            <color indexed="64"/>
          </top>
          <bottom style="thin">
            <color indexed="64"/>
          </bottom>
        </border>
      </ndxf>
    </rcc>
    <rcc rId="0" sId="1" dxf="1" numFmtId="19">
      <nc r="F103">
        <v>46093</v>
      </nc>
      <ndxf>
        <numFmt numFmtId="19" formatCode="dd/mm/yyyy"/>
        <border outline="0">
          <left style="thin">
            <color indexed="64"/>
          </left>
          <right style="thin">
            <color indexed="64"/>
          </right>
          <top style="thin">
            <color indexed="64"/>
          </top>
          <bottom style="thin">
            <color indexed="64"/>
          </bottom>
        </border>
      </ndxf>
    </rcc>
    <rcc rId="0" sId="1" dxf="1" numFmtId="19">
      <nc r="G103">
        <v>46112</v>
      </nc>
      <ndxf>
        <numFmt numFmtId="19" formatCode="dd/mm/yyyy"/>
        <border outline="0">
          <left style="thin">
            <color indexed="64"/>
          </left>
          <right style="thin">
            <color indexed="64"/>
          </right>
          <top style="thin">
            <color indexed="64"/>
          </top>
          <bottom style="thin">
            <color indexed="64"/>
          </bottom>
        </border>
      </ndxf>
    </rcc>
    <rfmt sheetId="1" sqref="H103" start="0" length="0">
      <dxf>
        <numFmt numFmtId="164" formatCode="_-* #,##0_-;\-* #,##0_-;_-* &quot;-&quot;??_-;_-@_-"/>
        <border outline="0">
          <left style="thin">
            <color indexed="64"/>
          </left>
          <right style="thin">
            <color indexed="64"/>
          </right>
          <top style="thin">
            <color indexed="64"/>
          </top>
          <bottom style="thin">
            <color indexed="64"/>
          </bottom>
        </border>
      </dxf>
    </rfmt>
    <rfmt sheetId="1" sqref="I103" start="0" length="0">
      <dxf>
        <border outline="0">
          <left style="thin">
            <color indexed="64"/>
          </left>
          <right style="thin">
            <color indexed="64"/>
          </right>
          <top style="thin">
            <color indexed="64"/>
          </top>
          <bottom style="thin">
            <color indexed="64"/>
          </bottom>
        </border>
      </dxf>
    </rfmt>
    <rcc rId="0" sId="1" dxf="1">
      <nc r="J103" t="inlineStr">
        <is>
          <t>Montevideo</t>
        </is>
      </nc>
      <ndxf>
        <border outline="0">
          <left style="thin">
            <color indexed="64"/>
          </left>
          <right style="thin">
            <color indexed="64"/>
          </right>
          <top style="thin">
            <color indexed="64"/>
          </top>
          <bottom style="thin">
            <color indexed="64"/>
          </bottom>
        </border>
      </ndxf>
    </rcc>
    <rcc rId="0" sId="1" dxf="1">
      <nc r="K103" t="inlineStr">
        <is>
          <t>Propio</t>
        </is>
      </nc>
      <ndxf>
        <border outline="0">
          <left style="thin">
            <color indexed="64"/>
          </left>
          <right style="thin">
            <color indexed="64"/>
          </right>
          <top style="thin">
            <color indexed="64"/>
          </top>
          <bottom style="thin">
            <color indexed="64"/>
          </bottom>
        </border>
      </ndxf>
    </rcc>
    <rfmt sheetId="1" sqref="L103" start="0" length="0">
      <dxf>
        <border outline="0">
          <left style="thin">
            <color indexed="64"/>
          </left>
          <right style="thin">
            <color indexed="64"/>
          </right>
          <top style="thin">
            <color indexed="64"/>
          </top>
          <bottom style="thin">
            <color indexed="64"/>
          </bottom>
        </border>
      </dxf>
    </rfmt>
    <rfmt sheetId="1" sqref="M103" start="0" length="0">
      <dxf>
        <numFmt numFmtId="35" formatCode="_-* #,##0.00_-;\-* #,##0.00_-;_-* &quot;-&quot;??_-;_-@_-"/>
        <border outline="0">
          <left style="thin">
            <color indexed="64"/>
          </left>
          <right style="thin">
            <color indexed="64"/>
          </right>
          <top style="thin">
            <color indexed="64"/>
          </top>
          <bottom style="thin">
            <color indexed="64"/>
          </bottom>
        </border>
      </dxf>
    </rfmt>
    <rfmt sheetId="1" sqref="N103" start="0" length="0">
      <dxf>
        <numFmt numFmtId="35" formatCode="_-* #,##0.00_-;\-* #,##0.00_-;_-* &quot;-&quot;??_-;_-@_-"/>
        <border outline="0">
          <left style="thin">
            <color indexed="64"/>
          </left>
          <right style="thin">
            <color indexed="64"/>
          </right>
          <top style="thin">
            <color indexed="64"/>
          </top>
          <bottom style="thin">
            <color indexed="64"/>
          </bottom>
        </border>
      </dxf>
    </rfmt>
    <rfmt sheetId="1" sqref="O103" start="0" length="0">
      <dxf>
        <numFmt numFmtId="164" formatCode="_-* #,##0_-;\-* #,##0_-;_-* &quot;-&quot;??_-;_-@_-"/>
        <border outline="0">
          <left style="thin">
            <color indexed="64"/>
          </left>
          <right style="thin">
            <color indexed="64"/>
          </right>
          <top style="thin">
            <color indexed="64"/>
          </top>
          <bottom style="thin">
            <color indexed="64"/>
          </bottom>
        </border>
      </dxf>
    </rfmt>
    <rfmt sheetId="1" sqref="P103" start="0" length="0">
      <dxf>
        <numFmt numFmtId="164" formatCode="_-* #,##0_-;\-* #,##0_-;_-* &quot;-&quot;??_-;_-@_-"/>
        <border outline="0">
          <left style="thin">
            <color indexed="64"/>
          </left>
          <right style="thin">
            <color indexed="64"/>
          </right>
          <top style="thin">
            <color indexed="64"/>
          </top>
          <bottom style="thin">
            <color indexed="64"/>
          </bottom>
        </border>
      </dxf>
    </rfmt>
    <rfmt sheetId="1" sqref="Q103" start="0" length="0">
      <dxf>
        <numFmt numFmtId="164" formatCode="_-* #,##0_-;\-* #,##0_-;_-* &quot;-&quot;??_-;_-@_-"/>
        <border outline="0">
          <left style="thin">
            <color indexed="64"/>
          </left>
          <right style="thin">
            <color indexed="64"/>
          </right>
          <top style="thin">
            <color indexed="64"/>
          </top>
          <bottom style="thin">
            <color indexed="64"/>
          </bottom>
        </border>
      </dxf>
    </rfmt>
    <rfmt sheetId="1" sqref="R103" start="0" length="0">
      <dxf>
        <numFmt numFmtId="35" formatCode="_-* #,##0.00_-;\-* #,##0.00_-;_-* &quot;-&quot;??_-;_-@_-"/>
        <border outline="0">
          <left style="thin">
            <color indexed="64"/>
          </left>
          <right style="thin">
            <color indexed="64"/>
          </right>
          <top style="thin">
            <color indexed="64"/>
          </top>
          <bottom style="thin">
            <color indexed="64"/>
          </bottom>
        </border>
      </dxf>
    </rfmt>
    <rfmt sheetId="1" sqref="S103" start="0" length="0">
      <dxf>
        <numFmt numFmtId="35" formatCode="_-* #,##0.00_-;\-* #,##0.00_-;_-* &quot;-&quot;??_-;_-@_-"/>
        <border outline="0">
          <left style="thin">
            <color indexed="64"/>
          </left>
          <right style="thin">
            <color indexed="64"/>
          </right>
          <top style="thin">
            <color indexed="64"/>
          </top>
          <bottom style="thin">
            <color indexed="64"/>
          </bottom>
        </border>
      </dxf>
    </rfmt>
    <rfmt sheetId="1" sqref="T103" start="0" length="0">
      <dxf>
        <numFmt numFmtId="19" formatCode="dd/mm/yyyy"/>
        <border outline="0">
          <left style="thin">
            <color indexed="64"/>
          </left>
          <right style="thin">
            <color indexed="64"/>
          </right>
          <top style="thin">
            <color indexed="64"/>
          </top>
          <bottom style="thin">
            <color indexed="64"/>
          </bottom>
        </border>
      </dxf>
    </rfmt>
    <rfmt sheetId="1" sqref="U103" start="0" length="0">
      <dxf>
        <border outline="0">
          <left style="thin">
            <color indexed="64"/>
          </left>
          <right style="thin">
            <color indexed="64"/>
          </right>
          <top style="thin">
            <color indexed="64"/>
          </top>
          <bottom style="thin">
            <color indexed="64"/>
          </bottom>
        </border>
      </dxf>
    </rfmt>
    <rfmt sheetId="1" sqref="V103" start="0" length="0">
      <dxf>
        <border outline="0">
          <left style="thin">
            <color indexed="64"/>
          </left>
          <right style="thin">
            <color indexed="64"/>
          </right>
          <top style="thin">
            <color indexed="64"/>
          </top>
          <bottom style="thin">
            <color indexed="64"/>
          </bottom>
        </border>
      </dxf>
    </rfmt>
    <rfmt sheetId="1" sqref="W103" start="0" length="0">
      <dxf>
        <border outline="0">
          <left style="thin">
            <color indexed="64"/>
          </left>
          <right style="thin">
            <color indexed="64"/>
          </right>
          <top style="thin">
            <color indexed="64"/>
          </top>
          <bottom style="thin">
            <color indexed="64"/>
          </bottom>
        </border>
      </dxf>
    </rfmt>
    <rfmt sheetId="1" sqref="X103" start="0" length="0">
      <dxf>
        <border outline="0">
          <left style="thin">
            <color indexed="64"/>
          </left>
          <right style="thin">
            <color indexed="64"/>
          </right>
          <top style="thin">
            <color indexed="64"/>
          </top>
          <bottom style="thin">
            <color indexed="64"/>
          </bottom>
        </border>
      </dxf>
    </rfmt>
    <rfmt sheetId="1" sqref="Y103" start="0" length="0">
      <dxf>
        <border outline="0">
          <left style="thin">
            <color indexed="64"/>
          </left>
          <right style="thin">
            <color indexed="64"/>
          </right>
          <top style="thin">
            <color indexed="64"/>
          </top>
          <bottom style="thin">
            <color indexed="64"/>
          </bottom>
        </border>
      </dxf>
    </rfmt>
    <rfmt sheetId="1" sqref="Z103" start="0" length="0">
      <dxf>
        <border outline="0">
          <left style="thin">
            <color indexed="64"/>
          </left>
          <right style="thin">
            <color indexed="64"/>
          </right>
          <top style="thin">
            <color indexed="64"/>
          </top>
          <bottom style="thin">
            <color indexed="64"/>
          </bottom>
        </border>
      </dxf>
    </rfmt>
    <rfmt sheetId="1" sqref="AA103" start="0" length="0">
      <dxf>
        <border outline="0">
          <left style="thin">
            <color indexed="64"/>
          </left>
          <right style="thin">
            <color indexed="64"/>
          </right>
          <top style="thin">
            <color indexed="64"/>
          </top>
          <bottom style="thin">
            <color indexed="64"/>
          </bottom>
        </border>
      </dxf>
    </rfmt>
    <rfmt sheetId="1" sqref="AB103" start="0" length="0">
      <dxf>
        <border outline="0">
          <left style="thin">
            <color indexed="64"/>
          </left>
          <right style="thin">
            <color indexed="64"/>
          </right>
          <top style="thin">
            <color indexed="64"/>
          </top>
          <bottom style="thin">
            <color indexed="64"/>
          </bottom>
        </border>
      </dxf>
    </rfmt>
    <rfmt sheetId="1" sqref="AC103" start="0" length="0">
      <dxf>
        <border outline="0">
          <left style="thin">
            <color indexed="64"/>
          </left>
          <right style="thin">
            <color indexed="64"/>
          </right>
          <top style="thin">
            <color indexed="64"/>
          </top>
          <bottom style="thin">
            <color indexed="64"/>
          </bottom>
        </border>
      </dxf>
    </rfmt>
    <rfmt sheetId="1" sqref="AD103" start="0" length="0">
      <dxf>
        <numFmt numFmtId="164" formatCode="_-* #,##0_-;\-* #,##0_-;_-* &quot;-&quot;??_-;_-@_-"/>
        <border outline="0">
          <left style="thin">
            <color indexed="64"/>
          </left>
          <right style="thin">
            <color indexed="64"/>
          </right>
          <top style="thin">
            <color indexed="64"/>
          </top>
          <bottom style="thin">
            <color indexed="64"/>
          </bottom>
        </border>
      </dxf>
    </rfmt>
    <rfmt sheetId="1" sqref="AE103" start="0" length="0">
      <dxf>
        <numFmt numFmtId="27" formatCode="dd/mm/yyyy\ h:mm"/>
        <border outline="0">
          <left style="thin">
            <color indexed="64"/>
          </left>
          <right style="thin">
            <color indexed="64"/>
          </right>
          <top style="thin">
            <color indexed="64"/>
          </top>
          <bottom style="thin">
            <color indexed="64"/>
          </bottom>
        </border>
      </dxf>
    </rfmt>
    <rfmt sheetId="1" sqref="AF103" start="0" length="0">
      <dxf>
        <numFmt numFmtId="164" formatCode="_-* #,##0_-;\-* #,##0_-;_-* &quot;-&quot;??_-;_-@_-"/>
        <border outline="0">
          <left style="thin">
            <color indexed="64"/>
          </left>
          <right style="thin">
            <color indexed="64"/>
          </right>
          <top style="thin">
            <color indexed="64"/>
          </top>
          <bottom style="thin">
            <color indexed="64"/>
          </bottom>
        </border>
      </dxf>
    </rfmt>
    <rfmt sheetId="1" sqref="AG103" start="0" length="0">
      <dxf>
        <numFmt numFmtId="27" formatCode="dd/mm/yyyy\ h:mm"/>
        <border outline="0">
          <left style="thin">
            <color indexed="64"/>
          </left>
          <right style="thin">
            <color indexed="64"/>
          </right>
          <top style="thin">
            <color indexed="64"/>
          </top>
          <bottom style="thin">
            <color indexed="64"/>
          </bottom>
        </border>
      </dxf>
    </rfmt>
    <rfmt sheetId="1" sqref="AH103" start="0" length="0">
      <dxf>
        <numFmt numFmtId="164" formatCode="_-* #,##0_-;\-* #,##0_-;_-* &quot;-&quot;??_-;_-@_-"/>
        <border outline="0">
          <left style="thin">
            <color indexed="64"/>
          </left>
          <right style="thin">
            <color indexed="64"/>
          </right>
          <top style="thin">
            <color indexed="64"/>
          </top>
          <bottom style="thin">
            <color indexed="64"/>
          </bottom>
        </border>
      </dxf>
    </rfmt>
    <rfmt sheetId="1" sqref="AI103" start="0" length="0">
      <dxf>
        <border outline="0">
          <left style="thin">
            <color indexed="64"/>
          </left>
          <right style="thin">
            <color indexed="64"/>
          </right>
          <top style="thin">
            <color indexed="64"/>
          </top>
          <bottom style="thin">
            <color indexed="64"/>
          </bottom>
        </border>
      </dxf>
    </rfmt>
    <rfmt sheetId="1" sqref="AJ103" start="0" length="0">
      <dxf>
        <border outline="0">
          <left style="thin">
            <color indexed="64"/>
          </left>
          <right style="thin">
            <color indexed="64"/>
          </right>
          <top style="thin">
            <color indexed="64"/>
          </top>
          <bottom style="thin">
            <color indexed="64"/>
          </bottom>
        </border>
      </dxf>
    </rfmt>
    <rfmt sheetId="1" sqref="AK103" start="0" length="0">
      <dxf>
        <border outline="0">
          <left style="thin">
            <color indexed="64"/>
          </left>
          <right style="thin">
            <color indexed="64"/>
          </right>
          <top style="thin">
            <color indexed="64"/>
          </top>
          <bottom style="thin">
            <color indexed="64"/>
          </bottom>
        </border>
      </dxf>
    </rfmt>
    <rfmt sheetId="1" sqref="AM103" start="0" length="0">
      <dxf>
        <numFmt numFmtId="1" formatCode="0"/>
      </dxf>
    </rfmt>
    <rfmt sheetId="1" sqref="AN103" start="0" length="0">
      <dxf>
        <numFmt numFmtId="1" formatCode="0"/>
      </dxf>
    </rfmt>
    <rfmt sheetId="1" sqref="AQ103" start="0" length="0">
      <dxf>
        <numFmt numFmtId="164" formatCode="_-* #,##0_-;\-* #,##0_-;_-* &quot;-&quot;??_-;_-@_-"/>
      </dxf>
    </rfmt>
    <rfmt sheetId="1" sqref="AR103" start="0" length="0">
      <dxf>
        <numFmt numFmtId="164" formatCode="_-* #,##0_-;\-* #,##0_-;_-* &quot;-&quot;??_-;_-@_-"/>
      </dxf>
    </rfmt>
    <rfmt sheetId="1" sqref="AS103" start="0" length="0">
      <dxf>
        <numFmt numFmtId="164" formatCode="_-* #,##0_-;\-* #,##0_-;_-* &quot;-&quot;??_-;_-@_-"/>
      </dxf>
    </rfmt>
    <rfmt sheetId="1" sqref="AT103" start="0" length="0">
      <dxf>
        <numFmt numFmtId="164" formatCode="_-* #,##0_-;\-* #,##0_-;_-* &quot;-&quot;??_-;_-@_-"/>
      </dxf>
    </rfmt>
  </rrc>
  <rcc rId="3529" sId="1">
    <nc r="B103" t="inlineStr">
      <is>
        <t>Agustin Buñevaz</t>
      </is>
    </nc>
  </rcc>
  <rcc rId="3530" sId="1">
    <nc r="C103">
      <v>3152</v>
    </nc>
  </rcc>
  <rcc rId="3531" sId="1">
    <nc r="D103">
      <v>14</v>
    </nc>
  </rcc>
  <rcc rId="3532" sId="1">
    <nc r="E103" t="inlineStr">
      <is>
        <t>12/03 al 31/03/2026</t>
      </is>
    </nc>
  </rcc>
  <rcc rId="3533" sId="1" numFmtId="19">
    <nc r="F103">
      <v>46093</v>
    </nc>
  </rcc>
  <rcc rId="3534" sId="1" numFmtId="19">
    <nc r="G103">
      <v>46112</v>
    </nc>
  </rcc>
  <rcc rId="3535" sId="1" odxf="1" dxf="1">
    <nc r="K103" t="inlineStr">
      <is>
        <t>Propio</t>
      </is>
    </nc>
    <ndxf>
      <fill>
        <patternFill patternType="solid">
          <bgColor rgb="FF92D050"/>
        </patternFill>
      </fill>
    </ndxf>
  </rcc>
  <rcc rId="3536" sId="1">
    <nc r="A103">
      <v>102</v>
    </nc>
  </rcc>
  <rcc rId="3537" sId="1">
    <nc r="N103">
      <f>1040+1560+520+1340+2000+860</f>
    </nc>
  </rcc>
  <rcc rId="3538" sId="1">
    <nc r="O103">
      <f>20+9</f>
    </nc>
  </rcc>
  <rcc rId="3539" sId="1">
    <nc r="Q103">
      <f>+P103+O103</f>
    </nc>
  </rcc>
  <rcc rId="3540" sId="1">
    <nc r="R103">
      <f>(N103/Q103)</f>
    </nc>
  </rcc>
  <rcc rId="3541" sId="1">
    <nc r="S103">
      <f>(('Costo por negocio'!$B$3-DATA!R103)*DATA!O103)+('Costo por negocio'!$C$3-DATA!R103)*DATA!P103</f>
    </nc>
  </rcc>
  <rcc rId="3542" sId="1" numFmtId="19">
    <nc r="T103">
      <v>46113</v>
    </nc>
  </rcc>
  <rcc rId="3543" sId="1">
    <nc r="U103" t="inlineStr">
      <is>
        <t>SI</t>
      </is>
    </nc>
  </rcc>
  <rcc rId="3544" sId="1">
    <nc r="V103" t="inlineStr">
      <is>
        <t>SI</t>
      </is>
    </nc>
  </rcc>
  <rcc rId="3545" sId="1">
    <nc r="W103" t="inlineStr">
      <is>
        <t>SI</t>
      </is>
    </nc>
  </rcc>
  <rcc rId="3546" sId="1">
    <nc r="Y103" t="inlineStr">
      <is>
        <t>SBK 2846</t>
      </is>
    </nc>
  </rcc>
  <rfmt sheetId="1" sqref="A103:AK103">
    <dxf>
      <fill>
        <patternFill>
          <bgColor rgb="FF92D050"/>
        </patternFill>
      </fill>
    </dxf>
  </rfmt>
  <rcc rId="3547" sId="1">
    <nc r="B104" t="inlineStr">
      <is>
        <t>Sylvia Antunez</t>
      </is>
    </nc>
  </rcc>
  <rcc rId="3548" sId="1">
    <nc r="C104">
      <v>3064</v>
    </nc>
  </rcc>
  <rcc rId="3549" sId="1">
    <nc r="J104" t="inlineStr">
      <is>
        <t>Montevideo, Canelones</t>
      </is>
    </nc>
  </rcc>
  <rcc rId="3550" sId="1">
    <nc r="K104" t="inlineStr">
      <is>
        <t>Propio</t>
      </is>
    </nc>
  </rcc>
  <rcc rId="3551" sId="1">
    <nc r="J103" t="inlineStr">
      <is>
        <t>Canelones</t>
      </is>
    </nc>
  </rcc>
  <rcc rId="3552" sId="1">
    <nc r="A104">
      <v>103</v>
    </nc>
  </rcc>
  <rcc rId="3553" sId="1" odxf="1" dxf="1">
    <nc r="D104">
      <v>14</v>
    </nc>
    <ndxf>
      <fill>
        <patternFill patternType="solid">
          <bgColor rgb="FF92D050"/>
        </patternFill>
      </fill>
    </ndxf>
  </rcc>
  <rcc rId="3554" sId="1" odxf="1" dxf="1">
    <nc r="E104" t="inlineStr">
      <is>
        <t>12/03 al 31/03/2026</t>
      </is>
    </nc>
    <ndxf>
      <fill>
        <patternFill patternType="solid">
          <bgColor rgb="FF92D050"/>
        </patternFill>
      </fill>
    </ndxf>
  </rcc>
  <rcc rId="3555" sId="1" odxf="1" dxf="1" numFmtId="19">
    <nc r="F104">
      <v>46093</v>
    </nc>
    <ndxf>
      <fill>
        <patternFill patternType="solid">
          <bgColor rgb="FF92D050"/>
        </patternFill>
      </fill>
    </ndxf>
  </rcc>
  <rcc rId="3556" sId="1" odxf="1" dxf="1" numFmtId="19">
    <nc r="G104">
      <v>46112</v>
    </nc>
    <ndxf>
      <fill>
        <patternFill patternType="solid">
          <bgColor rgb="FF92D050"/>
        </patternFill>
      </fill>
    </ndxf>
  </rcc>
  <rcc rId="3557" sId="1" numFmtId="34">
    <nc r="N104">
      <v>3853</v>
    </nc>
  </rcc>
  <rcc rId="3558" sId="1">
    <oc r="M101">
      <f>+N101-H101</f>
    </oc>
    <nc r="M101">
      <f>+N101-H101</f>
    </nc>
  </rcc>
  <rcc rId="3559" sId="1" numFmtId="34">
    <oc r="M102">
      <v>3000</v>
    </oc>
    <nc r="M102">
      <f>+N102-H102</f>
    </nc>
  </rcc>
  <rcc rId="3560" sId="1" numFmtId="34">
    <nc r="M103">
      <f>+N103-H103</f>
    </nc>
  </rcc>
  <rcc rId="3561" sId="1" numFmtId="34">
    <nc r="M104">
      <f>+N104-H104</f>
    </nc>
  </rcc>
  <rcc rId="3562" sId="1">
    <nc r="O104">
      <f>21+5</f>
    </nc>
  </rcc>
  <rcc rId="3563" sId="1">
    <nc r="Q104">
      <f>+P104+O104</f>
    </nc>
  </rcc>
  <rcc rId="3564" sId="1">
    <nc r="R104">
      <f>(N104/Q104)</f>
    </nc>
  </rcc>
  <rcc rId="3565" sId="1">
    <nc r="S104">
      <f>(('Costo por negocio'!$B$3-DATA!R104)*DATA!O104)+('Costo por negocio'!$C$3-DATA!R104)*DATA!P104</f>
    </nc>
  </rcc>
  <rcc rId="3566" sId="1" numFmtId="19">
    <nc r="T104">
      <v>46113</v>
    </nc>
  </rcc>
  <rcc rId="3567" sId="1">
    <nc r="U104" t="inlineStr">
      <is>
        <t>SI</t>
      </is>
    </nc>
  </rcc>
  <rcc rId="3568" sId="1">
    <nc r="V104" t="inlineStr">
      <is>
        <t>SI</t>
      </is>
    </nc>
  </rcc>
  <rcc rId="3569" sId="1">
    <nc r="W104" t="inlineStr">
      <is>
        <t>SI</t>
      </is>
    </nc>
  </rcc>
  <rcc rId="3570" sId="1">
    <nc r="Y104" t="inlineStr">
      <is>
        <t>SDD 4937</t>
      </is>
    </nc>
  </rcc>
  <rfmt sheetId="1" sqref="A104:AK104">
    <dxf>
      <fill>
        <patternFill>
          <bgColor rgb="FF92D050"/>
        </patternFill>
      </fill>
    </dxf>
  </rfmt>
  <rcv guid="{D015136D-255F-4042-9389-EB535F138010}" action="delete"/>
  <rdn rId="0" localSheetId="1" customView="1" name="Z_D015136D_255F_4042_9389_EB535F138010_.wvu.FilterData" hidden="1" oldHidden="1">
    <formula>DATA!$A$1:$AK$102</formula>
    <oldFormula>DATA!$A$1:$AK$102</oldFormula>
  </rdn>
  <rcv guid="{D015136D-255F-4042-9389-EB535F138010}" action="add"/>
</revisions>
</file>

<file path=xl/revisions/revisionLog2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72" sId="1" numFmtId="34">
    <nc r="N92">
      <v>2958</v>
    </nc>
  </rcc>
  <rcc rId="3573" sId="1">
    <nc r="AQ92">
      <f>+N92/78.54</f>
    </nc>
  </rcc>
  <rcc rId="3574" sId="1" odxf="1" dxf="1">
    <nc r="M92">
      <f>+N92-H92</f>
    </nc>
    <odxf>
      <fill>
        <patternFill patternType="none">
          <bgColor indexed="65"/>
        </patternFill>
      </fill>
    </odxf>
    <ndxf>
      <fill>
        <patternFill patternType="solid">
          <bgColor rgb="FF00B050"/>
        </patternFill>
      </fill>
    </ndxf>
  </rcc>
  <rcc rId="3575" sId="1" numFmtId="34">
    <nc r="O92">
      <v>7</v>
    </nc>
  </rcc>
  <rcc rId="3576" sId="1" numFmtId="34">
    <nc r="P92">
      <v>10</v>
    </nc>
  </rcc>
  <rcc rId="3577" sId="1" odxf="1" dxf="1">
    <nc r="Q92">
      <f>+P92+O92</f>
    </nc>
    <odxf>
      <fill>
        <patternFill patternType="none">
          <bgColor indexed="65"/>
        </patternFill>
      </fill>
    </odxf>
    <ndxf>
      <fill>
        <patternFill patternType="solid">
          <bgColor rgb="FF00B050"/>
        </patternFill>
      </fill>
    </ndxf>
  </rcc>
  <rcc rId="3578" sId="1" odxf="1" dxf="1">
    <nc r="R92">
      <f>(N92/Q92)</f>
    </nc>
    <odxf>
      <fill>
        <patternFill patternType="none">
          <bgColor indexed="65"/>
        </patternFill>
      </fill>
    </odxf>
    <ndxf>
      <fill>
        <patternFill patternType="solid">
          <bgColor rgb="FF00B050"/>
        </patternFill>
      </fill>
    </ndxf>
  </rcc>
  <rcc rId="3579" sId="1" odxf="1" dxf="1">
    <nc r="S92">
      <f>(('Costo por negocio'!$B$3-DATA!R92)*DATA!O92)+('Costo por negocio'!$C$3-DATA!R92)*DATA!P92</f>
    </nc>
    <odxf>
      <fill>
        <patternFill patternType="none">
          <bgColor indexed="65"/>
        </patternFill>
      </fill>
    </odxf>
    <ndxf>
      <fill>
        <patternFill patternType="solid">
          <bgColor rgb="FF00B050"/>
        </patternFill>
      </fill>
    </ndxf>
  </rcc>
  <rcc rId="3580" sId="1" numFmtId="19">
    <nc r="T92">
      <v>46118</v>
    </nc>
  </rcc>
  <rcc rId="3581" sId="1" odxf="1" dxf="1">
    <nc r="U92" t="inlineStr">
      <is>
        <t>SI</t>
      </is>
    </nc>
    <odxf>
      <fill>
        <patternFill patternType="none">
          <bgColor indexed="65"/>
        </patternFill>
      </fill>
    </odxf>
    <ndxf>
      <fill>
        <patternFill patternType="solid">
          <bgColor rgb="FF00B050"/>
        </patternFill>
      </fill>
    </ndxf>
  </rcc>
  <rcc rId="3582" sId="1" odxf="1" dxf="1">
    <nc r="V92" t="inlineStr">
      <is>
        <t>SI</t>
      </is>
    </nc>
    <odxf>
      <fill>
        <patternFill patternType="none">
          <bgColor indexed="65"/>
        </patternFill>
      </fill>
    </odxf>
    <ndxf>
      <fill>
        <patternFill patternType="solid">
          <bgColor rgb="FF00B050"/>
        </patternFill>
      </fill>
    </ndxf>
  </rcc>
  <rcc rId="3583" sId="1" odxf="1" dxf="1">
    <nc r="W92" t="inlineStr">
      <is>
        <t>SI</t>
      </is>
    </nc>
    <odxf>
      <fill>
        <patternFill patternType="none">
          <bgColor indexed="65"/>
        </patternFill>
      </fill>
    </odxf>
    <ndxf>
      <fill>
        <patternFill patternType="solid">
          <bgColor rgb="FF00B050"/>
        </patternFill>
      </fill>
    </ndxf>
  </rcc>
  <rcc rId="3584" sId="1">
    <nc r="Y92" t="inlineStr">
      <is>
        <t>BEC 5483</t>
      </is>
    </nc>
  </rcc>
  <rfmt sheetId="1" sqref="A92:AK92">
    <dxf>
      <fill>
        <patternFill>
          <bgColor rgb="FF92D050"/>
        </patternFill>
      </fill>
    </dxf>
  </rfmt>
  <rdn rId="0" localSheetId="1" customView="1" name="Z_8C6872F1_3F68_40AF_8D1B_A15A7751F0C2_.wvu.FilterData" hidden="1" oldHidden="1">
    <formula>DATA!$A$1:$AK$102</formula>
  </rdn>
  <rcv guid="{8C6872F1-3F68-40AF-8D1B-A15A7751F0C2}" action="add"/>
</revisions>
</file>

<file path=xl/revisions/revisionLog2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DATA!$A$1:$AK$102</formula>
    <oldFormula>DATA!$A$1:$AK$102</oldFormula>
  </rdn>
  <rcv guid="{D015136D-255F-4042-9389-EB535F138010}" action="add"/>
</revisions>
</file>

<file path=xl/revisions/revisionLog2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87" sId="1" numFmtId="34">
    <nc r="AD92">
      <v>76813</v>
    </nc>
  </rcc>
  <rcc rId="3588" sId="1" numFmtId="27">
    <nc r="AE92">
      <v>46111.657638888886</v>
    </nc>
  </rcc>
  <rcc rId="3589" sId="1" xfDxf="1" dxf="1" numFmtId="34">
    <nc r="AF92">
      <v>77437</v>
    </nc>
    <ndxf>
      <font>
        <name val="Calibri"/>
        <scheme val="none"/>
      </font>
      <numFmt numFmtId="164" formatCode="_-* #,##0_-;\-* #,##0_-;_-* &quot;-&quot;??_-;_-@_-"/>
      <fill>
        <patternFill patternType="solid">
          <bgColor rgb="FF92D050"/>
        </patternFill>
      </fill>
      <border outline="0">
        <left style="thin">
          <color indexed="64"/>
        </left>
        <right style="thin">
          <color indexed="64"/>
        </right>
        <top style="thin">
          <color indexed="64"/>
        </top>
        <bottom style="thin">
          <color indexed="64"/>
        </bottom>
      </border>
    </ndxf>
  </rcc>
  <rcc rId="3590" sId="1" numFmtId="27">
    <nc r="AG92">
      <v>46114.378472222219</v>
    </nc>
  </rcc>
  <rcc rId="3591" sId="1">
    <nc r="AH92">
      <f>+AF92-AD92</f>
    </nc>
  </rcc>
  <rcc rId="3592" sId="1">
    <nc r="AI92">
      <v>2</v>
    </nc>
  </rcc>
  <rcc rId="3593" sId="1">
    <nc r="AJ92">
      <f>+AI92*5</f>
    </nc>
  </rcc>
  <rcc rId="3594" sId="1">
    <nc r="AK92">
      <f>+Q92-AJ92</f>
    </nc>
  </rcc>
  <rcc rId="3595" sId="1">
    <nc r="AM92">
      <f>+AH92/Q92</f>
    </nc>
  </rcc>
  <rcc rId="3596" sId="1">
    <nc r="AN92">
      <f>+Q92/AI92</f>
    </nc>
  </rcc>
  <rcc rId="3597" sId="1">
    <oc r="AQ92">
      <f>+N92/78.54</f>
    </oc>
    <nc r="AQ92">
      <f>+N92/78.54</f>
    </nc>
  </rcc>
  <rcc rId="3598" sId="1">
    <nc r="AR92">
      <f>+AH92/11</f>
    </nc>
  </rcc>
  <rcc rId="3599" sId="1">
    <nc r="AS92">
      <f>+AR92-AQ92</f>
    </nc>
  </rcc>
  <rcc rId="3600" sId="1">
    <nc r="AT92">
      <f>+AH92/AQ92</f>
    </nc>
  </rcc>
  <rcv guid="{D015136D-255F-4042-9389-EB535F138010}" action="delete"/>
  <rdn rId="0" localSheetId="1" customView="1" name="Z_D015136D_255F_4042_9389_EB535F138010_.wvu.FilterData" hidden="1" oldHidden="1">
    <formula>DATA!$A$1:$AK$104</formula>
    <oldFormula>DATA!$A$1:$AK$102</oldFormula>
  </rdn>
  <rcv guid="{D015136D-255F-4042-9389-EB535F138010}" action="add"/>
</revisions>
</file>

<file path=xl/revisions/revisionLog2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02" sId="1" xfDxf="1" dxf="1" numFmtId="34">
    <nc r="AD93">
      <v>67699</v>
    </nc>
    <ndxf>
      <font>
        <name val="Calibri"/>
        <scheme val="none"/>
      </font>
      <numFmt numFmtId="164" formatCode="_-* #,##0_-;\-* #,##0_-;_-* &quot;-&quot;??_-;_-@_-"/>
      <border outline="0">
        <left style="thin">
          <color indexed="64"/>
        </left>
        <right style="thin">
          <color indexed="64"/>
        </right>
        <top style="thin">
          <color indexed="64"/>
        </top>
        <bottom style="thin">
          <color indexed="64"/>
        </bottom>
      </border>
    </ndxf>
  </rcc>
  <rcc rId="3603" sId="1" numFmtId="27">
    <nc r="AE93">
      <v>46111.375</v>
    </nc>
  </rcc>
  <rcc rId="3604" sId="1" xfDxf="1" dxf="1" numFmtId="34">
    <nc r="AF93">
      <v>68453</v>
    </nc>
    <ndxf>
      <font>
        <name val="Calibri"/>
        <scheme val="none"/>
      </font>
      <numFmt numFmtId="164" formatCode="_-* #,##0_-;\-* #,##0_-;_-* &quot;-&quot;??_-;_-@_-"/>
      <border outline="0">
        <left style="thin">
          <color indexed="64"/>
        </left>
        <right style="thin">
          <color indexed="64"/>
        </right>
        <top style="thin">
          <color indexed="64"/>
        </top>
        <bottom style="thin">
          <color indexed="64"/>
        </bottom>
      </border>
    </ndxf>
  </rcc>
  <rcc rId="3605" sId="1" numFmtId="27">
    <nc r="AG93">
      <v>46113.725694444445</v>
    </nc>
  </rcc>
  <rcc rId="3606" sId="1">
    <nc r="AH93">
      <f>+AF93-AD93</f>
    </nc>
  </rcc>
  <rcc rId="3607" sId="1">
    <nc r="AI93">
      <v>3</v>
    </nc>
  </rcc>
  <rcc rId="3608" sId="1">
    <nc r="AJ93">
      <f>+AI93*5</f>
    </nc>
  </rcc>
  <rcc rId="3609" sId="1">
    <nc r="AK93">
      <f>+Q93-AJ93</f>
    </nc>
  </rcc>
  <rcc rId="3610" sId="1">
    <nc r="AM93">
      <f>+AH93/Q93</f>
    </nc>
  </rcc>
  <rcc rId="3611" sId="1">
    <nc r="AN93">
      <f>+Q93/AI93</f>
    </nc>
  </rcc>
  <rcc rId="3612" sId="1">
    <nc r="AQ93">
      <f>+N93/78.54</f>
    </nc>
  </rcc>
  <rcc rId="3613" sId="1">
    <nc r="AR93">
      <f>+AH93/11</f>
    </nc>
  </rcc>
  <rcc rId="3614" sId="1">
    <nc r="AS93">
      <f>+AR93-AQ93</f>
    </nc>
  </rcc>
  <rcc rId="3615" sId="1">
    <nc r="AT93">
      <f>+AH93/AQ93</f>
    </nc>
  </rcc>
  <rcv guid="{D015136D-255F-4042-9389-EB535F138010}" action="delete"/>
  <rdn rId="0" localSheetId="1" customView="1" name="Z_D015136D_255F_4042_9389_EB535F138010_.wvu.FilterData" hidden="1" oldHidden="1">
    <formula>DATA!$A$1:$AK$104</formula>
    <oldFormula>DATA!$A$1:$AK$104</oldFormula>
  </rdn>
  <rcv guid="{D015136D-255F-4042-9389-EB535F138010}" action="add"/>
</revisions>
</file>

<file path=xl/revisions/revisionLog2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17" sId="1" numFmtId="34">
    <nc r="N93">
      <v>3541</v>
    </nc>
  </rcc>
  <rcc rId="3618" sId="1" odxf="1" dxf="1">
    <nc r="M93">
      <f>+N93-H93</f>
    </nc>
    <odxf>
      <fill>
        <patternFill patternType="none">
          <bgColor indexed="65"/>
        </patternFill>
      </fill>
    </odxf>
    <ndxf>
      <fill>
        <patternFill patternType="solid">
          <bgColor rgb="FF92D050"/>
        </patternFill>
      </fill>
    </ndxf>
  </rcc>
  <rcc rId="3619" sId="1" numFmtId="34">
    <nc r="O93">
      <v>15</v>
    </nc>
  </rcc>
  <rcc rId="3620" sId="1" numFmtId="34">
    <nc r="P93">
      <v>0</v>
    </nc>
  </rcc>
  <rcc rId="3621" sId="1" odxf="1" dxf="1">
    <nc r="Q93">
      <f>+P93+O93</f>
    </nc>
    <odxf>
      <fill>
        <patternFill patternType="none">
          <bgColor indexed="65"/>
        </patternFill>
      </fill>
    </odxf>
    <ndxf>
      <fill>
        <patternFill patternType="solid">
          <bgColor rgb="FF92D050"/>
        </patternFill>
      </fill>
    </ndxf>
  </rcc>
  <rcc rId="3622" sId="1" odxf="1" dxf="1">
    <nc r="R93">
      <f>(N93/Q93)</f>
    </nc>
    <odxf>
      <fill>
        <patternFill patternType="none">
          <bgColor indexed="65"/>
        </patternFill>
      </fill>
    </odxf>
    <ndxf>
      <fill>
        <patternFill patternType="solid">
          <bgColor rgb="FF92D050"/>
        </patternFill>
      </fill>
    </ndxf>
  </rcc>
  <rcc rId="3623" sId="1" odxf="1" dxf="1">
    <nc r="S93">
      <f>(('Costo por negocio'!$B$3-DATA!R93)*DATA!O93)+('Costo por negocio'!$C$3-DATA!R93)*DATA!P93</f>
    </nc>
    <odxf>
      <fill>
        <patternFill patternType="none">
          <bgColor indexed="65"/>
        </patternFill>
      </fill>
    </odxf>
    <ndxf>
      <fill>
        <patternFill patternType="solid">
          <bgColor rgb="FF92D050"/>
        </patternFill>
      </fill>
    </ndxf>
  </rcc>
  <rcc rId="3624" sId="1" odxf="1" dxf="1" numFmtId="19">
    <nc r="T93">
      <v>46118</v>
    </nc>
    <odxf>
      <fill>
        <patternFill patternType="none">
          <bgColor indexed="65"/>
        </patternFill>
      </fill>
    </odxf>
    <ndxf>
      <fill>
        <patternFill patternType="solid">
          <bgColor rgb="FF92D050"/>
        </patternFill>
      </fill>
    </ndxf>
  </rcc>
  <rcc rId="3625" sId="1" odxf="1" dxf="1">
    <nc r="U93" t="inlineStr">
      <is>
        <t>SI</t>
      </is>
    </nc>
    <odxf>
      <fill>
        <patternFill patternType="none">
          <bgColor indexed="65"/>
        </patternFill>
      </fill>
    </odxf>
    <ndxf>
      <fill>
        <patternFill patternType="solid">
          <bgColor rgb="FF92D050"/>
        </patternFill>
      </fill>
    </ndxf>
  </rcc>
  <rcc rId="3626" sId="1" odxf="1" dxf="1">
    <nc r="V93" t="inlineStr">
      <is>
        <t>SI</t>
      </is>
    </nc>
    <odxf>
      <fill>
        <patternFill patternType="none">
          <bgColor indexed="65"/>
        </patternFill>
      </fill>
    </odxf>
    <ndxf>
      <fill>
        <patternFill patternType="solid">
          <bgColor rgb="FF92D050"/>
        </patternFill>
      </fill>
    </ndxf>
  </rcc>
  <rcc rId="3627" sId="1" odxf="1" dxf="1">
    <nc r="W93" t="inlineStr">
      <is>
        <t>SI</t>
      </is>
    </nc>
    <odxf>
      <fill>
        <patternFill patternType="none">
          <bgColor indexed="65"/>
        </patternFill>
      </fill>
    </odxf>
    <ndxf>
      <fill>
        <patternFill patternType="solid">
          <bgColor rgb="FF92D050"/>
        </patternFill>
      </fill>
    </ndxf>
  </rcc>
  <rcc rId="3628" sId="1">
    <nc r="Y93" t="inlineStr">
      <is>
        <t>BEC 5188</t>
      </is>
    </nc>
  </rcc>
  <rfmt sheetId="1" sqref="A93:AK93">
    <dxf>
      <fill>
        <patternFill>
          <bgColor rgb="FF92D050"/>
        </patternFill>
      </fill>
    </dxf>
  </rfmt>
</revisions>
</file>

<file path=xl/revisions/revisionLog2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92:AK92">
    <dxf>
      <fill>
        <patternFill>
          <bgColor rgb="FF00B050"/>
        </patternFill>
      </fill>
    </dxf>
  </rfmt>
  <rcc rId="3629" sId="1" odxf="1" dxf="1" numFmtId="19">
    <nc r="Z92">
      <v>46118</v>
    </nc>
    <odxf>
      <numFmt numFmtId="0" formatCode="General"/>
    </odxf>
    <ndxf>
      <numFmt numFmtId="19" formatCode="d/m/yyyy"/>
    </ndxf>
  </rcc>
  <rfmt sheetId="1" sqref="N93" start="0" length="0">
    <dxf>
      <fill>
        <patternFill patternType="solid">
          <bgColor rgb="FF00B050"/>
        </patternFill>
      </fill>
    </dxf>
  </rfmt>
  <rfmt sheetId="1" sqref="O93" start="0" length="0">
    <dxf>
      <fill>
        <patternFill patternType="solid">
          <bgColor rgb="FF00B050"/>
        </patternFill>
      </fill>
    </dxf>
  </rfmt>
  <rfmt sheetId="1" sqref="P93" start="0" length="0">
    <dxf>
      <fill>
        <patternFill patternType="solid">
          <bgColor rgb="FF00B050"/>
        </patternFill>
      </fill>
    </dxf>
  </rfmt>
  <rfmt sheetId="1" sqref="X93" start="0" length="0">
    <dxf>
      <fill>
        <patternFill patternType="solid">
          <bgColor rgb="FF00B050"/>
        </patternFill>
      </fill>
    </dxf>
  </rfmt>
  <rfmt sheetId="1" sqref="Y93" start="0" length="0">
    <dxf>
      <fill>
        <patternFill patternType="solid">
          <bgColor rgb="FF00B050"/>
        </patternFill>
      </fill>
    </dxf>
  </rfmt>
  <rcc rId="3630" sId="1" odxf="1" dxf="1" numFmtId="19">
    <nc r="Z93">
      <v>46118</v>
    </nc>
    <odxf>
      <numFmt numFmtId="0" formatCode="General"/>
      <fill>
        <patternFill patternType="none">
          <bgColor indexed="65"/>
        </patternFill>
      </fill>
    </odxf>
    <ndxf>
      <numFmt numFmtId="19" formatCode="d/m/yyyy"/>
      <fill>
        <patternFill patternType="solid">
          <bgColor rgb="FF00B050"/>
        </patternFill>
      </fill>
    </ndxf>
  </rcc>
  <rfmt sheetId="1" sqref="AA93" start="0" length="0">
    <dxf>
      <fill>
        <patternFill patternType="solid">
          <bgColor rgb="FF00B050"/>
        </patternFill>
      </fill>
    </dxf>
  </rfmt>
  <rfmt sheetId="1" sqref="AB93" start="0" length="0">
    <dxf>
      <fill>
        <patternFill patternType="solid">
          <bgColor rgb="FF00B050"/>
        </patternFill>
      </fill>
    </dxf>
  </rfmt>
  <rfmt sheetId="1" sqref="AC93" start="0" length="0">
    <dxf>
      <fill>
        <patternFill patternType="solid">
          <bgColor rgb="FF00B050"/>
        </patternFill>
      </fill>
    </dxf>
  </rfmt>
  <rfmt sheetId="1" sqref="A93:AK93">
    <dxf>
      <fill>
        <patternFill>
          <bgColor rgb="FF00B050"/>
        </patternFill>
      </fill>
    </dxf>
  </rfmt>
  <rfmt sheetId="1" sqref="M93" start="0" length="30995111">
    <dxf>
      <fill>
        <patternFill patternType="solid">
          <bgColor rgb="FF92D050"/>
        </patternFill>
      </fill>
    </dxf>
  </rfmt>
  <rfmt sheetId="1" sqref="Q93" start="0" length="16839295">
    <dxf>
      <fill>
        <patternFill patternType="solid">
          <bgColor rgb="FF92D050"/>
        </patternFill>
      </fill>
    </dxf>
  </rfmt>
  <rfmt sheetId="1" sqref="R93" start="0" length="44364763">
    <dxf>
      <fill>
        <patternFill patternType="solid">
          <bgColor rgb="FF92D050"/>
        </patternFill>
      </fill>
    </dxf>
  </rfmt>
  <rfmt sheetId="1" sqref="S93" start="0" length="33354371">
    <dxf>
      <fill>
        <patternFill patternType="solid">
          <bgColor rgb="FF92D050"/>
        </patternFill>
      </fill>
    </dxf>
  </rfmt>
  <rfmt sheetId="1" sqref="T93" start="0" length="25228031">
    <dxf>
      <fill>
        <patternFill patternType="solid">
          <bgColor rgb="FF92D050"/>
        </patternFill>
      </fill>
    </dxf>
  </rfmt>
  <rfmt sheetId="1" sqref="U93" start="0" length="33092231">
    <dxf>
      <fill>
        <patternFill patternType="solid">
          <bgColor rgb="FF92D050"/>
        </patternFill>
      </fill>
    </dxf>
  </rfmt>
  <rfmt sheetId="1" sqref="V93" start="0" length="32830091">
    <dxf>
      <fill>
        <patternFill patternType="solid">
          <bgColor rgb="FF92D050"/>
        </patternFill>
      </fill>
    </dxf>
  </rfmt>
  <rfmt sheetId="1" sqref="W93" start="0" length="32567951">
    <dxf>
      <fill>
        <patternFill patternType="solid">
          <bgColor rgb="FF92D050"/>
        </patternFill>
      </fill>
    </dxf>
  </rfmt>
  <rcc rId="3631" sId="1">
    <nc r="X93" t="inlineStr">
      <is>
        <t>Se autorizo uso de auto automatico por tema de Salud de Nacho usd 75 p/dia.</t>
      </is>
    </nc>
  </rcc>
  <rcc rId="3632" sId="1">
    <nc r="AC93">
      <v>225</v>
    </nc>
  </rcc>
</revisions>
</file>

<file path=xl/revisions/revisionLog2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DATA!$A$1:$AK$104</formula>
    <oldFormula>DATA!$A$1:$AK$104</oldFormula>
  </rdn>
  <rcv guid="{D015136D-255F-4042-9389-EB535F138010}" action="add"/>
</revisions>
</file>

<file path=xl/revisions/revisionLog2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DATA!$A$1:$AK$104</formula>
    <oldFormula>DATA!$A$1:$AK$104</oldFormula>
  </rdn>
  <rcv guid="{D015136D-255F-4042-9389-EB535F138010}" action="add"/>
</revisions>
</file>

<file path=xl/revisions/revisionLog2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35" sId="1">
    <nc r="B105" t="inlineStr">
      <is>
        <t>Ricardo Cardona</t>
      </is>
    </nc>
  </rcc>
  <rcc rId="3636" sId="1">
    <nc r="C105">
      <v>1512</v>
    </nc>
  </rcc>
  <rcc rId="3637" sId="1">
    <nc r="D105">
      <v>3</v>
    </nc>
  </rcc>
  <rcc rId="3638" sId="1" numFmtId="34">
    <nc r="H105">
      <v>4000</v>
    </nc>
  </rcc>
  <rcc rId="3639" sId="1">
    <nc r="I105">
      <v>15</v>
    </nc>
  </rcc>
  <rcc rId="3640" sId="1">
    <nc r="K105" t="inlineStr">
      <is>
        <t>Alquiler</t>
      </is>
    </nc>
  </rcc>
  <rcc rId="3641" sId="1">
    <nc r="A105">
      <v>104</v>
    </nc>
  </rcc>
  <rfmt sheetId="1" sqref="A105">
    <dxf>
      <fill>
        <patternFill patternType="solid">
          <bgColor rgb="FFFFFF00"/>
        </patternFill>
      </fill>
    </dxf>
  </rfmt>
  <rcc rId="3642" sId="1">
    <nc r="E105" t="inlineStr">
      <is>
        <t>14/04 al 16/04/2026</t>
      </is>
    </nc>
  </rcc>
  <rcc rId="3643" sId="1" numFmtId="19">
    <nc r="F105">
      <v>46126</v>
    </nc>
  </rcc>
  <rcc rId="3644" sId="1" numFmtId="19">
    <nc r="G105">
      <v>46128</v>
    </nc>
  </rcc>
  <rcc rId="3645" sId="1">
    <nc r="J105" t="inlineStr">
      <is>
        <t>Montevideo, Río Negro</t>
      </is>
    </nc>
  </rcc>
  <rcv guid="{D015136D-255F-4042-9389-EB535F138010}" action="delete"/>
  <rdn rId="0" localSheetId="1" customView="1" name="Z_D015136D_255F_4042_9389_EB535F138010_.wvu.FilterData" hidden="1" oldHidden="1">
    <formula>DATA!$A$1:$AY$105</formula>
    <oldFormula>DATA!$A$1:$AK$104</oldFormula>
  </rdn>
  <rcv guid="{D015136D-255F-4042-9389-EB535F138010}" action="add"/>
</revisions>
</file>

<file path=xl/revisions/revisionLog2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47" sId="1" numFmtId="34">
    <oc r="H105">
      <v>4000</v>
    </oc>
    <nc r="H105">
      <v>6500</v>
    </nc>
  </rcc>
  <rfmt sheetId="1" sqref="A106" start="0" length="0">
    <dxf>
      <fill>
        <patternFill patternType="solid">
          <bgColor rgb="FFFFFF00"/>
        </patternFill>
      </fill>
    </dxf>
  </rfmt>
  <rcc rId="3648" sId="1">
    <nc r="B106" t="inlineStr">
      <is>
        <t>Ignacio Ceroni</t>
      </is>
    </nc>
  </rcc>
  <rcc rId="3649" sId="1">
    <nc r="C106">
      <v>3007</v>
    </nc>
  </rcc>
  <rcc rId="3650" sId="1">
    <nc r="D106">
      <v>4</v>
    </nc>
  </rcc>
  <rcc rId="3651" sId="1" numFmtId="34">
    <nc r="H106">
      <v>3000</v>
    </nc>
  </rcc>
  <rcc rId="3652" sId="1">
    <nc r="I106">
      <v>15</v>
    </nc>
  </rcc>
  <rcc rId="3653" sId="1">
    <nc r="J106" t="inlineStr">
      <is>
        <t>Montevideo</t>
      </is>
    </nc>
  </rcc>
  <rcc rId="3654" sId="1">
    <nc r="K106" t="inlineStr">
      <is>
        <t>Alquiler</t>
      </is>
    </nc>
  </rcc>
  <rcc rId="3655" sId="1">
    <nc r="A106">
      <v>105</v>
    </nc>
  </rcc>
  <rcc rId="3656" sId="1" numFmtId="19">
    <nc r="G106">
      <v>46128</v>
    </nc>
  </rcc>
  <rcc rId="3657" sId="1">
    <nc r="E106" t="inlineStr">
      <is>
        <t>13/04 al 16/04/2026</t>
      </is>
    </nc>
  </rcc>
  <rcc rId="3658" sId="1" numFmtId="19">
    <nc r="F106">
      <v>46125</v>
    </nc>
  </rcc>
  <rcv guid="{D015136D-255F-4042-9389-EB535F138010}" action="delete"/>
  <rdn rId="0" localSheetId="1" customView="1" name="Z_D015136D_255F_4042_9389_EB535F138010_.wvu.FilterData" hidden="1" oldHidden="1">
    <formula>DATA!$A$1:$AY$105</formula>
    <oldFormula>DATA!$A$1:$AY$105</oldFormula>
  </rdn>
  <rcv guid="{D015136D-255F-4042-9389-EB535F138010}" action="add"/>
</revisions>
</file>

<file path=xl/revisions/revisionLog2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60" sId="1">
    <oc r="I106">
      <v>15</v>
    </oc>
    <nc r="I106">
      <v>20</v>
    </nc>
  </rcc>
  <rcc rId="3661" sId="1">
    <oc r="I97">
      <v>15</v>
    </oc>
    <nc r="I97">
      <v>20</v>
    </nc>
  </rcc>
  <rcc rId="3662" sId="1">
    <oc r="J97" t="inlineStr">
      <is>
        <t>Montevideo</t>
      </is>
    </oc>
    <nc r="J97" t="inlineStr">
      <is>
        <t>Montevideo, Paysandu</t>
      </is>
    </nc>
  </rcc>
</revisions>
</file>

<file path=xl/revisions/revisionLog2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63" sId="1">
    <oc r="J93" t="inlineStr">
      <is>
        <t>Montevideo, Paysandu</t>
      </is>
    </oc>
    <nc r="J93" t="inlineStr">
      <is>
        <t>Montevideo, Paysandú</t>
      </is>
    </nc>
  </rcc>
  <rcc rId="3664" sId="1">
    <oc r="J97" t="inlineStr">
      <is>
        <t>Montevideo, Paysandu</t>
      </is>
    </oc>
    <nc r="J97" t="inlineStr">
      <is>
        <t>Montevideo, Paysandú</t>
      </is>
    </nc>
  </rcc>
  <rcv guid="{D015136D-255F-4042-9389-EB535F138010}" action="delete"/>
  <rdn rId="0" localSheetId="1" customView="1" name="Z_D015136D_255F_4042_9389_EB535F138010_.wvu.FilterData" hidden="1" oldHidden="1">
    <formula>DATA!$A$1:$AY$106</formula>
    <oldFormula>DATA!$A$1:$AY$105</oldFormula>
  </rdn>
  <rcv guid="{D015136D-255F-4042-9389-EB535F138010}" action="add"/>
</revisions>
</file>

<file path=xl/revisions/revisionLog2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DATA!$A$1:$AY$106</formula>
    <oldFormula>DATA!$A$1:$AY$106</oldFormula>
  </rdn>
  <rcv guid="{D015136D-255F-4042-9389-EB535F138010}" action="add"/>
</revisions>
</file>

<file path=xl/revisions/revisionLog2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05:A106">
    <dxf>
      <fill>
        <patternFill patternType="none">
          <bgColor auto="1"/>
        </patternFill>
      </fill>
    </dxf>
  </rfmt>
  <rcv guid="{D015136D-255F-4042-9389-EB535F138010}" action="delete"/>
  <rdn rId="0" localSheetId="1" customView="1" name="Z_D015136D_255F_4042_9389_EB535F138010_.wvu.FilterData" hidden="1" oldHidden="1">
    <formula>DATA!$A$1:$AY$106</formula>
    <oldFormula>DATA!$A$1:$AY$106</oldFormula>
  </rdn>
  <rcv guid="{D015136D-255F-4042-9389-EB535F138010}" action="add"/>
</revisions>
</file>

<file path=xl/revisions/revisionLog2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68" sId="1">
    <nc r="M99">
      <f>+N99-H99</f>
    </nc>
  </rcc>
  <rcc rId="3669" sId="1" numFmtId="34">
    <nc r="N99">
      <v>3082</v>
    </nc>
  </rcc>
  <rcc rId="3670" sId="1">
    <oc r="J99" t="inlineStr">
      <is>
        <t>Montevideo, Canelones</t>
      </is>
    </oc>
    <nc r="J99" t="inlineStr">
      <is>
        <t>Montevideo, Canelones, San José</t>
      </is>
    </nc>
  </rcc>
  <rcc rId="3671" sId="1" numFmtId="34">
    <nc r="O99">
      <v>5</v>
    </nc>
  </rcc>
  <rcc rId="3672" sId="1" numFmtId="34">
    <nc r="P99">
      <v>15</v>
    </nc>
  </rcc>
  <rcc rId="3673" sId="1">
    <nc r="Q99">
      <f>+P99+O99</f>
    </nc>
  </rcc>
  <rcc rId="3674" sId="1">
    <nc r="R99">
      <f>(N99/Q99)</f>
    </nc>
  </rcc>
  <rcc rId="3675" sId="1">
    <nc r="U99" t="inlineStr">
      <is>
        <t>SI</t>
      </is>
    </nc>
  </rcc>
  <rcc rId="3676" sId="1">
    <nc r="V99" t="inlineStr">
      <is>
        <t>SI</t>
      </is>
    </nc>
  </rcc>
  <rcc rId="3677" sId="1">
    <nc r="W99" t="inlineStr">
      <is>
        <t>SI</t>
      </is>
    </nc>
  </rcc>
  <rcc rId="3678" sId="1" numFmtId="19">
    <nc r="T99">
      <v>46122</v>
    </nc>
  </rcc>
  <rcc rId="3679" sId="1">
    <nc r="S99">
      <f>(('Costo por negocio'!$B$4-DATA!R99)*DATA!O99)+('Costo por negocio'!$C$4-DATA!R99)*DATA!P99</f>
    </nc>
  </rcc>
  <rcc rId="3680" sId="1">
    <nc r="Y99" t="inlineStr">
      <is>
        <t>BEE 0823</t>
      </is>
    </nc>
  </rcc>
  <rcc rId="3681" sId="1" numFmtId="34">
    <nc r="AD99">
      <v>10338</v>
    </nc>
  </rcc>
  <rcc rId="3682" sId="1" numFmtId="27">
    <nc r="AE99">
      <v>46119.385416666664</v>
    </nc>
  </rcc>
  <rcc rId="3683" sId="1" numFmtId="34">
    <nc r="AF99">
      <v>10917</v>
    </nc>
  </rcc>
  <rcc rId="3684" sId="1" numFmtId="27">
    <nc r="AG99">
      <v>46122.375</v>
    </nc>
  </rcc>
  <rcc rId="3685" sId="1">
    <nc r="AH99">
      <f>+AF99-AD99</f>
    </nc>
  </rcc>
  <rcc rId="3686" sId="1">
    <nc r="AI99">
      <v>3</v>
    </nc>
  </rcc>
  <rcc rId="3687" sId="1">
    <nc r="AJ99">
      <f>+AI99*5</f>
    </nc>
  </rcc>
  <rcc rId="3688" sId="1">
    <nc r="AK99">
      <f>+Q99-AJ99</f>
    </nc>
  </rcc>
  <rcc rId="3689" sId="1">
    <nc r="AM99">
      <f>+AH99/Q99</f>
    </nc>
  </rcc>
  <rcc rId="3690" sId="1">
    <nc r="AN99">
      <f>+Q99/AI99</f>
    </nc>
  </rcc>
  <rcc rId="3691" sId="1">
    <nc r="AQ99">
      <f>+N99/78.54</f>
    </nc>
  </rcc>
  <rcc rId="3692" sId="1">
    <nc r="AR99">
      <f>+AH99/11</f>
    </nc>
  </rcc>
  <rcc rId="3693" sId="1">
    <nc r="AS99">
      <f>+AR99-AQ99</f>
    </nc>
  </rcc>
  <rcc rId="3694" sId="1">
    <nc r="AT99">
      <f>+AH99/AQ99</f>
    </nc>
  </rcc>
  <rfmt sheetId="1" sqref="A99:AK99">
    <dxf>
      <fill>
        <patternFill patternType="solid">
          <bgColor rgb="FF92D050"/>
        </patternFill>
      </fill>
    </dxf>
  </rfmt>
  <rcv guid="{D015136D-255F-4042-9389-EB535F138010}" action="delete"/>
  <rdn rId="0" localSheetId="1" customView="1" name="Z_D015136D_255F_4042_9389_EB535F138010_.wvu.FilterData" hidden="1" oldHidden="1">
    <formula>DATA!$A$1:$AY$106</formula>
    <oldFormula>DATA!$A$1:$AY$106</oldFormula>
  </rdn>
  <rcv guid="{D015136D-255F-4042-9389-EB535F138010}" action="add"/>
</revisions>
</file>

<file path=xl/revisions/revisionLog2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96" sId="1">
    <nc r="AA48">
      <v>95563</v>
    </nc>
  </rcc>
  <rcc rId="3697" sId="1">
    <nc r="AC48">
      <v>111</v>
    </nc>
  </rcc>
  <rcc rId="3698" sId="1">
    <nc r="AA55">
      <v>93150</v>
    </nc>
  </rcc>
  <rcc rId="3699" sId="1">
    <nc r="AC55">
      <v>111</v>
    </nc>
  </rcc>
  <rcc rId="3700" sId="1">
    <nc r="AA56">
      <v>95594</v>
    </nc>
  </rcc>
  <rcc rId="3701" sId="1">
    <nc r="AC56">
      <v>111</v>
    </nc>
  </rcc>
  <rcc rId="3702" sId="1">
    <nc r="AA57">
      <v>95592</v>
    </nc>
  </rcc>
  <rcc rId="3703" sId="1">
    <nc r="AC57">
      <v>111</v>
    </nc>
  </rcc>
  <rcc rId="3704" sId="1">
    <nc r="AA58">
      <v>95593</v>
    </nc>
  </rcc>
  <rcc rId="3705" sId="1">
    <nc r="AC58">
      <v>148</v>
    </nc>
  </rcc>
  <rcc rId="3706" sId="1">
    <nc r="AA59">
      <v>95584</v>
    </nc>
  </rcc>
  <rcc rId="3707" sId="1">
    <nc r="AC59">
      <v>74</v>
    </nc>
  </rcc>
  <rcc rId="3708" sId="1">
    <nc r="AA60">
      <v>93163</v>
    </nc>
  </rcc>
  <rcc rId="3709" sId="1">
    <nc r="AC60">
      <v>111</v>
    </nc>
  </rcc>
  <rcc rId="3710" sId="1">
    <nc r="AA66">
      <v>96642</v>
    </nc>
  </rcc>
  <rcc rId="3711" sId="1">
    <nc r="AC66">
      <v>111</v>
    </nc>
  </rcc>
  <rcc rId="3712" sId="1">
    <nc r="AA67">
      <v>96640</v>
    </nc>
  </rcc>
  <rcc rId="3713" sId="1">
    <nc r="AC67">
      <v>111</v>
    </nc>
  </rcc>
  <rcc rId="3714" sId="1">
    <nc r="AA68">
      <v>96641</v>
    </nc>
  </rcc>
  <rcc rId="3715" sId="1">
    <nc r="AC68">
      <v>111</v>
    </nc>
  </rcc>
  <rcc rId="3716" sId="1">
    <nc r="AA69">
      <v>96631</v>
    </nc>
  </rcc>
  <rcc rId="3717" sId="1">
    <nc r="AC69">
      <v>111</v>
    </nc>
  </rcc>
  <rcc rId="3718" sId="1">
    <nc r="AA70">
      <v>93180</v>
    </nc>
  </rcc>
  <rcc rId="3719" sId="1">
    <nc r="AC70">
      <v>111</v>
    </nc>
  </rcc>
  <rcc rId="3720" sId="1">
    <nc r="AA71">
      <v>96644</v>
    </nc>
  </rcc>
  <rcc rId="3721" sId="1">
    <nc r="AC71">
      <v>148</v>
    </nc>
  </rcc>
  <rcc rId="3722" sId="1">
    <nc r="AA72">
      <v>95595</v>
    </nc>
  </rcc>
  <rcc rId="3723" sId="1">
    <nc r="AC72">
      <v>111</v>
    </nc>
  </rcc>
  <rcc rId="3724" sId="1">
    <nc r="AA75">
      <v>96630</v>
    </nc>
  </rcc>
  <rcc rId="3725" sId="1">
    <nc r="AC75">
      <v>74</v>
    </nc>
  </rcc>
  <rcc rId="3726" sId="1">
    <nc r="AA77">
      <v>96699</v>
    </nc>
  </rcc>
  <rcc rId="3727" sId="1">
    <nc r="AC77">
      <v>111</v>
    </nc>
  </rcc>
  <rcc rId="3728" sId="1">
    <nc r="AA79">
      <v>96697</v>
    </nc>
  </rcc>
  <rcc rId="3729" sId="1">
    <nc r="AC79">
      <v>111</v>
    </nc>
  </rcc>
  <rcc rId="3730" sId="1">
    <nc r="AA80">
      <v>96703</v>
    </nc>
  </rcc>
  <rcc rId="3731" sId="1">
    <nc r="AC80">
      <v>148</v>
    </nc>
  </rcc>
  <rcc rId="3732" sId="1">
    <nc r="AA82">
      <v>96756</v>
    </nc>
  </rcc>
  <rcc rId="3733" sId="1">
    <nc r="AC82">
      <v>111</v>
    </nc>
  </rcc>
  <rcc rId="3734" sId="1">
    <nc r="AA83">
      <v>96758</v>
    </nc>
  </rcc>
  <rcc rId="3735" sId="1">
    <nc r="AC83">
      <v>111</v>
    </nc>
  </rcc>
  <rcc rId="3736" sId="1">
    <nc r="AA84">
      <v>95008</v>
    </nc>
  </rcc>
  <rcc rId="3737" sId="1">
    <nc r="AC84">
      <v>111</v>
    </nc>
  </rcc>
  <rcc rId="3738" sId="1">
    <nc r="AA85">
      <v>96760</v>
    </nc>
  </rcc>
  <rcc rId="3739" sId="1">
    <nc r="AC85">
      <v>111</v>
    </nc>
  </rcc>
  <rcc rId="3740" sId="1">
    <nc r="AA86">
      <v>96761</v>
    </nc>
  </rcc>
  <rcc rId="3741" sId="1">
    <nc r="AC86">
      <v>148</v>
    </nc>
  </rcc>
  <rcc rId="3742" sId="1">
    <nc r="AA88">
      <v>96681</v>
    </nc>
  </rcc>
  <rcc rId="3743" sId="1">
    <nc r="AC88">
      <v>74</v>
    </nc>
  </rcc>
  <rcc rId="3744" sId="1">
    <nc r="AA89">
      <v>96700</v>
    </nc>
  </rcc>
  <rcc rId="3745" sId="1">
    <nc r="AC89">
      <v>111</v>
    </nc>
  </rcc>
</revisions>
</file>

<file path=xl/revisions/revisionLog2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46" sId="1">
    <nc r="AA91">
      <v>96724</v>
    </nc>
  </rcc>
  <rcc rId="3747" sId="1">
    <nc r="AC91">
      <v>134</v>
    </nc>
  </rcc>
  <rcc rId="3748" sId="1">
    <nc r="AA94">
      <v>96757</v>
    </nc>
  </rcc>
  <rcc rId="3749" sId="1">
    <nc r="AC94">
      <v>74</v>
    </nc>
  </rcc>
  <rcc rId="3750" sId="1" numFmtId="34">
    <oc r="AD94">
      <v>81181</v>
    </oc>
    <nc r="AD94">
      <v>128051</v>
    </nc>
  </rcc>
  <rcc rId="3751" sId="1" numFmtId="27">
    <oc r="AE94">
      <v>46104.6875</v>
    </oc>
    <nc r="AE94">
      <v>46106.37777777778</v>
    </nc>
  </rcc>
  <rcc rId="3752" sId="1" numFmtId="34">
    <oc r="AF94">
      <v>81858</v>
    </oc>
    <nc r="AF94">
      <v>128754</v>
    </nc>
  </rcc>
  <rcc rId="3753" sId="1" numFmtId="27">
    <oc r="AG94">
      <v>46108.375</v>
    </oc>
    <nc r="AG94">
      <v>46108.37777777778</v>
    </nc>
  </rcc>
  <rcc rId="3754" sId="1">
    <nc r="AA96">
      <v>96759</v>
    </nc>
  </rcc>
  <rcc rId="3755" sId="1">
    <nc r="AC96">
      <v>150</v>
    </nc>
  </rcc>
  <rcv guid="{D015136D-255F-4042-9389-EB535F138010}" action="delete"/>
  <rdn rId="0" localSheetId="1" customView="1" name="Z_D015136D_255F_4042_9389_EB535F138010_.wvu.FilterData" hidden="1" oldHidden="1">
    <formula>DATA!$A$1:$AK$106</formula>
    <oldFormula>DATA!$A$1:$AY$106</oldFormula>
  </rdn>
  <rcv guid="{D015136D-255F-4042-9389-EB535F138010}" action="add"/>
</revisions>
</file>

<file path=xl/revisions/revisionLog2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57" sId="1">
    <nc r="B107" t="inlineStr">
      <is>
        <t>Ricardo Cardona</t>
      </is>
    </nc>
  </rcc>
  <rcc rId="3758" sId="1">
    <nc r="C107">
      <v>1512</v>
    </nc>
  </rcc>
  <rcc rId="3759" sId="1">
    <nc r="D107">
      <v>3</v>
    </nc>
  </rcc>
  <rcc rId="3760" sId="1">
    <nc r="I107">
      <v>15</v>
    </nc>
  </rcc>
  <rcc rId="3761" sId="1">
    <nc r="K107" t="inlineStr">
      <is>
        <t>Alquiler</t>
      </is>
    </nc>
  </rcc>
  <rcc rId="3762" sId="1">
    <nc r="A107">
      <v>106</v>
    </nc>
  </rcc>
  <rcc rId="3763" sId="1">
    <nc r="E107" t="inlineStr">
      <is>
        <t>07/04 al 09/04/2026</t>
      </is>
    </nc>
  </rcc>
  <rcc rId="3764" sId="1">
    <nc r="J107" t="inlineStr">
      <is>
        <t>Montevideo, Flores, Durazno</t>
      </is>
    </nc>
  </rcc>
  <rcc rId="3765" sId="1" numFmtId="19">
    <nc r="F107">
      <v>46119</v>
    </nc>
  </rcc>
  <rcc rId="3766" sId="1" numFmtId="19">
    <nc r="G107">
      <v>46121</v>
    </nc>
  </rcc>
  <rcc rId="3767" sId="1">
    <nc r="M107">
      <f>+N107-H107</f>
    </nc>
  </rcc>
  <rcc rId="3768" sId="1">
    <nc r="N107">
      <f>1729.6+1135.7+1254.5</f>
    </nc>
  </rcc>
  <rcc rId="3769" sId="1" numFmtId="34">
    <nc r="P107">
      <v>11</v>
    </nc>
  </rcc>
  <rcc rId="3770" sId="1">
    <nc r="Q107">
      <f>+P107+O107</f>
    </nc>
  </rcc>
  <rcc rId="3771" sId="1">
    <nc r="R107">
      <f>(N107/Q107)</f>
    </nc>
  </rcc>
  <rcc rId="3772" sId="1">
    <nc r="S107">
      <f>(('Costo por negocio'!$B$4-DATA!R107)*DATA!O107)+('Costo por negocio'!$C$4-DATA!R107)*DATA!P107</f>
    </nc>
  </rcc>
  <rcc rId="3773" sId="1" numFmtId="19">
    <nc r="T107">
      <v>46122</v>
    </nc>
  </rcc>
  <rcc rId="3774" sId="1">
    <nc r="U107" t="inlineStr">
      <is>
        <t>SI</t>
      </is>
    </nc>
  </rcc>
  <rcc rId="3775" sId="1">
    <nc r="V107" t="inlineStr">
      <is>
        <t>SI</t>
      </is>
    </nc>
  </rcc>
  <rcc rId="3776" sId="1">
    <nc r="W107" t="inlineStr">
      <is>
        <t>SI</t>
      </is>
    </nc>
  </rcc>
  <rcc rId="3777" sId="1">
    <nc r="Y107" t="inlineStr">
      <is>
        <t>BEC 5481</t>
      </is>
    </nc>
  </rcc>
  <rcc rId="3778" sId="1" numFmtId="34">
    <nc r="AD107">
      <v>71258</v>
    </nc>
  </rcc>
  <rcc rId="3779" sId="1" numFmtId="27">
    <nc r="AE107">
      <v>46118.649305555555</v>
    </nc>
  </rcc>
  <rcc rId="3780" sId="1" numFmtId="34">
    <nc r="AF107">
      <v>71783</v>
    </nc>
  </rcc>
  <rcc rId="3781" sId="1" numFmtId="27">
    <nc r="AG107">
      <v>46122.381944444445</v>
    </nc>
  </rcc>
  <rcc rId="3782" sId="1">
    <nc r="AH107">
      <f>+AF107-AD107</f>
    </nc>
  </rcc>
  <rcc rId="3783" sId="1">
    <nc r="AI107">
      <v>3</v>
    </nc>
  </rcc>
  <rcc rId="3784" sId="1">
    <nc r="AJ107">
      <f>+AI107*5</f>
    </nc>
  </rcc>
  <rcc rId="3785" sId="1">
    <nc r="AK107">
      <f>+Q107-AJ107</f>
    </nc>
  </rcc>
  <rcc rId="3786" sId="1">
    <nc r="AM107">
      <f>+AH107/Q107</f>
    </nc>
  </rcc>
  <rcc rId="3787" sId="1">
    <nc r="AN107">
      <f>+Q107/AI107</f>
    </nc>
  </rcc>
  <rcc rId="3788" sId="1">
    <nc r="AQ107">
      <f>+N107/78.54</f>
    </nc>
  </rcc>
  <rcc rId="3789" sId="1">
    <nc r="AR107">
      <f>+AH107/11</f>
    </nc>
  </rcc>
  <rcc rId="3790" sId="1">
    <nc r="AS107">
      <f>+AR107-AQ107</f>
    </nc>
  </rcc>
  <rcc rId="3791" sId="1">
    <nc r="AT107">
      <f>+AH107/AQ107</f>
    </nc>
  </rcc>
  <rfmt sheetId="1" sqref="A107:AK107">
    <dxf>
      <fill>
        <patternFill patternType="solid">
          <bgColor rgb="FF92D050"/>
        </patternFill>
      </fill>
    </dxf>
  </rfmt>
  <rcv guid="{D015136D-255F-4042-9389-EB535F138010}" action="delete"/>
  <rdn rId="0" localSheetId="1" customView="1" name="Z_D015136D_255F_4042_9389_EB535F138010_.wvu.FilterData" hidden="1" oldHidden="1">
    <formula>DATA!$A$1:$AK$106</formula>
    <oldFormula>DATA!$A$1:$AK$106</oldFormula>
  </rdn>
  <rcv guid="{D015136D-255F-4042-9389-EB535F138010}" action="add"/>
</revisions>
</file>

<file path=xl/revisions/revisionLog2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93" sId="1">
    <nc r="M98">
      <f>+N98-H98</f>
    </nc>
  </rcc>
  <rcc rId="3794" sId="1">
    <nc r="N98">
      <f>1425+2810+1548</f>
    </nc>
  </rcc>
  <rcc rId="3795" sId="1">
    <nc r="P98">
      <f>20+7</f>
    </nc>
  </rcc>
  <rcc rId="3796" sId="1">
    <nc r="Q98">
      <f>+P98+O98</f>
    </nc>
  </rcc>
  <rcc rId="3797" sId="1">
    <nc r="R98">
      <f>(N98/Q98)</f>
    </nc>
  </rcc>
  <rcc rId="3798" sId="1">
    <nc r="S98">
      <f>(('Costo por negocio'!$B$4-DATA!R98)*DATA!O98)+('Costo por negocio'!$C$4-DATA!R98)*DATA!P98</f>
    </nc>
  </rcc>
  <rcc rId="3799" sId="1" numFmtId="19">
    <nc r="T98">
      <v>46122</v>
    </nc>
  </rcc>
  <rcc rId="3800" sId="1">
    <nc r="U98" t="inlineStr">
      <is>
        <t>SI</t>
      </is>
    </nc>
  </rcc>
  <rcc rId="3801" sId="1">
    <nc r="V98" t="inlineStr">
      <is>
        <t>SI</t>
      </is>
    </nc>
  </rcc>
  <rcc rId="3802" sId="1">
    <nc r="W98" t="inlineStr">
      <is>
        <t>SI</t>
      </is>
    </nc>
  </rcc>
  <rcc rId="3803" sId="1">
    <nc r="Y98" t="inlineStr">
      <is>
        <t>BEC 5630</t>
      </is>
    </nc>
  </rcc>
  <rcc rId="3804" sId="1" numFmtId="34">
    <nc r="AD98">
      <v>73468</v>
    </nc>
  </rcc>
  <rcc rId="3805" sId="1" numFmtId="27">
    <nc r="AE98">
      <v>46118.708333333336</v>
    </nc>
  </rcc>
  <rcc rId="3806" sId="1" numFmtId="34">
    <nc r="AF98">
      <v>74465</v>
    </nc>
  </rcc>
  <rcc rId="3807" sId="1" numFmtId="27">
    <nc r="AG98">
      <v>46121.650694444441</v>
    </nc>
  </rcc>
  <rcc rId="3808" sId="1">
    <nc r="AH98">
      <f>+AF98-AD98</f>
    </nc>
  </rcc>
  <rcc rId="3809" sId="1">
    <nc r="AI98">
      <v>3</v>
    </nc>
  </rcc>
  <rcc rId="3810" sId="1">
    <nc r="AJ98">
      <f>+AI98*5</f>
    </nc>
  </rcc>
  <rcc rId="3811" sId="1">
    <nc r="AK98">
      <f>+Q98-AJ98</f>
    </nc>
  </rcc>
  <rcc rId="3812" sId="1">
    <nc r="AM98">
      <f>+AH98/Q98</f>
    </nc>
  </rcc>
  <rcc rId="3813" sId="1">
    <nc r="AN98">
      <f>+Q98/AI98</f>
    </nc>
  </rcc>
  <rcc rId="3814" sId="1">
    <nc r="AQ98">
      <f>+N98/78.54</f>
    </nc>
  </rcc>
  <rcc rId="3815" sId="1">
    <nc r="AR98">
      <f>+AH98/11</f>
    </nc>
  </rcc>
  <rcc rId="3816" sId="1">
    <nc r="AS98">
      <f>+AR98-AQ98</f>
    </nc>
  </rcc>
  <rcc rId="3817" sId="1">
    <nc r="AT98">
      <f>+AH98/AQ98</f>
    </nc>
  </rcc>
  <rfmt sheetId="1" sqref="A98:AK98">
    <dxf>
      <fill>
        <patternFill patternType="solid">
          <bgColor rgb="FF92D050"/>
        </patternFill>
      </fill>
    </dxf>
  </rfmt>
  <rcv guid="{D015136D-255F-4042-9389-EB535F138010}" action="delete"/>
  <rdn rId="0" localSheetId="1" customView="1" name="Z_D015136D_255F_4042_9389_EB535F138010_.wvu.FilterData" hidden="1" oldHidden="1">
    <formula>DATA!$A$1:$AK$106</formula>
    <oldFormula>DATA!$A$1:$AK$106</oldFormula>
  </rdn>
  <rcv guid="{D015136D-255F-4042-9389-EB535F138010}" action="add"/>
</revisions>
</file>

<file path=xl/revisions/revisionLog2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19" sId="1">
    <nc r="M97">
      <f>+N97-H97</f>
    </nc>
  </rcc>
  <rcc rId="3820" sId="1">
    <oc r="D97">
      <v>4</v>
    </oc>
    <nc r="D97">
      <v>2</v>
    </nc>
  </rcc>
  <rcc rId="3821" sId="1">
    <oc r="E97" t="inlineStr">
      <is>
        <t>06/04 al 09/04/2026</t>
      </is>
    </oc>
    <nc r="E97" t="inlineStr">
      <is>
        <t>07/04 al 08/04/2026</t>
      </is>
    </nc>
  </rcc>
  <rcc rId="3822" sId="1" numFmtId="19">
    <oc r="F97">
      <v>46118</v>
    </oc>
    <nc r="F97">
      <v>46119</v>
    </nc>
  </rcc>
  <rcc rId="3823" sId="1" numFmtId="19">
    <oc r="G97">
      <v>46121</v>
    </oc>
    <nc r="G97">
      <v>46120</v>
    </nc>
  </rcc>
  <rcc rId="3824" sId="1">
    <oc r="I97">
      <v>20</v>
    </oc>
    <nc r="I97">
      <v>10</v>
    </nc>
  </rcc>
  <rcc rId="3825" sId="1">
    <nc r="P97">
      <f>20+8</f>
    </nc>
  </rcc>
  <rcc rId="3826" sId="1">
    <nc r="Q97">
      <f>+P97+O97</f>
    </nc>
  </rcc>
  <rcc rId="3827" sId="1">
    <nc r="R97">
      <f>(N97/Q97)</f>
    </nc>
  </rcc>
  <rcc rId="3828" sId="1">
    <nc r="S97">
      <f>(('Costo por negocio'!$B$4-DATA!R97)*DATA!O97)+('Costo por negocio'!$C$4-DATA!R97)*DATA!P97</f>
    </nc>
  </rcc>
  <rcc rId="3829" sId="1" numFmtId="19">
    <nc r="T97">
      <v>46122</v>
    </nc>
  </rcc>
  <rcc rId="3830" sId="1">
    <nc r="U97" t="inlineStr">
      <is>
        <t>SI</t>
      </is>
    </nc>
  </rcc>
  <rcc rId="3831" sId="1">
    <nc r="V97" t="inlineStr">
      <is>
        <t>SI</t>
      </is>
    </nc>
  </rcc>
  <rcc rId="3832" sId="1">
    <nc r="W97" t="inlineStr">
      <is>
        <t>SI</t>
      </is>
    </nc>
  </rcc>
  <rcc rId="3833" sId="1" numFmtId="34">
    <nc r="N97">
      <v>2141</v>
    </nc>
  </rcc>
  <rcc rId="3834" sId="1">
    <nc r="Y97" t="inlineStr">
      <is>
        <t>BEB 4228</t>
      </is>
    </nc>
  </rcc>
  <rcv guid="{D015136D-255F-4042-9389-EB535F138010}" action="delete"/>
  <rdn rId="0" localSheetId="1" customView="1" name="Z_D015136D_255F_4042_9389_EB535F138010_.wvu.FilterData" hidden="1" oldHidden="1">
    <formula>DATA!$A$1:$AK$106</formula>
    <oldFormula>DATA!$A$1:$AK$106</oldFormula>
  </rdn>
  <rcv guid="{D015136D-255F-4042-9389-EB535F138010}" action="add"/>
</revisions>
</file>

<file path=xl/revisions/revisionLog2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36" sId="1" numFmtId="34">
    <nc r="AD97">
      <v>96392</v>
    </nc>
  </rcc>
  <rcc rId="3837" sId="1" numFmtId="27">
    <nc r="AE97">
      <v>46119.449305555558</v>
    </nc>
  </rcc>
  <rcc rId="3838" sId="1" numFmtId="34">
    <nc r="AF97">
      <v>96563</v>
    </nc>
  </rcc>
  <rcc rId="3839" sId="1">
    <nc r="AH97">
      <f>+AF97-AD97</f>
    </nc>
  </rcc>
  <rcc rId="3840" sId="1" numFmtId="27">
    <nc r="AG97">
      <v>46121.44027777778</v>
    </nc>
  </rcc>
  <rcc rId="3841" sId="1">
    <nc r="AI97">
      <v>2</v>
    </nc>
  </rcc>
  <rcc rId="3842" sId="1">
    <nc r="AJ97">
      <f>+AI97*5</f>
    </nc>
  </rcc>
  <rcc rId="3843" sId="1">
    <nc r="AK97">
      <f>+Q97-AJ97</f>
    </nc>
  </rcc>
  <rcc rId="3844" sId="1">
    <nc r="AM97">
      <f>+AH97/Q97</f>
    </nc>
  </rcc>
  <rcc rId="3845" sId="1">
    <nc r="AN97">
      <f>+Q97/AI97</f>
    </nc>
  </rcc>
  <rcc rId="3846" sId="1">
    <nc r="AQ97">
      <f>+N97/78.54</f>
    </nc>
  </rcc>
  <rcc rId="3847" sId="1">
    <nc r="AR97">
      <f>+AH97/11</f>
    </nc>
  </rcc>
  <rcc rId="3848" sId="1">
    <nc r="AS97">
      <f>+AR97-AQ97</f>
    </nc>
  </rcc>
  <rcc rId="3849" sId="1">
    <nc r="AT97">
      <f>+AH97/AQ97</f>
    </nc>
  </rcc>
  <rfmt sheetId="1" sqref="A97:AK97">
    <dxf>
      <fill>
        <patternFill patternType="solid">
          <bgColor rgb="FF92D050"/>
        </patternFill>
      </fill>
    </dxf>
  </rfmt>
  <rcv guid="{D015136D-255F-4042-9389-EB535F138010}" action="delete"/>
  <rdn rId="0" localSheetId="1" customView="1" name="Z_D015136D_255F_4042_9389_EB535F138010_.wvu.FilterData" hidden="1" oldHidden="1">
    <formula>DATA!$A$1:$AK$106</formula>
    <oldFormula>DATA!$A$1:$AK$106</oldFormula>
  </rdn>
  <rcv guid="{D015136D-255F-4042-9389-EB535F138010}" action="add"/>
</revisions>
</file>

<file path=xl/revisions/revisionLog2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97:AK99">
    <dxf>
      <fill>
        <patternFill>
          <bgColor rgb="FF00B050"/>
        </patternFill>
      </fill>
    </dxf>
  </rfmt>
  <rcc rId="3851" sId="1" odxf="1" dxf="1" numFmtId="19">
    <nc r="Z97">
      <v>46122</v>
    </nc>
    <odxf>
      <numFmt numFmtId="0" formatCode="General"/>
    </odxf>
    <ndxf>
      <numFmt numFmtId="19" formatCode="d/m/yyyy"/>
    </ndxf>
  </rcc>
  <rcc rId="3852" sId="1" odxf="1" dxf="1" numFmtId="19">
    <nc r="Z98">
      <v>46122</v>
    </nc>
    <odxf>
      <numFmt numFmtId="0" formatCode="General"/>
    </odxf>
    <ndxf>
      <numFmt numFmtId="19" formatCode="d/m/yyyy"/>
    </ndxf>
  </rcc>
  <rcc rId="3853" sId="1" odxf="1" dxf="1" numFmtId="19">
    <nc r="Z99">
      <v>46122</v>
    </nc>
    <odxf>
      <numFmt numFmtId="0" formatCode="General"/>
    </odxf>
    <ndxf>
      <numFmt numFmtId="19" formatCode="d/m/yyyy"/>
    </ndxf>
  </rcc>
  <rfmt sheetId="1" sqref="A101:AK104">
    <dxf>
      <fill>
        <patternFill>
          <bgColor rgb="FF00B050"/>
        </patternFill>
      </fill>
    </dxf>
  </rfmt>
  <rfmt sheetId="1" sqref="A107:AK107">
    <dxf>
      <fill>
        <patternFill>
          <bgColor rgb="FF00B050"/>
        </patternFill>
      </fill>
    </dxf>
  </rfmt>
  <rcc rId="3854" sId="1" odxf="1" dxf="1" numFmtId="19">
    <nc r="Z107">
      <v>46122</v>
    </nc>
    <odxf>
      <numFmt numFmtId="0" formatCode="General"/>
    </odxf>
    <ndxf>
      <numFmt numFmtId="19" formatCode="d/m/yyyy"/>
    </ndxf>
  </rcc>
  <rcc rId="3855" sId="1" odxf="1" dxf="1" numFmtId="19">
    <nc r="Z101">
      <v>46113</v>
    </nc>
    <odxf>
      <numFmt numFmtId="0" formatCode="General"/>
    </odxf>
    <ndxf>
      <numFmt numFmtId="19" formatCode="d/m/yyyy"/>
    </ndxf>
  </rcc>
  <rcc rId="3856" sId="1" odxf="1" dxf="1" numFmtId="19">
    <nc r="Z102">
      <v>46113</v>
    </nc>
    <odxf>
      <numFmt numFmtId="0" formatCode="General"/>
    </odxf>
    <ndxf>
      <numFmt numFmtId="19" formatCode="d/m/yyyy"/>
    </ndxf>
  </rcc>
  <rcc rId="3857" sId="1" odxf="1" dxf="1" numFmtId="19">
    <nc r="Z103">
      <v>46113</v>
    </nc>
    <odxf>
      <numFmt numFmtId="0" formatCode="General"/>
    </odxf>
    <ndxf>
      <numFmt numFmtId="19" formatCode="d/m/yyyy"/>
    </ndxf>
  </rcc>
  <rcc rId="3858" sId="1" odxf="1" dxf="1" numFmtId="19">
    <nc r="Z104">
      <v>46113</v>
    </nc>
    <odxf>
      <numFmt numFmtId="0" formatCode="General"/>
    </odxf>
    <ndxf>
      <numFmt numFmtId="19" formatCode="d/m/yyyy"/>
    </ndxf>
  </rcc>
</revisions>
</file>

<file path=xl/revisions/revisionLog2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59" sId="1">
    <nc r="A108">
      <v>107</v>
    </nc>
  </rcc>
  <rcc rId="3860" sId="1">
    <nc r="B108" t="inlineStr">
      <is>
        <t>Gabriela Falero</t>
      </is>
    </nc>
  </rcc>
  <rcc rId="3861" sId="1">
    <nc r="C108">
      <v>2030</v>
    </nc>
  </rcc>
  <rcc rId="3862" sId="1">
    <nc r="K108" t="inlineStr">
      <is>
        <t>Alquiler</t>
      </is>
    </nc>
  </rcc>
  <rcc rId="3863" sId="1">
    <nc r="E108" t="inlineStr">
      <is>
        <t>31/03 al 01/04/2026</t>
      </is>
    </nc>
  </rcc>
  <rcc rId="3864" sId="1" numFmtId="19">
    <nc r="F108">
      <v>46112</v>
    </nc>
  </rcc>
  <rcc rId="3865" sId="1" numFmtId="19">
    <nc r="G108">
      <v>46113</v>
    </nc>
  </rcc>
  <rcc rId="3866" sId="1">
    <nc r="D108">
      <v>2</v>
    </nc>
  </rcc>
  <rcc rId="3867" sId="1">
    <nc r="M108">
      <f>+N108-H108</f>
    </nc>
  </rcc>
  <rcc rId="3868" sId="1">
    <nc r="I108">
      <v>10</v>
    </nc>
  </rcc>
  <rcc rId="3869" sId="1">
    <nc r="J108" t="inlineStr">
      <is>
        <t>Montevideo</t>
      </is>
    </nc>
  </rcc>
  <rcc rId="3870" sId="1">
    <nc r="N108">
      <f>1217.8+2353.3</f>
    </nc>
  </rcc>
  <rcc rId="3871" sId="1">
    <nc r="O108">
      <f>12+9</f>
    </nc>
  </rcc>
  <rcc rId="3872" sId="1">
    <nc r="Q108">
      <f>+P108+O108</f>
    </nc>
  </rcc>
  <rcc rId="3873" sId="1">
    <nc r="R108">
      <f>(N108/Q108)</f>
    </nc>
  </rcc>
  <rcc rId="3874" sId="1">
    <nc r="S108">
      <f>(('Costo por negocio'!$B$4-DATA!R108)*DATA!O108)+('Costo por negocio'!$C$4-DATA!R108)*DATA!P108</f>
    </nc>
  </rcc>
  <rcc rId="3875" sId="1" numFmtId="19">
    <nc r="T108">
      <v>46122</v>
    </nc>
  </rcc>
  <rcc rId="3876" sId="1">
    <nc r="U108" t="inlineStr">
      <is>
        <t>SI</t>
      </is>
    </nc>
  </rcc>
  <rcc rId="3877" sId="1">
    <nc r="V108" t="inlineStr">
      <is>
        <t>SI</t>
      </is>
    </nc>
  </rcc>
  <rcc rId="3878" sId="1">
    <nc r="W108" t="inlineStr">
      <is>
        <t>SI</t>
      </is>
    </nc>
  </rcc>
  <rcc rId="3879" sId="1">
    <nc r="Y108" t="inlineStr">
      <is>
        <t>AAL 4327</t>
      </is>
    </nc>
  </rcc>
  <rcc rId="3880" sId="1" numFmtId="34">
    <nc r="AD108">
      <v>71423</v>
    </nc>
  </rcc>
  <rcc rId="3881" sId="1" numFmtId="27">
    <nc r="AE108">
      <v>46111.659722222219</v>
    </nc>
  </rcc>
  <rcc rId="3882" sId="1" numFmtId="34">
    <nc r="AF108">
      <v>71853</v>
    </nc>
  </rcc>
  <rcc rId="3883" sId="1" numFmtId="27">
    <nc r="AG108">
      <v>46113.71597222222</v>
    </nc>
  </rcc>
  <rcc rId="3884" sId="1">
    <nc r="AH108">
      <f>+AF108-AD108</f>
    </nc>
  </rcc>
  <rcc rId="3885" sId="1">
    <nc r="AI108">
      <v>2</v>
    </nc>
  </rcc>
  <rcc rId="3886" sId="1">
    <nc r="AJ108">
      <f>+AI108*5</f>
    </nc>
  </rcc>
  <rcc rId="3887" sId="1">
    <nc r="AK108">
      <f>+Q108-AJ108</f>
    </nc>
  </rcc>
  <rcc rId="3888" sId="1">
    <nc r="AM108">
      <f>+AH108/Q108</f>
    </nc>
  </rcc>
  <rcc rId="3889" sId="1">
    <nc r="AN108">
      <f>+Q108/AI108</f>
    </nc>
  </rcc>
  <rcc rId="3890" sId="1">
    <nc r="AQ108">
      <f>+N108/78.54</f>
    </nc>
  </rcc>
  <rcc rId="3891" sId="1">
    <nc r="AR108">
      <f>+AH108/11</f>
    </nc>
  </rcc>
  <rcc rId="3892" sId="1">
    <nc r="AS108">
      <f>+AR108-AQ108</f>
    </nc>
  </rcc>
  <rcc rId="3893" sId="1">
    <nc r="AT108">
      <f>+AH108/AQ108</f>
    </nc>
  </rcc>
  <rcc rId="3894" sId="1">
    <nc r="AU108" t="inlineStr">
      <is>
        <t>Fernando Lopez</t>
      </is>
    </nc>
  </rcc>
  <rcc rId="3895" sId="1">
    <nc r="AV108" t="inlineStr">
      <is>
        <t>Lucia Santamaria</t>
      </is>
    </nc>
  </rcc>
  <rcc rId="3896" sId="1">
    <nc r="AY108">
      <v>1</v>
    </nc>
  </rcc>
  <rfmt sheetId="1" sqref="A108:AK108">
    <dxf>
      <fill>
        <patternFill patternType="solid">
          <bgColor rgb="FF92D050"/>
        </patternFill>
      </fill>
    </dxf>
  </rfmt>
  <rfmt sheetId="1" sqref="A109" start="0" length="0">
    <dxf>
      <fill>
        <patternFill patternType="solid">
          <bgColor rgb="FF92D050"/>
        </patternFill>
      </fill>
    </dxf>
  </rfmt>
  <rcc rId="3897" sId="1" odxf="1" dxf="1">
    <nc r="B109" t="inlineStr">
      <is>
        <t>Gabriela Falero</t>
      </is>
    </nc>
    <odxf>
      <fill>
        <patternFill patternType="none">
          <bgColor indexed="65"/>
        </patternFill>
      </fill>
    </odxf>
    <ndxf>
      <fill>
        <patternFill patternType="solid">
          <bgColor rgb="FF92D050"/>
        </patternFill>
      </fill>
    </ndxf>
  </rcc>
  <rcc rId="3898" sId="1" odxf="1" dxf="1">
    <nc r="C109">
      <v>2030</v>
    </nc>
    <odxf>
      <fill>
        <patternFill patternType="none">
          <bgColor indexed="65"/>
        </patternFill>
      </fill>
    </odxf>
    <ndxf>
      <fill>
        <patternFill patternType="solid">
          <bgColor rgb="FF92D050"/>
        </patternFill>
      </fill>
    </ndxf>
  </rcc>
  <rfmt sheetId="1" sqref="D109" start="0" length="0">
    <dxf>
      <fill>
        <patternFill patternType="solid">
          <bgColor rgb="FF92D050"/>
        </patternFill>
      </fill>
    </dxf>
  </rfmt>
  <rfmt sheetId="1" sqref="E109" start="0" length="0">
    <dxf>
      <fill>
        <patternFill patternType="solid">
          <bgColor rgb="FF92D050"/>
        </patternFill>
      </fill>
    </dxf>
  </rfmt>
  <rfmt sheetId="1" sqref="F109" start="0" length="0">
    <dxf>
      <fill>
        <patternFill patternType="solid">
          <bgColor rgb="FF92D050"/>
        </patternFill>
      </fill>
    </dxf>
  </rfmt>
  <rfmt sheetId="1" sqref="G109" start="0" length="0">
    <dxf>
      <fill>
        <patternFill patternType="solid">
          <bgColor rgb="FF92D050"/>
        </patternFill>
      </fill>
    </dxf>
  </rfmt>
  <rfmt sheetId="1" sqref="H109" start="0" length="0">
    <dxf>
      <fill>
        <patternFill patternType="solid">
          <bgColor rgb="FF92D050"/>
        </patternFill>
      </fill>
    </dxf>
  </rfmt>
  <rfmt sheetId="1" sqref="I109" start="0" length="0">
    <dxf>
      <fill>
        <patternFill patternType="solid">
          <bgColor rgb="FF92D050"/>
        </patternFill>
      </fill>
    </dxf>
  </rfmt>
  <rfmt sheetId="1" sqref="J109" start="0" length="0">
    <dxf>
      <fill>
        <patternFill patternType="solid">
          <bgColor rgb="FF92D050"/>
        </patternFill>
      </fill>
    </dxf>
  </rfmt>
  <rcc rId="3899" sId="1" odxf="1" dxf="1">
    <nc r="K109" t="inlineStr">
      <is>
        <t>Alquiler</t>
      </is>
    </nc>
    <odxf>
      <fill>
        <patternFill patternType="none">
          <bgColor indexed="65"/>
        </patternFill>
      </fill>
    </odxf>
    <ndxf>
      <fill>
        <patternFill patternType="solid">
          <bgColor rgb="FF92D050"/>
        </patternFill>
      </fill>
    </ndxf>
  </rcc>
  <rfmt sheetId="1" sqref="L109" start="0" length="0">
    <dxf>
      <fill>
        <patternFill patternType="solid">
          <bgColor rgb="FF92D050"/>
        </patternFill>
      </fill>
    </dxf>
  </rfmt>
  <rcc rId="3900" sId="1" odxf="1" dxf="1">
    <nc r="M109">
      <f>+N109-H109</f>
    </nc>
    <odxf>
      <fill>
        <patternFill patternType="none">
          <bgColor indexed="65"/>
        </patternFill>
      </fill>
    </odxf>
    <ndxf>
      <fill>
        <patternFill patternType="solid">
          <bgColor rgb="FF92D050"/>
        </patternFill>
      </fill>
    </ndxf>
  </rcc>
  <rfmt sheetId="1" sqref="N109" start="0" length="0">
    <dxf>
      <fill>
        <patternFill patternType="solid">
          <bgColor rgb="FF92D050"/>
        </patternFill>
      </fill>
    </dxf>
  </rfmt>
  <rfmt sheetId="1" sqref="O109" start="0" length="0">
    <dxf>
      <fill>
        <patternFill patternType="solid">
          <bgColor rgb="FF92D050"/>
        </patternFill>
      </fill>
    </dxf>
  </rfmt>
  <rfmt sheetId="1" sqref="P109" start="0" length="0">
    <dxf>
      <fill>
        <patternFill patternType="solid">
          <bgColor rgb="FF92D050"/>
        </patternFill>
      </fill>
    </dxf>
  </rfmt>
  <rcc rId="3901" sId="1" odxf="1" dxf="1">
    <nc r="Q109">
      <f>+P109+O109</f>
    </nc>
    <odxf>
      <fill>
        <patternFill patternType="none">
          <bgColor indexed="65"/>
        </patternFill>
      </fill>
    </odxf>
    <ndxf>
      <fill>
        <patternFill patternType="solid">
          <bgColor rgb="FF92D050"/>
        </patternFill>
      </fill>
    </ndxf>
  </rcc>
  <rcc rId="3902" sId="1" odxf="1" dxf="1">
    <nc r="R109">
      <f>(N109/Q109)</f>
    </nc>
    <odxf>
      <fill>
        <patternFill patternType="none">
          <bgColor indexed="65"/>
        </patternFill>
      </fill>
    </odxf>
    <ndxf>
      <fill>
        <patternFill patternType="solid">
          <bgColor rgb="FF92D050"/>
        </patternFill>
      </fill>
    </ndxf>
  </rcc>
  <rcc rId="3903" sId="1" odxf="1" dxf="1">
    <nc r="S109">
      <f>(('Costo por negocio'!$B$4-DATA!R109)*DATA!O109)+('Costo por negocio'!$C$4-DATA!R109)*DATA!P109</f>
    </nc>
    <odxf>
      <fill>
        <patternFill patternType="none">
          <bgColor indexed="65"/>
        </patternFill>
      </fill>
    </odxf>
    <ndxf>
      <fill>
        <patternFill patternType="solid">
          <bgColor rgb="FF92D050"/>
        </patternFill>
      </fill>
    </ndxf>
  </rcc>
  <rcc rId="3904" sId="1" odxf="1" dxf="1" numFmtId="19">
    <nc r="T109">
      <v>46122</v>
    </nc>
    <odxf>
      <fill>
        <patternFill patternType="none">
          <bgColor indexed="65"/>
        </patternFill>
      </fill>
    </odxf>
    <ndxf>
      <fill>
        <patternFill patternType="solid">
          <bgColor rgb="FF92D050"/>
        </patternFill>
      </fill>
    </ndxf>
  </rcc>
  <rcc rId="3905" sId="1" odxf="1" dxf="1">
    <nc r="U109" t="inlineStr">
      <is>
        <t>SI</t>
      </is>
    </nc>
    <odxf>
      <fill>
        <patternFill patternType="none">
          <bgColor indexed="65"/>
        </patternFill>
      </fill>
    </odxf>
    <ndxf>
      <fill>
        <patternFill patternType="solid">
          <bgColor rgb="FF92D050"/>
        </patternFill>
      </fill>
    </ndxf>
  </rcc>
  <rcc rId="3906" sId="1" odxf="1" dxf="1">
    <nc r="V109" t="inlineStr">
      <is>
        <t>SI</t>
      </is>
    </nc>
    <odxf>
      <fill>
        <patternFill patternType="none">
          <bgColor indexed="65"/>
        </patternFill>
      </fill>
    </odxf>
    <ndxf>
      <fill>
        <patternFill patternType="solid">
          <bgColor rgb="FF92D050"/>
        </patternFill>
      </fill>
    </ndxf>
  </rcc>
  <rcc rId="3907" sId="1" odxf="1" dxf="1">
    <nc r="W109" t="inlineStr">
      <is>
        <t>SI</t>
      </is>
    </nc>
    <odxf>
      <fill>
        <patternFill patternType="none">
          <bgColor indexed="65"/>
        </patternFill>
      </fill>
    </odxf>
    <ndxf>
      <fill>
        <patternFill patternType="solid">
          <bgColor rgb="FF92D050"/>
        </patternFill>
      </fill>
    </ndxf>
  </rcc>
  <rfmt sheetId="1" sqref="X109" start="0" length="0">
    <dxf>
      <fill>
        <patternFill patternType="solid">
          <bgColor rgb="FF92D050"/>
        </patternFill>
      </fill>
    </dxf>
  </rfmt>
  <rfmt sheetId="1" sqref="Y109" start="0" length="0">
    <dxf>
      <fill>
        <patternFill patternType="solid">
          <bgColor rgb="FF92D050"/>
        </patternFill>
      </fill>
    </dxf>
  </rfmt>
  <rfmt sheetId="1" sqref="Z109" start="0" length="0">
    <dxf>
      <fill>
        <patternFill patternType="solid">
          <bgColor rgb="FF92D050"/>
        </patternFill>
      </fill>
    </dxf>
  </rfmt>
  <rfmt sheetId="1" sqref="AA109" start="0" length="0">
    <dxf>
      <fill>
        <patternFill patternType="solid">
          <bgColor rgb="FF92D050"/>
        </patternFill>
      </fill>
    </dxf>
  </rfmt>
  <rfmt sheetId="1" sqref="AB109" start="0" length="0">
    <dxf>
      <fill>
        <patternFill patternType="solid">
          <bgColor rgb="FF92D050"/>
        </patternFill>
      </fill>
    </dxf>
  </rfmt>
  <rfmt sheetId="1" sqref="AC109" start="0" length="0">
    <dxf>
      <fill>
        <patternFill patternType="solid">
          <bgColor rgb="FF92D050"/>
        </patternFill>
      </fill>
    </dxf>
  </rfmt>
  <rfmt sheetId="1" sqref="AD109" start="0" length="0">
    <dxf>
      <fill>
        <patternFill patternType="solid">
          <bgColor rgb="FF92D050"/>
        </patternFill>
      </fill>
    </dxf>
  </rfmt>
  <rfmt sheetId="1" sqref="AE109" start="0" length="0">
    <dxf>
      <fill>
        <patternFill patternType="solid">
          <bgColor rgb="FF92D050"/>
        </patternFill>
      </fill>
    </dxf>
  </rfmt>
  <rfmt sheetId="1" sqref="AF109" start="0" length="0">
    <dxf>
      <fill>
        <patternFill patternType="solid">
          <bgColor rgb="FF92D050"/>
        </patternFill>
      </fill>
    </dxf>
  </rfmt>
  <rfmt sheetId="1" sqref="AG109" start="0" length="0">
    <dxf>
      <fill>
        <patternFill patternType="solid">
          <bgColor rgb="FF92D050"/>
        </patternFill>
      </fill>
    </dxf>
  </rfmt>
  <rcc rId="3908" sId="1" odxf="1" dxf="1">
    <nc r="AH109">
      <f>+AF109-AD109</f>
    </nc>
    <odxf>
      <fill>
        <patternFill patternType="none">
          <bgColor indexed="65"/>
        </patternFill>
      </fill>
    </odxf>
    <ndxf>
      <fill>
        <patternFill patternType="solid">
          <bgColor rgb="FF92D050"/>
        </patternFill>
      </fill>
    </ndxf>
  </rcc>
  <rfmt sheetId="1" sqref="AI109" start="0" length="0">
    <dxf>
      <fill>
        <patternFill patternType="solid">
          <bgColor rgb="FF92D050"/>
        </patternFill>
      </fill>
    </dxf>
  </rfmt>
  <rcc rId="3909" sId="1" odxf="1" dxf="1">
    <nc r="AJ109">
      <f>+AI109*5</f>
    </nc>
    <odxf>
      <fill>
        <patternFill patternType="none">
          <bgColor indexed="65"/>
        </patternFill>
      </fill>
    </odxf>
    <ndxf>
      <fill>
        <patternFill patternType="solid">
          <bgColor rgb="FF92D050"/>
        </patternFill>
      </fill>
    </ndxf>
  </rcc>
  <rcc rId="3910" sId="1" odxf="1" dxf="1">
    <nc r="AK109">
      <f>+Q109-AJ109</f>
    </nc>
    <odxf>
      <fill>
        <patternFill patternType="none">
          <bgColor indexed="65"/>
        </patternFill>
      </fill>
    </odxf>
    <ndxf>
      <fill>
        <patternFill patternType="solid">
          <bgColor rgb="FF92D050"/>
        </patternFill>
      </fill>
    </ndxf>
  </rcc>
  <rcc rId="3911" sId="1">
    <nc r="AM109">
      <f>+AH109/Q109</f>
    </nc>
  </rcc>
  <rcc rId="3912" sId="1">
    <nc r="AN109">
      <f>+Q109/AI109</f>
    </nc>
  </rcc>
  <rcc rId="3913" sId="1">
    <nc r="AQ109">
      <f>+N109/78.54</f>
    </nc>
  </rcc>
  <rcc rId="3914" sId="1">
    <nc r="AR109">
      <f>+AH109/11</f>
    </nc>
  </rcc>
  <rcc rId="3915" sId="1">
    <nc r="AS109">
      <f>+AR109-AQ109</f>
    </nc>
  </rcc>
  <rcc rId="3916" sId="1">
    <nc r="AT109">
      <f>+AH109/AQ109</f>
    </nc>
  </rcc>
  <rcc rId="3917" sId="1">
    <nc r="AU109" t="inlineStr">
      <is>
        <t>Fernando Lopez</t>
      </is>
    </nc>
  </rcc>
  <rcc rId="3918" sId="1">
    <nc r="AV109" t="inlineStr">
      <is>
        <t>Lucia Santamaria</t>
      </is>
    </nc>
  </rcc>
  <rcc rId="3919" sId="1">
    <nc r="AY109">
      <v>1</v>
    </nc>
  </rcc>
  <rcc rId="3920" sId="1">
    <nc r="A109">
      <v>108</v>
    </nc>
  </rcc>
  <rcc rId="3921" sId="1">
    <nc r="D109">
      <v>4</v>
    </nc>
  </rcc>
  <rcc rId="3922" sId="1">
    <nc r="E109" t="inlineStr">
      <is>
        <t>06/04 al 09/04/2026</t>
      </is>
    </nc>
  </rcc>
  <rcc rId="3923" sId="1" numFmtId="19">
    <nc r="F109">
      <v>46118</v>
    </nc>
  </rcc>
  <rcc rId="3924" sId="1" numFmtId="19">
    <nc r="G109">
      <v>46121</v>
    </nc>
  </rcc>
  <rcc rId="3925" sId="1">
    <nc r="J109" t="inlineStr">
      <is>
        <t>Montevideo, Salto</t>
      </is>
    </nc>
  </rcc>
  <rcc rId="3926" sId="1">
    <nc r="I109">
      <v>20</v>
    </nc>
  </rcc>
  <rcc rId="3927" sId="1">
    <nc r="N109">
      <f>3465.2+2134.1+2797+780</f>
    </nc>
  </rcc>
  <rcc rId="3928" sId="1" numFmtId="34">
    <nc r="O109">
      <v>12</v>
    </nc>
  </rcc>
  <rcc rId="3929" sId="1">
    <nc r="P109">
      <f>20+11</f>
    </nc>
  </rcc>
  <rcc rId="3930" sId="1">
    <nc r="Y109" t="inlineStr">
      <is>
        <t>BED 2428</t>
      </is>
    </nc>
  </rcc>
  <rcc rId="3931" sId="1" numFmtId="34">
    <nc r="AD109">
      <v>38134</v>
    </nc>
  </rcc>
  <rcc rId="3932" sId="1" numFmtId="27">
    <nc r="AE109">
      <v>46118.392361111109</v>
    </nc>
  </rcc>
  <rcc rId="3933" sId="1" numFmtId="34">
    <nc r="AF109">
      <v>39613</v>
    </nc>
  </rcc>
  <rcc rId="3934" sId="1" numFmtId="27">
    <nc r="AG109">
      <v>46122.392361111109</v>
    </nc>
  </rcc>
  <rcc rId="3935" sId="1">
    <nc r="AI109">
      <v>4</v>
    </nc>
  </rcc>
  <rcc rId="3936" sId="1">
    <nc r="AW109" t="inlineStr">
      <is>
        <t>Ignacio Ceroni</t>
      </is>
    </nc>
  </rcc>
  <rcv guid="{D015136D-255F-4042-9389-EB535F138010}" action="delete"/>
  <rdn rId="0" localSheetId="1" customView="1" name="Z_D015136D_255F_4042_9389_EB535F138010_.wvu.FilterData" hidden="1" oldHidden="1">
    <formula>DATA!$A$1:$AK$106</formula>
    <oldFormula>DATA!$A$1:$AK$106</oldFormula>
  </rdn>
  <rcv guid="{D015136D-255F-4042-9389-EB535F138010}" action="add"/>
</revisions>
</file>

<file path=xl/revisions/revisionLog2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DATA!$A$1:$AK$109</formula>
    <oldFormula>DATA!$A$1:$AK$106</oldFormula>
  </rdn>
  <rcv guid="{D015136D-255F-4042-9389-EB535F138010}" action="add"/>
</revisions>
</file>

<file path=xl/revisions/revisionLog2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08:AK109">
    <dxf>
      <fill>
        <patternFill>
          <bgColor rgb="FF00B050"/>
        </patternFill>
      </fill>
    </dxf>
  </rfmt>
  <rcc rId="3939" sId="1" odxf="1" dxf="1" numFmtId="19">
    <nc r="Z108">
      <v>46122</v>
    </nc>
    <odxf>
      <numFmt numFmtId="0" formatCode="General"/>
    </odxf>
    <ndxf>
      <numFmt numFmtId="19" formatCode="d/m/yyyy"/>
    </ndxf>
  </rcc>
  <rcc rId="3940" sId="1" odxf="1" dxf="1" numFmtId="19">
    <nc r="Z109">
      <v>46122</v>
    </nc>
    <odxf>
      <numFmt numFmtId="0" formatCode="General"/>
    </odxf>
    <ndxf>
      <numFmt numFmtId="19" formatCode="d/m/yyyy"/>
    </ndxf>
  </rcc>
</revisions>
</file>

<file path=xl/revisions/revisionLog2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DATA!$A$1:$AK$109</formula>
    <oldFormula>DATA!$A$1:$AK$109</oldFormula>
  </rdn>
  <rcv guid="{D015136D-255F-4042-9389-EB535F138010}" action="add"/>
</revisions>
</file>

<file path=xl/revisions/revisionLog2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42" sId="1">
    <oc r="C4">
      <v>3164</v>
    </oc>
    <nc r="C4">
      <v>3154</v>
    </nc>
  </rcc>
  <rcc rId="3943" sId="1">
    <oc r="C29">
      <v>3164</v>
    </oc>
    <nc r="C29">
      <v>3154</v>
    </nc>
  </rcc>
  <rcc rId="3944" sId="1">
    <oc r="C54">
      <v>3164</v>
    </oc>
    <nc r="C54">
      <v>3154</v>
    </nc>
  </rcc>
  <rcc rId="3945" sId="1">
    <oc r="C68">
      <v>3164</v>
    </oc>
    <nc r="C68">
      <v>3154</v>
    </nc>
  </rcc>
  <rcv guid="{D015136D-255F-4042-9389-EB535F138010}" action="delete"/>
  <rdn rId="0" localSheetId="1" customView="1" name="Z_D015136D_255F_4042_9389_EB535F138010_.wvu.FilterData" hidden="1" oldHidden="1">
    <formula>DATA!$A$1:$AK$109</formula>
    <oldFormula>DATA!$A$1:$AK$109</oldFormula>
  </rdn>
  <rcv guid="{D015136D-255F-4042-9389-EB535F138010}" action="add"/>
</revisions>
</file>

<file path=xl/revisions/revisionLog2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B2" start="0" length="0">
    <dxf>
      <font>
        <name val="Calibri"/>
        <scheme val="none"/>
      </font>
      <fill>
        <patternFill patternType="solid">
          <bgColor rgb="FF92D050"/>
        </patternFill>
      </fill>
      <border outline="0">
        <left style="thin">
          <color indexed="64"/>
        </left>
        <right style="thin">
          <color indexed="64"/>
        </right>
        <top style="thin">
          <color indexed="64"/>
        </top>
        <bottom style="thin">
          <color indexed="64"/>
        </bottom>
      </border>
    </dxf>
  </rfmt>
</revisions>
</file>

<file path=xl/revisions/revisionLog2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947" sId="1" ref="C1:C1048576" action="insertCol"/>
  <rcc rId="3948" sId="1">
    <nc r="C2">
      <f>TRIM(B2)</f>
    </nc>
  </rcc>
  <rcc rId="3949" sId="1">
    <nc r="C3">
      <f>TRIM(B3)</f>
    </nc>
  </rcc>
  <rcc rId="3950" sId="1">
    <nc r="C4">
      <f>TRIM(B4)</f>
    </nc>
  </rcc>
  <rcc rId="3951" sId="1">
    <nc r="C5">
      <f>TRIM(B5)</f>
    </nc>
  </rcc>
  <rcc rId="3952" sId="1">
    <nc r="C6">
      <f>TRIM(B6)</f>
    </nc>
  </rcc>
  <rcc rId="3953" sId="1">
    <nc r="C7">
      <f>TRIM(B7)</f>
    </nc>
  </rcc>
  <rcc rId="3954" sId="1">
    <nc r="C8">
      <f>TRIM(B8)</f>
    </nc>
  </rcc>
  <rcc rId="3955" sId="1">
    <nc r="C9">
      <f>TRIM(B9)</f>
    </nc>
  </rcc>
  <rcc rId="3956" sId="1">
    <nc r="C10">
      <f>TRIM(B10)</f>
    </nc>
  </rcc>
  <rcc rId="3957" sId="1">
    <nc r="C11">
      <f>TRIM(B11)</f>
    </nc>
  </rcc>
  <rcc rId="3958" sId="1">
    <nc r="C12">
      <f>TRIM(B12)</f>
    </nc>
  </rcc>
  <rcc rId="3959" sId="1">
    <nc r="C13">
      <f>TRIM(B13)</f>
    </nc>
  </rcc>
  <rcc rId="3960" sId="1">
    <nc r="C14">
      <f>TRIM(B14)</f>
    </nc>
  </rcc>
  <rcc rId="3961" sId="1">
    <nc r="C15">
      <f>TRIM(B15)</f>
    </nc>
  </rcc>
  <rcc rId="3962" sId="1">
    <nc r="C16">
      <f>TRIM(B16)</f>
    </nc>
  </rcc>
  <rcc rId="3963" sId="1">
    <nc r="C17">
      <f>TRIM(B17)</f>
    </nc>
  </rcc>
  <rcc rId="3964" sId="1">
    <nc r="C18">
      <f>TRIM(B18)</f>
    </nc>
  </rcc>
  <rcc rId="3965" sId="1">
    <nc r="C19">
      <f>TRIM(B19)</f>
    </nc>
  </rcc>
  <rcc rId="3966" sId="1">
    <nc r="C20">
      <f>TRIM(B20)</f>
    </nc>
  </rcc>
  <rcc rId="3967" sId="1">
    <nc r="C21">
      <f>TRIM(B21)</f>
    </nc>
  </rcc>
  <rcc rId="3968" sId="1">
    <nc r="C22">
      <f>TRIM(B22)</f>
    </nc>
  </rcc>
  <rcc rId="3969" sId="1">
    <nc r="C23">
      <f>TRIM(B23)</f>
    </nc>
  </rcc>
  <rcc rId="3970" sId="1">
    <nc r="C24">
      <f>TRIM(B24)</f>
    </nc>
  </rcc>
  <rcc rId="3971" sId="1">
    <nc r="C25">
      <f>TRIM(B25)</f>
    </nc>
  </rcc>
  <rcc rId="3972" sId="1">
    <nc r="C26">
      <f>TRIM(B26)</f>
    </nc>
  </rcc>
  <rcc rId="3973" sId="1">
    <nc r="C27">
      <f>TRIM(B27)</f>
    </nc>
  </rcc>
  <rcc rId="3974" sId="1">
    <nc r="C28">
      <f>TRIM(B28)</f>
    </nc>
  </rcc>
  <rcc rId="3975" sId="1">
    <nc r="C29">
      <f>TRIM(B29)</f>
    </nc>
  </rcc>
  <rcc rId="3976" sId="1">
    <nc r="C30">
      <f>TRIM(B30)</f>
    </nc>
  </rcc>
  <rcc rId="3977" sId="1">
    <nc r="C31">
      <f>TRIM(B31)</f>
    </nc>
  </rcc>
  <rcc rId="3978" sId="1">
    <nc r="C32">
      <f>TRIM(B32)</f>
    </nc>
  </rcc>
  <rcc rId="3979" sId="1">
    <nc r="C33">
      <f>TRIM(B33)</f>
    </nc>
  </rcc>
  <rcc rId="3980" sId="1">
    <nc r="C34">
      <f>TRIM(B34)</f>
    </nc>
  </rcc>
  <rcc rId="3981" sId="1">
    <nc r="C35">
      <f>TRIM(B35)</f>
    </nc>
  </rcc>
  <rcc rId="3982" sId="1">
    <nc r="C36">
      <f>TRIM(B36)</f>
    </nc>
  </rcc>
  <rcc rId="3983" sId="1">
    <nc r="C37">
      <f>TRIM(B37)</f>
    </nc>
  </rcc>
  <rcc rId="3984" sId="1">
    <nc r="C38">
      <f>TRIM(B38)</f>
    </nc>
  </rcc>
  <rcc rId="3985" sId="1">
    <nc r="C39">
      <f>TRIM(B39)</f>
    </nc>
  </rcc>
  <rcc rId="3986" sId="1">
    <nc r="C40">
      <f>TRIM(B40)</f>
    </nc>
  </rcc>
  <rcc rId="3987" sId="1">
    <nc r="C41">
      <f>TRIM(B41)</f>
    </nc>
  </rcc>
  <rcc rId="3988" sId="1">
    <nc r="C42">
      <f>TRIM(B42)</f>
    </nc>
  </rcc>
  <rcc rId="3989" sId="1">
    <nc r="C43">
      <f>TRIM(B43)</f>
    </nc>
  </rcc>
  <rcc rId="3990" sId="1">
    <nc r="C44">
      <f>TRIM(B44)</f>
    </nc>
  </rcc>
  <rcc rId="3991" sId="1">
    <nc r="C45">
      <f>TRIM(B45)</f>
    </nc>
  </rcc>
  <rcc rId="3992" sId="1">
    <nc r="C46">
      <f>TRIM(B46)</f>
    </nc>
  </rcc>
  <rcc rId="3993" sId="1">
    <nc r="C47">
      <f>TRIM(B47)</f>
    </nc>
  </rcc>
  <rcc rId="3994" sId="1">
    <nc r="C48">
      <f>TRIM(B48)</f>
    </nc>
  </rcc>
  <rcc rId="3995" sId="1">
    <nc r="C49">
      <f>TRIM(B49)</f>
    </nc>
  </rcc>
  <rcc rId="3996" sId="1">
    <nc r="C50">
      <f>TRIM(B50)</f>
    </nc>
  </rcc>
  <rcc rId="3997" sId="1">
    <nc r="C51">
      <f>TRIM(B51)</f>
    </nc>
  </rcc>
  <rcc rId="3998" sId="1">
    <nc r="C52">
      <f>TRIM(B52)</f>
    </nc>
  </rcc>
  <rcc rId="3999" sId="1">
    <nc r="C53">
      <f>TRIM(B53)</f>
    </nc>
  </rcc>
  <rcc rId="4000" sId="1">
    <nc r="C54">
      <f>TRIM(B54)</f>
    </nc>
  </rcc>
  <rcc rId="4001" sId="1">
    <nc r="C55">
      <f>TRIM(B55)</f>
    </nc>
  </rcc>
  <rcc rId="4002" sId="1">
    <nc r="C56">
      <f>TRIM(B56)</f>
    </nc>
  </rcc>
  <rcc rId="4003" sId="1">
    <nc r="C57">
      <f>TRIM(B57)</f>
    </nc>
  </rcc>
  <rcc rId="4004" sId="1">
    <nc r="C58">
      <f>TRIM(B58)</f>
    </nc>
  </rcc>
  <rcc rId="4005" sId="1">
    <nc r="C59">
      <f>TRIM(B59)</f>
    </nc>
  </rcc>
  <rcc rId="4006" sId="1">
    <nc r="C60">
      <f>TRIM(B60)</f>
    </nc>
  </rcc>
  <rcc rId="4007" sId="1">
    <nc r="C61">
      <f>TRIM(B61)</f>
    </nc>
  </rcc>
  <rcc rId="4008" sId="1">
    <nc r="C62">
      <f>TRIM(B62)</f>
    </nc>
  </rcc>
  <rcc rId="4009" sId="1">
    <nc r="C63">
      <f>TRIM(B63)</f>
    </nc>
  </rcc>
  <rcc rId="4010" sId="1">
    <nc r="C64">
      <f>TRIM(B64)</f>
    </nc>
  </rcc>
  <rcc rId="4011" sId="1">
    <nc r="C65">
      <f>TRIM(B65)</f>
    </nc>
  </rcc>
  <rcc rId="4012" sId="1">
    <nc r="C66">
      <f>TRIM(B66)</f>
    </nc>
  </rcc>
  <rcc rId="4013" sId="1">
    <nc r="C67">
      <f>TRIM(B67)</f>
    </nc>
  </rcc>
  <rcc rId="4014" sId="1">
    <nc r="C68">
      <f>TRIM(B68)</f>
    </nc>
  </rcc>
  <rcc rId="4015" sId="1">
    <nc r="C69">
      <f>TRIM(B69)</f>
    </nc>
  </rcc>
  <rcc rId="4016" sId="1">
    <nc r="C70">
      <f>TRIM(B70)</f>
    </nc>
  </rcc>
  <rcc rId="4017" sId="1">
    <nc r="C71">
      <f>TRIM(B71)</f>
    </nc>
  </rcc>
  <rcc rId="4018" sId="1">
    <nc r="C72">
      <f>TRIM(B72)</f>
    </nc>
  </rcc>
  <rcc rId="4019" sId="1">
    <nc r="C73">
      <f>TRIM(B73)</f>
    </nc>
  </rcc>
  <rcc rId="4020" sId="1">
    <nc r="C74">
      <f>TRIM(B74)</f>
    </nc>
  </rcc>
  <rcc rId="4021" sId="1">
    <nc r="C75">
      <f>TRIM(B75)</f>
    </nc>
  </rcc>
  <rcc rId="4022" sId="1">
    <nc r="C76">
      <f>TRIM(B76)</f>
    </nc>
  </rcc>
  <rcc rId="4023" sId="1">
    <nc r="C77">
      <f>TRIM(B77)</f>
    </nc>
  </rcc>
  <rcc rId="4024" sId="1">
    <nc r="C78">
      <f>TRIM(B78)</f>
    </nc>
  </rcc>
  <rcc rId="4025" sId="1">
    <nc r="C79">
      <f>TRIM(B79)</f>
    </nc>
  </rcc>
  <rcc rId="4026" sId="1">
    <nc r="C80">
      <f>TRIM(B80)</f>
    </nc>
  </rcc>
  <rcc rId="4027" sId="1">
    <nc r="C81">
      <f>TRIM(B81)</f>
    </nc>
  </rcc>
  <rcc rId="4028" sId="1">
    <nc r="C82">
      <f>TRIM(B82)</f>
    </nc>
  </rcc>
  <rcc rId="4029" sId="1">
    <nc r="C83">
      <f>TRIM(B83)</f>
    </nc>
  </rcc>
  <rcc rId="4030" sId="1">
    <nc r="C84">
      <f>TRIM(B84)</f>
    </nc>
  </rcc>
  <rcc rId="4031" sId="1">
    <nc r="C85">
      <f>TRIM(B85)</f>
    </nc>
  </rcc>
  <rcc rId="4032" sId="1">
    <nc r="C86">
      <f>TRIM(B86)</f>
    </nc>
  </rcc>
  <rcc rId="4033" sId="1">
    <nc r="C87">
      <f>TRIM(B87)</f>
    </nc>
  </rcc>
  <rcc rId="4034" sId="1">
    <nc r="C88">
      <f>TRIM(B88)</f>
    </nc>
  </rcc>
  <rcc rId="4035" sId="1">
    <nc r="C89">
      <f>TRIM(B89)</f>
    </nc>
  </rcc>
  <rcc rId="4036" sId="1">
    <nc r="C90">
      <f>TRIM(B90)</f>
    </nc>
  </rcc>
  <rcc rId="4037" sId="1">
    <nc r="C91">
      <f>TRIM(B91)</f>
    </nc>
  </rcc>
  <rcc rId="4038" sId="1">
    <nc r="C92">
      <f>TRIM(B92)</f>
    </nc>
  </rcc>
  <rcc rId="4039" sId="1">
    <nc r="C93">
      <f>TRIM(B93)</f>
    </nc>
  </rcc>
  <rcc rId="4040" sId="1">
    <nc r="C94">
      <f>TRIM(B94)</f>
    </nc>
  </rcc>
  <rcc rId="4041" sId="1">
    <nc r="C95">
      <f>TRIM(B95)</f>
    </nc>
  </rcc>
  <rcc rId="4042" sId="1">
    <nc r="C96">
      <f>TRIM(B96)</f>
    </nc>
  </rcc>
  <rcc rId="4043" sId="1">
    <nc r="C97">
      <f>TRIM(B97)</f>
    </nc>
  </rcc>
  <rcc rId="4044" sId="1">
    <nc r="C98">
      <f>TRIM(B98)</f>
    </nc>
  </rcc>
  <rcc rId="4045" sId="1">
    <nc r="C99">
      <f>TRIM(B99)</f>
    </nc>
  </rcc>
  <rcc rId="4046" sId="1">
    <nc r="C100">
      <f>TRIM(B100)</f>
    </nc>
  </rcc>
  <rcc rId="4047" sId="1">
    <nc r="C101">
      <f>TRIM(B101)</f>
    </nc>
  </rcc>
  <rcc rId="4048" sId="1">
    <nc r="C102">
      <f>TRIM(B102)</f>
    </nc>
  </rcc>
  <rcc rId="4049" sId="1">
    <nc r="C103">
      <f>TRIM(B103)</f>
    </nc>
  </rcc>
  <rcc rId="4050" sId="1">
    <nc r="C104">
      <f>TRIM(B104)</f>
    </nc>
  </rcc>
  <rcc rId="4051" sId="1">
    <nc r="C105">
      <f>TRIM(B105)</f>
    </nc>
  </rcc>
  <rcc rId="4052" sId="1">
    <nc r="C106">
      <f>TRIM(B106)</f>
    </nc>
  </rcc>
  <rcc rId="4053" sId="1">
    <nc r="C107">
      <f>TRIM(B107)</f>
    </nc>
  </rcc>
  <rcc rId="4054" sId="1">
    <nc r="C108">
      <f>TRIM(B108)</f>
    </nc>
  </rcc>
  <rcc rId="4055" sId="1">
    <nc r="C109">
      <f>TRIM(B109)</f>
    </nc>
  </rcc>
  <rrc rId="4056" sId="1" ref="C1:C1048576" action="deleteCol">
    <rfmt sheetId="1" xfDxf="1" sqref="C1:C1048576" start="0" length="0"/>
    <rfmt sheetId="1" sqref="C1" start="0" length="0">
      <dxf>
        <font>
          <b/>
          <sz val="11"/>
          <color theme="1"/>
          <name val="Aptos Narrow"/>
          <scheme val="minor"/>
        </font>
        <fill>
          <patternFill patternType="solid">
            <bgColor theme="3" tint="0.89999084444715716"/>
          </patternFill>
        </fill>
        <alignment horizontal="center" vertical="center" wrapText="1" readingOrder="0"/>
        <border outline="0">
          <left style="thin">
            <color indexed="64"/>
          </left>
          <right style="thin">
            <color indexed="64"/>
          </right>
          <top style="thin">
            <color indexed="64"/>
          </top>
          <bottom style="thin">
            <color indexed="64"/>
          </bottom>
        </border>
      </dxf>
    </rfmt>
    <rcc rId="0" sId="1" dxf="1">
      <nc r="C2">
        <f>TRIM(B2)</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3">
        <f>TRIM(B3)</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4">
        <f>TRIM(B4)</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5">
        <f>TRIM(B5)</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6">
        <f>TRIM(B6)</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7">
        <f>TRIM(B7)</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8">
        <f>TRIM(B8)</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9">
        <f>TRIM(B9)</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10">
        <f>TRIM(B10)</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11">
        <f>TRIM(B11)</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12">
        <f>TRIM(B12)</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13">
        <f>TRIM(B13)</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14">
        <f>TRIM(B14)</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15">
        <f>TRIM(B15)</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16">
        <f>TRIM(B16)</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17">
        <f>TRIM(B17)</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18">
        <f>TRIM(B18)</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19">
        <f>TRIM(B19)</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20">
        <f>TRIM(B20)</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21">
        <f>TRIM(B21)</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22">
        <f>TRIM(B22)</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23">
        <f>TRIM(B23)</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24">
        <f>TRIM(B24)</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25">
        <f>TRIM(B25)</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26">
        <f>TRIM(B26)</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27">
        <f>TRIM(B27)</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28">
        <f>TRIM(B28)</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29">
        <f>TRIM(B29)</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30">
        <f>TRIM(B30)</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31">
        <f>TRIM(B31)</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32">
        <f>TRIM(B32)</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33">
        <f>TRIM(B33)</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34">
        <f>TRIM(B34)</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35">
        <f>TRIM(B35)</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36">
        <f>TRIM(B36)</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37">
        <f>TRIM(B37)</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38">
        <f>TRIM(B38)</f>
      </nc>
      <ndxf>
        <font>
          <sz val="11"/>
          <color auto="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39">
        <f>TRIM(B39)</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40">
        <f>TRIM(B40)</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41">
        <f>TRIM(B41)</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42">
        <f>TRIM(B42)</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43">
        <f>TRIM(B43)</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44">
        <f>TRIM(B44)</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45">
        <f>TRIM(B45)</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46">
        <f>TRIM(B46)</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47">
        <f>TRIM(B47)</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48">
        <f>TRIM(B48)</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49">
        <f>TRIM(B49)</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50">
        <f>TRIM(B50)</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51">
        <f>TRIM(B51)</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52">
        <f>TRIM(B52)</f>
      </nc>
      <ndxf>
        <font>
          <sz val="11"/>
          <color theme="1"/>
          <name val="Calibri"/>
          <scheme val="none"/>
        </font>
        <fill>
          <patternFill patternType="solid">
            <bgColor rgb="FFFF0000"/>
          </patternFill>
        </fill>
        <border outline="0">
          <left style="thin">
            <color indexed="64"/>
          </left>
          <right style="thin">
            <color indexed="64"/>
          </right>
          <top style="thin">
            <color indexed="64"/>
          </top>
          <bottom style="thin">
            <color indexed="64"/>
          </bottom>
        </border>
      </ndxf>
    </rcc>
    <rcc rId="0" sId="1" dxf="1">
      <nc r="C53">
        <f>TRIM(B53)</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54">
        <f>TRIM(B54)</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55">
        <f>TRIM(B55)</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56">
        <f>TRIM(B56)</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57">
        <f>TRIM(B57)</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58">
        <f>TRIM(B58)</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59">
        <f>TRIM(B59)</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60">
        <f>TRIM(B60)</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61">
        <f>TRIM(B61)</f>
      </nc>
      <ndxf>
        <font>
          <sz val="11"/>
          <color theme="1"/>
          <name val="Calibri"/>
          <scheme val="none"/>
        </font>
        <fill>
          <patternFill patternType="solid">
            <bgColor rgb="FF92D050"/>
          </patternFill>
        </fill>
        <border outline="0">
          <left style="thin">
            <color indexed="64"/>
          </left>
          <right style="thin">
            <color indexed="64"/>
          </right>
          <top style="thin">
            <color indexed="64"/>
          </top>
          <bottom style="thin">
            <color indexed="64"/>
          </bottom>
        </border>
      </ndxf>
    </rcc>
    <rcc rId="0" sId="1" dxf="1">
      <nc r="C62">
        <f>TRIM(B62)</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63">
        <f>TRIM(B63)</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64">
        <f>TRIM(B64)</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65">
        <f>TRIM(B65)</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66">
        <f>TRIM(B66)</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67">
        <f>TRIM(B67)</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68">
        <f>TRIM(B68)</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69">
        <f>TRIM(B69)</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70">
        <f>TRIM(B70)</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71">
        <f>TRIM(B71)</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72">
        <f>TRIM(B72)</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73">
        <f>TRIM(B73)</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74">
        <f>TRIM(B74)</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75">
        <f>TRIM(B75)</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76">
        <f>TRIM(B76)</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77">
        <f>TRIM(B77)</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78">
        <f>TRIM(B78)</f>
      </nc>
      <ndxf>
        <font>
          <sz val="11"/>
          <color theme="1"/>
          <name val="Calibri"/>
          <scheme val="none"/>
        </font>
        <fill>
          <patternFill patternType="solid">
            <bgColor rgb="FFFF0000"/>
          </patternFill>
        </fill>
        <border outline="0">
          <left style="thin">
            <color indexed="64"/>
          </left>
          <right style="thin">
            <color indexed="64"/>
          </right>
          <top style="thin">
            <color indexed="64"/>
          </top>
          <bottom style="thin">
            <color indexed="64"/>
          </bottom>
        </border>
      </ndxf>
    </rcc>
    <rcc rId="0" sId="1" dxf="1">
      <nc r="C79">
        <f>TRIM(B79)</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80">
        <f>TRIM(B80)</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81">
        <f>TRIM(B81)</f>
      </nc>
      <ndxf>
        <font>
          <sz val="11"/>
          <color theme="1"/>
          <name val="Calibri"/>
          <scheme val="none"/>
        </font>
        <fill>
          <patternFill patternType="solid">
            <bgColor rgb="FFFF0000"/>
          </patternFill>
        </fill>
        <border outline="0">
          <left style="thin">
            <color indexed="64"/>
          </left>
          <right style="thin">
            <color indexed="64"/>
          </right>
          <top style="thin">
            <color indexed="64"/>
          </top>
          <bottom style="thin">
            <color indexed="64"/>
          </bottom>
        </border>
      </ndxf>
    </rcc>
    <rcc rId="0" sId="1" dxf="1">
      <nc r="C82">
        <f>TRIM(B82)</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83">
        <f>TRIM(B83)</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84">
        <f>TRIM(B84)</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85">
        <f>TRIM(B85)</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86">
        <f>TRIM(B86)</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87">
        <f>TRIM(B87)</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88">
        <f>TRIM(B88)</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89">
        <f>TRIM(B89)</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90">
        <f>TRIM(B90)</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91">
        <f>TRIM(B91)</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92">
        <f>TRIM(B92)</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93">
        <f>TRIM(B93)</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94">
        <f>TRIM(B94)</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95">
        <f>TRIM(B95)</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96">
        <f>TRIM(B96)</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97">
        <f>TRIM(B97)</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98">
        <f>TRIM(B98)</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99">
        <f>TRIM(B99)</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100">
        <f>TRIM(B100)</f>
      </nc>
      <ndxf>
        <font>
          <sz val="11"/>
          <color theme="1"/>
          <name val="Calibri"/>
          <scheme val="none"/>
        </font>
        <border outline="0">
          <left style="thin">
            <color indexed="64"/>
          </left>
          <right style="thin">
            <color indexed="64"/>
          </right>
          <top style="thin">
            <color indexed="64"/>
          </top>
          <bottom style="thin">
            <color indexed="64"/>
          </bottom>
        </border>
      </ndxf>
    </rcc>
    <rcc rId="0" sId="1" dxf="1">
      <nc r="C101">
        <f>TRIM(B101)</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102">
        <f>TRIM(B102)</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103">
        <f>TRIM(B103)</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104">
        <f>TRIM(B104)</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105">
        <f>TRIM(B105)</f>
      </nc>
      <ndxf>
        <font>
          <sz val="11"/>
          <color theme="1"/>
          <name val="Calibri"/>
          <scheme val="none"/>
        </font>
        <border outline="0">
          <left style="thin">
            <color indexed="64"/>
          </left>
          <right style="thin">
            <color indexed="64"/>
          </right>
          <top style="thin">
            <color indexed="64"/>
          </top>
          <bottom style="thin">
            <color indexed="64"/>
          </bottom>
        </border>
      </ndxf>
    </rcc>
    <rcc rId="0" sId="1" dxf="1">
      <nc r="C106">
        <f>TRIM(B106)</f>
      </nc>
      <ndxf>
        <font>
          <sz val="11"/>
          <color theme="1"/>
          <name val="Calibri"/>
          <scheme val="none"/>
        </font>
        <border outline="0">
          <left style="thin">
            <color indexed="64"/>
          </left>
          <right style="thin">
            <color indexed="64"/>
          </right>
          <top style="thin">
            <color indexed="64"/>
          </top>
          <bottom style="thin">
            <color indexed="64"/>
          </bottom>
        </border>
      </ndxf>
    </rcc>
    <rcc rId="0" sId="1" dxf="1">
      <nc r="C107">
        <f>TRIM(B107)</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108">
        <f>TRIM(B108)</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cc rId="0" sId="1" dxf="1">
      <nc r="C109">
        <f>TRIM(B109)</f>
      </nc>
      <ndxf>
        <font>
          <sz val="11"/>
          <color theme="1"/>
          <name val="Calibri"/>
          <scheme val="none"/>
        </font>
        <fill>
          <patternFill patternType="solid">
            <bgColor rgb="FF00B050"/>
          </patternFill>
        </fill>
        <border outline="0">
          <left style="thin">
            <color indexed="64"/>
          </left>
          <right style="thin">
            <color indexed="64"/>
          </right>
          <top style="thin">
            <color indexed="64"/>
          </top>
          <bottom style="thin">
            <color indexed="64"/>
          </bottom>
        </border>
      </ndxf>
    </rcc>
    <rfmt sheetId="1" sqref="C1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1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2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3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4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7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8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59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0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1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2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3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4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5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69"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0"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1"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2"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3"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4"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5"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6"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7"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8" start="0" length="0">
      <dxf>
        <font>
          <sz val="11"/>
          <color theme="1"/>
          <name val="Calibri"/>
          <scheme val="none"/>
        </font>
        <border outline="0">
          <left style="thin">
            <color indexed="64"/>
          </left>
          <right style="thin">
            <color indexed="64"/>
          </right>
          <top style="thin">
            <color indexed="64"/>
          </top>
          <bottom style="thin">
            <color indexed="64"/>
          </bottom>
        </border>
      </dxf>
    </rfmt>
    <rfmt sheetId="1" sqref="C679" start="0" length="0">
      <dxf>
        <font>
          <sz val="11"/>
          <color theme="1"/>
          <name val="Calibri"/>
          <scheme val="none"/>
        </font>
        <border outline="0">
          <left style="thin">
            <color indexed="64"/>
          </left>
          <right style="thin">
            <color indexed="64"/>
          </right>
          <top style="thin">
            <color indexed="64"/>
          </top>
          <bottom style="thin">
            <color indexed="64"/>
          </bottom>
        </border>
      </dxf>
    </rfmt>
  </rrc>
  <rcv guid="{D015136D-255F-4042-9389-EB535F138010}" action="delete"/>
  <rdn rId="0" localSheetId="1" customView="1" name="Z_D015136D_255F_4042_9389_EB535F138010_.wvu.FilterData" hidden="1" oldHidden="1">
    <formula>DATA!$A$1:$AK$109</formula>
    <oldFormula>DATA!$A$1:$AK$109</oldFormula>
  </rdn>
  <rcv guid="{D015136D-255F-4042-9389-EB535F138010}" action="add"/>
</revisions>
</file>

<file path=xl/revisions/revisionLog2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58" sId="1">
    <nc r="M100">
      <f>+N100-H100</f>
    </nc>
  </rcc>
  <rcc rId="4059" sId="1" numFmtId="34">
    <nc r="N100">
      <v>4174.8</v>
    </nc>
  </rcc>
  <rcc rId="4060" sId="1">
    <nc r="AQ100">
      <f>+N100/78.54</f>
    </nc>
  </rcc>
  <rcc rId="4061" sId="1" numFmtId="34">
    <nc r="O100">
      <v>10</v>
    </nc>
  </rcc>
  <rcc rId="4062" sId="1">
    <nc r="Q100">
      <f>+P100+O100</f>
    </nc>
  </rcc>
  <rcc rId="4063" sId="1">
    <nc r="R100">
      <f>(N100/Q100)</f>
    </nc>
  </rcc>
  <rcc rId="4064" sId="1">
    <nc r="S100">
      <f>(('Costo por negocio'!$B$4-DATA!R100)*DATA!O100)+('Costo por negocio'!$C$4-DATA!R100)*DATA!P100</f>
    </nc>
  </rcc>
  <rcc rId="4065" sId="1">
    <nc r="U100" t="inlineStr">
      <is>
        <t>SI</t>
      </is>
    </nc>
  </rcc>
  <rcc rId="4066" sId="1">
    <nc r="V100" t="inlineStr">
      <is>
        <t>SI</t>
      </is>
    </nc>
  </rcc>
  <rcc rId="4067" sId="1">
    <nc r="W100" t="inlineStr">
      <is>
        <t>SI</t>
      </is>
    </nc>
  </rcc>
  <rcc rId="4068" sId="1" numFmtId="19">
    <nc r="T100">
      <v>46126</v>
    </nc>
  </rcc>
</revisions>
</file>

<file path=xl/revisions/revisionLog2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69" sId="1">
    <nc r="Y100" t="inlineStr">
      <is>
        <t>BED 8126</t>
      </is>
    </nc>
  </rcc>
  <rcc rId="4070" sId="1" numFmtId="34">
    <nc r="AD100">
      <v>124847</v>
    </nc>
  </rcc>
  <rcc rId="4071" sId="1" numFmtId="27">
    <nc r="AE100">
      <v>46118.708333333336</v>
    </nc>
  </rcc>
  <rcc rId="4072" sId="1">
    <nc r="AH100">
      <f>+AF100-AD100</f>
    </nc>
  </rcc>
  <rcc rId="4073" sId="1">
    <nc r="AI100">
      <v>3</v>
    </nc>
  </rcc>
  <rcc rId="4074" sId="1">
    <nc r="AJ100">
      <f>+AI100*5</f>
    </nc>
  </rcc>
  <rcc rId="4075" sId="1">
    <nc r="AK100">
      <f>+Q100-AJ100</f>
    </nc>
  </rcc>
  <rcc rId="4076" sId="1">
    <nc r="AM100">
      <f>+AH100/Q100</f>
    </nc>
  </rcc>
  <rcc rId="4077" sId="1">
    <nc r="AN100">
      <f>+Q100/AI100</f>
    </nc>
  </rcc>
  <rcc rId="4078" sId="1">
    <oc r="AQ100">
      <f>+N100/78.54</f>
    </oc>
    <nc r="AQ100">
      <f>+N100/78.54</f>
    </nc>
  </rcc>
  <rcc rId="4079" sId="1">
    <nc r="AR100">
      <f>+AH100/11</f>
    </nc>
  </rcc>
  <rcc rId="4080" sId="1">
    <nc r="AS100">
      <f>+AR100-AQ100</f>
    </nc>
  </rcc>
  <rcc rId="4081" sId="1">
    <nc r="AT100">
      <f>+AH100/AQ100</f>
    </nc>
  </rcc>
  <rcc rId="4082" sId="1" numFmtId="34">
    <nc r="AF100">
      <v>125677</v>
    </nc>
  </rcc>
  <rcc rId="4083" sId="1" numFmtId="27">
    <nc r="AG100">
      <v>46122.395833333336</v>
    </nc>
  </rcc>
  <rfmt sheetId="1" sqref="A100:AK100">
    <dxf>
      <fill>
        <patternFill patternType="solid">
          <bgColor rgb="FF92D050"/>
        </patternFill>
      </fill>
    </dxf>
  </rfmt>
  <rcv guid="{D015136D-255F-4042-9389-EB535F138010}" action="delete"/>
  <rdn rId="0" localSheetId="1" customView="1" name="Z_D015136D_255F_4042_9389_EB535F138010_.wvu.FilterData" hidden="1" oldHidden="1">
    <formula>DATA!$A$1:$AK$109</formula>
    <oldFormula>DATA!$A$1:$AK$109</oldFormula>
  </rdn>
  <rcv guid="{D015136D-255F-4042-9389-EB535F138010}" action="add"/>
</revisions>
</file>

<file path=xl/revisions/revisionLog2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00:AK100">
    <dxf>
      <fill>
        <patternFill>
          <bgColor rgb="FF00B050"/>
        </patternFill>
      </fill>
    </dxf>
  </rfmt>
  <rcc rId="4085" sId="1" odxf="1" dxf="1" numFmtId="19">
    <nc r="Z100">
      <v>46126</v>
    </nc>
    <odxf>
      <numFmt numFmtId="0" formatCode="General"/>
    </odxf>
    <ndxf>
      <numFmt numFmtId="19" formatCode="d/m/yyyy"/>
    </ndxf>
  </rcc>
  <rcc rId="4086" sId="1">
    <oc r="AQ100">
      <f>+N100/78.54</f>
    </oc>
    <nc r="AQ100">
      <f>+N100/82.27</f>
    </nc>
  </rcc>
  <rcc rId="4087" sId="1">
    <oc r="AQ99">
      <f>+N99/78.54</f>
    </oc>
    <nc r="AQ99">
      <f>+N99/82.27</f>
    </nc>
  </rcc>
  <rcc rId="4088" sId="1">
    <oc r="AQ96">
      <f>+N96/78.54</f>
    </oc>
    <nc r="AQ96">
      <f>+N96/82.27</f>
    </nc>
  </rcc>
  <rcc rId="4089" sId="1">
    <oc r="AQ97">
      <f>+N97/78.54</f>
    </oc>
    <nc r="AQ97">
      <f>+N97/82.27</f>
    </nc>
  </rcc>
  <rcc rId="4090" sId="1">
    <oc r="AQ98">
      <f>+N98/78.54</f>
    </oc>
    <nc r="AQ98">
      <f>+N98/82.27</f>
    </nc>
  </rcc>
  <rcv guid="{D41D3FB0-5142-496B-B92F-3F303994F17B}" action="delete"/>
  <rdn rId="0" localSheetId="1" customView="1" name="Z_D41D3FB0_5142_496B_B92F_3F303994F17B_.wvu.FilterData" hidden="1" oldHidden="1">
    <formula>DATA!$A$1:$AK$109</formula>
    <oldFormula>DATA!$A$1:$AK$92</oldFormula>
  </rdn>
  <rcv guid="{D41D3FB0-5142-496B-B92F-3F303994F17B}" action="add"/>
</revisions>
</file>

<file path=xl/revisions/revisionLog2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92" sId="1">
    <nc r="B110" t="inlineStr">
      <is>
        <t>Fernando López</t>
      </is>
    </nc>
  </rcc>
  <rcc rId="4093" sId="1">
    <nc r="C110">
      <v>3117</v>
    </nc>
  </rcc>
  <rcc rId="4094" sId="1">
    <nc r="J110" t="inlineStr">
      <is>
        <t>Montevideo</t>
      </is>
    </nc>
  </rcc>
  <rfmt sheetId="1" sqref="A110">
    <dxf>
      <fill>
        <patternFill patternType="solid">
          <bgColor rgb="FFFFFF00"/>
        </patternFill>
      </fill>
    </dxf>
  </rfmt>
  <rcc rId="4095" sId="1">
    <nc r="D110">
      <v>3</v>
    </nc>
  </rcc>
  <rcc rId="4096" sId="1">
    <nc r="E110" t="inlineStr">
      <is>
        <t>21/04 al 23/04/2026</t>
      </is>
    </nc>
  </rcc>
  <rcc rId="4097" sId="1" numFmtId="19">
    <nc r="F110">
      <v>46133</v>
    </nc>
  </rcc>
  <rcc rId="4098" sId="1" numFmtId="19">
    <nc r="G110">
      <v>46135</v>
    </nc>
  </rcc>
  <rcc rId="4099" sId="1" numFmtId="34">
    <nc r="H110">
      <v>6000</v>
    </nc>
  </rcc>
  <rcc rId="4100" sId="1">
    <nc r="I110">
      <v>15</v>
    </nc>
  </rcc>
  <rcc rId="4101" sId="1">
    <nc r="K110" t="inlineStr">
      <is>
        <t>Alquiler</t>
      </is>
    </nc>
  </rcc>
  <rcv guid="{D015136D-255F-4042-9389-EB535F138010}" action="delete"/>
  <rdn rId="0" localSheetId="1" customView="1" name="Z_D015136D_255F_4042_9389_EB535F138010_.wvu.FilterData" hidden="1" oldHidden="1">
    <formula>DATA!$A$1:$AK$110</formula>
    <oldFormula>DATA!$A$1:$AK$109</oldFormula>
  </rdn>
  <rcv guid="{D015136D-255F-4042-9389-EB535F138010}" action="add"/>
</revisions>
</file>

<file path=xl/revisions/revisionLog2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11" start="0" length="0">
    <dxf>
      <fill>
        <patternFill patternType="solid">
          <bgColor rgb="FFFFFF00"/>
        </patternFill>
      </fill>
    </dxf>
  </rfmt>
  <rcc rId="4103" sId="1">
    <nc r="B111" t="inlineStr">
      <is>
        <t>Claudia Parrilla</t>
      </is>
    </nc>
  </rcc>
  <rcc rId="4104" sId="1">
    <nc r="C111">
      <v>2005</v>
    </nc>
  </rcc>
  <rcc rId="4105" sId="1">
    <nc r="I111">
      <v>15</v>
    </nc>
  </rcc>
  <rcc rId="4106" sId="1">
    <nc r="K111" t="inlineStr">
      <is>
        <t>Alquiler</t>
      </is>
    </nc>
  </rcc>
  <rcc rId="4107" sId="1">
    <nc r="D111">
      <v>3</v>
    </nc>
  </rcc>
  <rcc rId="4108" sId="1">
    <nc r="E111" t="inlineStr">
      <is>
        <t>21/04 al 23/04/2026</t>
      </is>
    </nc>
  </rcc>
  <rcc rId="4109" sId="1" numFmtId="19">
    <nc r="F111">
      <v>46133</v>
    </nc>
  </rcc>
  <rcc rId="4110" sId="1" numFmtId="19">
    <nc r="G111">
      <v>46135</v>
    </nc>
  </rcc>
  <rcc rId="4111" sId="1">
    <nc r="H111">
      <f>20*278</f>
    </nc>
  </rcc>
  <rcc rId="4112" sId="1">
    <nc r="J111" t="inlineStr">
      <is>
        <t>Montevideo, Canelones</t>
      </is>
    </nc>
  </rcc>
  <rfmt sheetId="1" sqref="A112" start="0" length="0">
    <dxf>
      <fill>
        <patternFill patternType="solid">
          <bgColor rgb="FFFFFF00"/>
        </patternFill>
      </fill>
    </dxf>
  </rfmt>
  <rcc rId="4113" sId="1">
    <nc r="B112" t="inlineStr">
      <is>
        <t>Ricardo Cardona</t>
      </is>
    </nc>
  </rcc>
  <rcc rId="4114" sId="1">
    <nc r="C112">
      <v>1512</v>
    </nc>
  </rcc>
  <rcc rId="4115" sId="1" numFmtId="34">
    <nc r="H112">
      <v>6500</v>
    </nc>
  </rcc>
  <rcc rId="4116" sId="1">
    <nc r="I112">
      <v>15</v>
    </nc>
  </rcc>
  <rcc rId="4117" sId="1">
    <nc r="K112" t="inlineStr">
      <is>
        <t>Alquiler</t>
      </is>
    </nc>
  </rcc>
  <rcc rId="4118" sId="1">
    <nc r="D112">
      <v>3</v>
    </nc>
  </rcc>
  <rcc rId="4119" sId="1">
    <nc r="E112" t="inlineStr">
      <is>
        <t>21/04 al 23/04/2026</t>
      </is>
    </nc>
  </rcc>
  <rcc rId="4120" sId="1" numFmtId="19">
    <nc r="F112">
      <v>46133</v>
    </nc>
  </rcc>
  <rcc rId="4121" sId="1" numFmtId="19">
    <nc r="G112">
      <v>46135</v>
    </nc>
  </rcc>
  <rcc rId="4122" sId="1">
    <nc r="J112" t="inlineStr">
      <is>
        <t>Montevideo, Paysandú</t>
      </is>
    </nc>
  </rcc>
  <rcv guid="{D015136D-255F-4042-9389-EB535F138010}" action="delete"/>
  <rdn rId="0" localSheetId="1" customView="1" name="Z_D015136D_255F_4042_9389_EB535F138010_.wvu.FilterData" hidden="1" oldHidden="1">
    <formula>DATA!$A$1:$AK$110</formula>
    <oldFormula>DATA!$A$1:$AK$110</oldFormula>
  </rdn>
  <rcv guid="{D015136D-255F-4042-9389-EB535F138010}" action="add"/>
</revisions>
</file>

<file path=xl/revisions/revisionLog2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13" start="0" length="0">
    <dxf>
      <fill>
        <patternFill patternType="solid">
          <bgColor rgb="FFFFFF00"/>
        </patternFill>
      </fill>
    </dxf>
  </rfmt>
  <rcc rId="4124" sId="1">
    <nc r="B113" t="inlineStr">
      <is>
        <t>Ignacio Ceroni</t>
      </is>
    </nc>
  </rcc>
  <rcc rId="4125" sId="1">
    <nc r="C113">
      <v>3007</v>
    </nc>
  </rcc>
  <rcc rId="4126" sId="1">
    <nc r="D113">
      <v>4</v>
    </nc>
  </rcc>
  <rcc rId="4127" sId="1" numFmtId="19">
    <nc r="F113">
      <v>46125</v>
    </nc>
  </rcc>
  <rcc rId="4128" sId="1" numFmtId="19">
    <nc r="G113">
      <v>46128</v>
    </nc>
  </rcc>
  <rcc rId="4129" sId="1">
    <nc r="I113">
      <v>20</v>
    </nc>
  </rcc>
  <rcc rId="4130" sId="1">
    <nc r="K113" t="inlineStr">
      <is>
        <t>Alquiler</t>
      </is>
    </nc>
  </rcc>
  <rcc rId="4131" sId="1">
    <nc r="E113" t="inlineStr">
      <is>
        <t>21/04 al 23/04/2026</t>
      </is>
    </nc>
  </rcc>
  <rcc rId="4132" sId="1" numFmtId="34">
    <nc r="H113">
      <v>4500</v>
    </nc>
  </rcc>
  <rcc rId="4133" sId="1">
    <nc r="J113" t="inlineStr">
      <is>
        <t>Montevideo, Colonia</t>
      </is>
    </nc>
  </rcc>
  <rcv guid="{D015136D-255F-4042-9389-EB535F138010}" action="delete"/>
  <rdn rId="0" localSheetId="1" customView="1" name="Z_D015136D_255F_4042_9389_EB535F138010_.wvu.FilterData" hidden="1" oldHidden="1">
    <formula>DATA!$A$1:$AK$110</formula>
    <oldFormula>DATA!$A$1:$AK$110</oldFormula>
  </rdn>
  <rcv guid="{D015136D-255F-4042-9389-EB535F138010}" action="add"/>
</revisions>
</file>

<file path=xl/revisions/revisionLog2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14" start="0" length="0">
    <dxf>
      <fill>
        <patternFill patternType="solid">
          <bgColor rgb="FFFFFF00"/>
        </patternFill>
      </fill>
    </dxf>
  </rfmt>
  <rcc rId="4135" sId="1">
    <nc r="B114" t="inlineStr">
      <is>
        <t>Lorena Cabrera</t>
      </is>
    </nc>
  </rcc>
  <rcc rId="4136" sId="1">
    <nc r="C114">
      <v>1618</v>
    </nc>
  </rcc>
  <rcc rId="4137" sId="1">
    <nc r="I114">
      <v>15</v>
    </nc>
  </rcc>
  <rcc rId="4138" sId="1">
    <nc r="J114" t="inlineStr">
      <is>
        <t>Canelones, Maldonado</t>
      </is>
    </nc>
  </rcc>
  <rcc rId="4139" sId="1">
    <nc r="K114" t="inlineStr">
      <is>
        <t>Alquiler</t>
      </is>
    </nc>
  </rcc>
  <rcc rId="4140" sId="1">
    <nc r="D114">
      <v>3</v>
    </nc>
  </rcc>
  <rcc rId="4141" sId="1">
    <nc r="E114" t="inlineStr">
      <is>
        <t>21/04 al 23/04/2026</t>
      </is>
    </nc>
  </rcc>
  <rcc rId="4142" sId="1" numFmtId="19">
    <nc r="F114">
      <v>46133</v>
    </nc>
  </rcc>
  <rcc rId="4143" sId="1" numFmtId="19">
    <nc r="G114">
      <v>46135</v>
    </nc>
  </rcc>
  <rcc rId="4144" sId="1" numFmtId="34">
    <nc r="H114">
      <v>4500</v>
    </nc>
  </rcc>
  <rcc rId="4145" sId="1">
    <oc r="E113" t="inlineStr">
      <is>
        <t>21/04 al 23/04/2026</t>
      </is>
    </oc>
    <nc r="E113" t="inlineStr">
      <is>
        <t>20/04 al 23/04/2026</t>
      </is>
    </nc>
  </rcc>
  <rcv guid="{D015136D-255F-4042-9389-EB535F138010}" action="delete"/>
  <rdn rId="0" localSheetId="1" customView="1" name="Z_D015136D_255F_4042_9389_EB535F138010_.wvu.FilterData" hidden="1" oldHidden="1">
    <formula>DATA!$A$1:$AK$110</formula>
    <oldFormula>DATA!$A$1:$AK$110</oldFormula>
  </rdn>
  <rcv guid="{D015136D-255F-4042-9389-EB535F138010}" action="add"/>
</revisions>
</file>

<file path=xl/revisions/revisionLog2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4147" sId="1" ref="A114:XFD114" action="deleteRow">
    <rfmt sheetId="1" xfDxf="1" sqref="A114:XFD114" start="0" length="0">
      <dxf>
        <font>
          <name val="Calibri"/>
          <scheme val="none"/>
        </font>
      </dxf>
    </rfmt>
    <rfmt sheetId="1" sqref="A114" start="0" length="0">
      <dxf>
        <fill>
          <patternFill patternType="solid">
            <bgColor rgb="FFFFFF00"/>
          </patternFill>
        </fill>
        <alignment horizontal="center" vertical="top" readingOrder="0"/>
        <border outline="0">
          <left style="thin">
            <color indexed="64"/>
          </left>
          <right style="thin">
            <color indexed="64"/>
          </right>
          <top style="thin">
            <color indexed="64"/>
          </top>
          <bottom style="thin">
            <color indexed="64"/>
          </bottom>
        </border>
      </dxf>
    </rfmt>
    <rcc rId="0" sId="1" dxf="1">
      <nc r="B114" t="inlineStr">
        <is>
          <t>Lorena Cabrera</t>
        </is>
      </nc>
      <ndxf>
        <border outline="0">
          <left style="thin">
            <color indexed="64"/>
          </left>
          <right style="thin">
            <color indexed="64"/>
          </right>
          <top style="thin">
            <color indexed="64"/>
          </top>
          <bottom style="thin">
            <color indexed="64"/>
          </bottom>
        </border>
      </ndxf>
    </rcc>
    <rcc rId="0" sId="1" dxf="1">
      <nc r="C114">
        <v>1618</v>
      </nc>
      <ndxf>
        <border outline="0">
          <left style="thin">
            <color indexed="64"/>
          </left>
          <right style="thin">
            <color indexed="64"/>
          </right>
          <top style="thin">
            <color indexed="64"/>
          </top>
          <bottom style="thin">
            <color indexed="64"/>
          </bottom>
        </border>
      </ndxf>
    </rcc>
    <rcc rId="0" sId="1" dxf="1">
      <nc r="D114">
        <v>3</v>
      </nc>
      <ndxf>
        <border outline="0">
          <left style="thin">
            <color indexed="64"/>
          </left>
          <right style="thin">
            <color indexed="64"/>
          </right>
          <top style="thin">
            <color indexed="64"/>
          </top>
          <bottom style="thin">
            <color indexed="64"/>
          </bottom>
        </border>
      </ndxf>
    </rcc>
    <rcc rId="0" sId="1" dxf="1">
      <nc r="E114" t="inlineStr">
        <is>
          <t>21/04 al 23/04/2026</t>
        </is>
      </nc>
      <ndxf>
        <border outline="0">
          <left style="thin">
            <color indexed="64"/>
          </left>
          <right style="thin">
            <color indexed="64"/>
          </right>
          <top style="thin">
            <color indexed="64"/>
          </top>
          <bottom style="thin">
            <color indexed="64"/>
          </bottom>
        </border>
      </ndxf>
    </rcc>
    <rcc rId="0" sId="1" dxf="1" numFmtId="19">
      <nc r="F114">
        <v>46133</v>
      </nc>
      <ndxf>
        <numFmt numFmtId="19" formatCode="dd/mm/yyyy"/>
        <border outline="0">
          <left style="thin">
            <color indexed="64"/>
          </left>
          <right style="thin">
            <color indexed="64"/>
          </right>
          <top style="thin">
            <color indexed="64"/>
          </top>
          <bottom style="thin">
            <color indexed="64"/>
          </bottom>
        </border>
      </ndxf>
    </rcc>
    <rcc rId="0" sId="1" dxf="1" numFmtId="19">
      <nc r="G114">
        <v>46135</v>
      </nc>
      <ndxf>
        <numFmt numFmtId="19" formatCode="dd/mm/yyyy"/>
        <border outline="0">
          <left style="thin">
            <color indexed="64"/>
          </left>
          <right style="thin">
            <color indexed="64"/>
          </right>
          <top style="thin">
            <color indexed="64"/>
          </top>
          <bottom style="thin">
            <color indexed="64"/>
          </bottom>
        </border>
      </ndxf>
    </rcc>
    <rcc rId="0" sId="1" dxf="1" numFmtId="34">
      <nc r="H114">
        <v>4500</v>
      </nc>
      <ndxf>
        <numFmt numFmtId="164" formatCode="_-* #,##0_-;\-* #,##0_-;_-* &quot;-&quot;??_-;_-@_-"/>
        <border outline="0">
          <left style="thin">
            <color indexed="64"/>
          </left>
          <right style="thin">
            <color indexed="64"/>
          </right>
          <top style="thin">
            <color indexed="64"/>
          </top>
          <bottom style="thin">
            <color indexed="64"/>
          </bottom>
        </border>
      </ndxf>
    </rcc>
    <rcc rId="0" sId="1" dxf="1">
      <nc r="I114">
        <v>15</v>
      </nc>
      <ndxf>
        <border outline="0">
          <left style="thin">
            <color indexed="64"/>
          </left>
          <right style="thin">
            <color indexed="64"/>
          </right>
          <top style="thin">
            <color indexed="64"/>
          </top>
          <bottom style="thin">
            <color indexed="64"/>
          </bottom>
        </border>
      </ndxf>
    </rcc>
    <rcc rId="0" sId="1" dxf="1">
      <nc r="J114" t="inlineStr">
        <is>
          <t>Canelones, Maldonado</t>
        </is>
      </nc>
      <ndxf>
        <border outline="0">
          <left style="thin">
            <color indexed="64"/>
          </left>
          <right style="thin">
            <color indexed="64"/>
          </right>
          <top style="thin">
            <color indexed="64"/>
          </top>
          <bottom style="thin">
            <color indexed="64"/>
          </bottom>
        </border>
      </ndxf>
    </rcc>
    <rcc rId="0" sId="1" dxf="1">
      <nc r="K114" t="inlineStr">
        <is>
          <t>Alquiler</t>
        </is>
      </nc>
      <ndxf>
        <border outline="0">
          <left style="thin">
            <color indexed="64"/>
          </left>
          <right style="thin">
            <color indexed="64"/>
          </right>
          <top style="thin">
            <color indexed="64"/>
          </top>
          <bottom style="thin">
            <color indexed="64"/>
          </bottom>
        </border>
      </ndxf>
    </rcc>
    <rfmt sheetId="1" sqref="L114" start="0" length="0">
      <dxf>
        <border outline="0">
          <left style="thin">
            <color indexed="64"/>
          </left>
          <right style="thin">
            <color indexed="64"/>
          </right>
          <top style="thin">
            <color indexed="64"/>
          </top>
          <bottom style="thin">
            <color indexed="64"/>
          </bottom>
        </border>
      </dxf>
    </rfmt>
    <rfmt sheetId="1" sqref="M114" start="0" length="0">
      <dxf>
        <numFmt numFmtId="35" formatCode="_-* #,##0.00_-;\-* #,##0.00_-;_-* &quot;-&quot;??_-;_-@_-"/>
        <border outline="0">
          <left style="thin">
            <color indexed="64"/>
          </left>
          <right style="thin">
            <color indexed="64"/>
          </right>
          <top style="thin">
            <color indexed="64"/>
          </top>
          <bottom style="thin">
            <color indexed="64"/>
          </bottom>
        </border>
      </dxf>
    </rfmt>
    <rfmt sheetId="1" sqref="N114" start="0" length="0">
      <dxf>
        <numFmt numFmtId="35" formatCode="_-* #,##0.00_-;\-* #,##0.00_-;_-* &quot;-&quot;??_-;_-@_-"/>
        <border outline="0">
          <left style="thin">
            <color indexed="64"/>
          </left>
          <right style="thin">
            <color indexed="64"/>
          </right>
          <top style="thin">
            <color indexed="64"/>
          </top>
          <bottom style="thin">
            <color indexed="64"/>
          </bottom>
        </border>
      </dxf>
    </rfmt>
    <rfmt sheetId="1" sqref="O114" start="0" length="0">
      <dxf>
        <numFmt numFmtId="164" formatCode="_-* #,##0_-;\-* #,##0_-;_-* &quot;-&quot;??_-;_-@_-"/>
        <border outline="0">
          <left style="thin">
            <color indexed="64"/>
          </left>
          <right style="thin">
            <color indexed="64"/>
          </right>
          <top style="thin">
            <color indexed="64"/>
          </top>
          <bottom style="thin">
            <color indexed="64"/>
          </bottom>
        </border>
      </dxf>
    </rfmt>
    <rfmt sheetId="1" sqref="P114" start="0" length="0">
      <dxf>
        <numFmt numFmtId="164" formatCode="_-* #,##0_-;\-* #,##0_-;_-* &quot;-&quot;??_-;_-@_-"/>
        <border outline="0">
          <left style="thin">
            <color indexed="64"/>
          </left>
          <right style="thin">
            <color indexed="64"/>
          </right>
          <top style="thin">
            <color indexed="64"/>
          </top>
          <bottom style="thin">
            <color indexed="64"/>
          </bottom>
        </border>
      </dxf>
    </rfmt>
    <rfmt sheetId="1" sqref="Q114" start="0" length="0">
      <dxf>
        <numFmt numFmtId="164" formatCode="_-* #,##0_-;\-* #,##0_-;_-* &quot;-&quot;??_-;_-@_-"/>
        <border outline="0">
          <left style="thin">
            <color indexed="64"/>
          </left>
          <right style="thin">
            <color indexed="64"/>
          </right>
          <top style="thin">
            <color indexed="64"/>
          </top>
          <bottom style="thin">
            <color indexed="64"/>
          </bottom>
        </border>
      </dxf>
    </rfmt>
    <rfmt sheetId="1" sqref="R114" start="0" length="0">
      <dxf>
        <numFmt numFmtId="35" formatCode="_-* #,##0.00_-;\-* #,##0.00_-;_-* &quot;-&quot;??_-;_-@_-"/>
        <border outline="0">
          <left style="thin">
            <color indexed="64"/>
          </left>
          <right style="thin">
            <color indexed="64"/>
          </right>
          <top style="thin">
            <color indexed="64"/>
          </top>
          <bottom style="thin">
            <color indexed="64"/>
          </bottom>
        </border>
      </dxf>
    </rfmt>
    <rfmt sheetId="1" sqref="S114" start="0" length="0">
      <dxf>
        <numFmt numFmtId="35" formatCode="_-* #,##0.00_-;\-* #,##0.00_-;_-* &quot;-&quot;??_-;_-@_-"/>
        <border outline="0">
          <left style="thin">
            <color indexed="64"/>
          </left>
          <right style="thin">
            <color indexed="64"/>
          </right>
          <top style="thin">
            <color indexed="64"/>
          </top>
          <bottom style="thin">
            <color indexed="64"/>
          </bottom>
        </border>
      </dxf>
    </rfmt>
    <rfmt sheetId="1" sqref="T114" start="0" length="0">
      <dxf>
        <numFmt numFmtId="19" formatCode="dd/mm/yyyy"/>
        <border outline="0">
          <left style="thin">
            <color indexed="64"/>
          </left>
          <right style="thin">
            <color indexed="64"/>
          </right>
          <top style="thin">
            <color indexed="64"/>
          </top>
          <bottom style="thin">
            <color indexed="64"/>
          </bottom>
        </border>
      </dxf>
    </rfmt>
    <rfmt sheetId="1" sqref="U114" start="0" length="0">
      <dxf>
        <border outline="0">
          <left style="thin">
            <color indexed="64"/>
          </left>
          <right style="thin">
            <color indexed="64"/>
          </right>
          <top style="thin">
            <color indexed="64"/>
          </top>
          <bottom style="thin">
            <color indexed="64"/>
          </bottom>
        </border>
      </dxf>
    </rfmt>
    <rfmt sheetId="1" sqref="V114" start="0" length="0">
      <dxf>
        <border outline="0">
          <left style="thin">
            <color indexed="64"/>
          </left>
          <right style="thin">
            <color indexed="64"/>
          </right>
          <top style="thin">
            <color indexed="64"/>
          </top>
          <bottom style="thin">
            <color indexed="64"/>
          </bottom>
        </border>
      </dxf>
    </rfmt>
    <rfmt sheetId="1" sqref="W114" start="0" length="0">
      <dxf>
        <border outline="0">
          <left style="thin">
            <color indexed="64"/>
          </left>
          <right style="thin">
            <color indexed="64"/>
          </right>
          <top style="thin">
            <color indexed="64"/>
          </top>
          <bottom style="thin">
            <color indexed="64"/>
          </bottom>
        </border>
      </dxf>
    </rfmt>
    <rfmt sheetId="1" sqref="X114" start="0" length="0">
      <dxf>
        <border outline="0">
          <left style="thin">
            <color indexed="64"/>
          </left>
          <right style="thin">
            <color indexed="64"/>
          </right>
          <top style="thin">
            <color indexed="64"/>
          </top>
          <bottom style="thin">
            <color indexed="64"/>
          </bottom>
        </border>
      </dxf>
    </rfmt>
    <rfmt sheetId="1" sqref="Y114" start="0" length="0">
      <dxf>
        <border outline="0">
          <left style="thin">
            <color indexed="64"/>
          </left>
          <right style="thin">
            <color indexed="64"/>
          </right>
          <top style="thin">
            <color indexed="64"/>
          </top>
          <bottom style="thin">
            <color indexed="64"/>
          </bottom>
        </border>
      </dxf>
    </rfmt>
    <rfmt sheetId="1" sqref="Z114" start="0" length="0">
      <dxf>
        <border outline="0">
          <left style="thin">
            <color indexed="64"/>
          </left>
          <right style="thin">
            <color indexed="64"/>
          </right>
          <top style="thin">
            <color indexed="64"/>
          </top>
          <bottom style="thin">
            <color indexed="64"/>
          </bottom>
        </border>
      </dxf>
    </rfmt>
    <rfmt sheetId="1" sqref="AA114" start="0" length="0">
      <dxf>
        <border outline="0">
          <left style="thin">
            <color indexed="64"/>
          </left>
          <right style="thin">
            <color indexed="64"/>
          </right>
          <top style="thin">
            <color indexed="64"/>
          </top>
          <bottom style="thin">
            <color indexed="64"/>
          </bottom>
        </border>
      </dxf>
    </rfmt>
    <rfmt sheetId="1" sqref="AB114" start="0" length="0">
      <dxf>
        <border outline="0">
          <left style="thin">
            <color indexed="64"/>
          </left>
          <right style="thin">
            <color indexed="64"/>
          </right>
          <top style="thin">
            <color indexed="64"/>
          </top>
          <bottom style="thin">
            <color indexed="64"/>
          </bottom>
        </border>
      </dxf>
    </rfmt>
    <rfmt sheetId="1" sqref="AC114" start="0" length="0">
      <dxf>
        <border outline="0">
          <left style="thin">
            <color indexed="64"/>
          </left>
          <right style="thin">
            <color indexed="64"/>
          </right>
          <top style="thin">
            <color indexed="64"/>
          </top>
          <bottom style="thin">
            <color indexed="64"/>
          </bottom>
        </border>
      </dxf>
    </rfmt>
    <rfmt sheetId="1" sqref="AD114" start="0" length="0">
      <dxf>
        <numFmt numFmtId="164" formatCode="_-* #,##0_-;\-* #,##0_-;_-* &quot;-&quot;??_-;_-@_-"/>
        <border outline="0">
          <left style="thin">
            <color indexed="64"/>
          </left>
          <right style="thin">
            <color indexed="64"/>
          </right>
          <top style="thin">
            <color indexed="64"/>
          </top>
          <bottom style="thin">
            <color indexed="64"/>
          </bottom>
        </border>
      </dxf>
    </rfmt>
    <rfmt sheetId="1" sqref="AE114" start="0" length="0">
      <dxf>
        <numFmt numFmtId="27" formatCode="dd/mm/yyyy\ h:mm"/>
        <border outline="0">
          <left style="thin">
            <color indexed="64"/>
          </left>
          <right style="thin">
            <color indexed="64"/>
          </right>
          <top style="thin">
            <color indexed="64"/>
          </top>
          <bottom style="thin">
            <color indexed="64"/>
          </bottom>
        </border>
      </dxf>
    </rfmt>
    <rfmt sheetId="1" sqref="AF114" start="0" length="0">
      <dxf>
        <numFmt numFmtId="164" formatCode="_-* #,##0_-;\-* #,##0_-;_-* &quot;-&quot;??_-;_-@_-"/>
        <border outline="0">
          <left style="thin">
            <color indexed="64"/>
          </left>
          <right style="thin">
            <color indexed="64"/>
          </right>
          <top style="thin">
            <color indexed="64"/>
          </top>
          <bottom style="thin">
            <color indexed="64"/>
          </bottom>
        </border>
      </dxf>
    </rfmt>
    <rfmt sheetId="1" sqref="AG114" start="0" length="0">
      <dxf>
        <numFmt numFmtId="27" formatCode="dd/mm/yyyy\ h:mm"/>
        <border outline="0">
          <left style="thin">
            <color indexed="64"/>
          </left>
          <right style="thin">
            <color indexed="64"/>
          </right>
          <top style="thin">
            <color indexed="64"/>
          </top>
          <bottom style="thin">
            <color indexed="64"/>
          </bottom>
        </border>
      </dxf>
    </rfmt>
    <rfmt sheetId="1" sqref="AH114" start="0" length="0">
      <dxf>
        <numFmt numFmtId="164" formatCode="_-* #,##0_-;\-* #,##0_-;_-* &quot;-&quot;??_-;_-@_-"/>
        <border outline="0">
          <left style="thin">
            <color indexed="64"/>
          </left>
          <right style="thin">
            <color indexed="64"/>
          </right>
          <top style="thin">
            <color indexed="64"/>
          </top>
          <bottom style="thin">
            <color indexed="64"/>
          </bottom>
        </border>
      </dxf>
    </rfmt>
    <rfmt sheetId="1" sqref="AI114" start="0" length="0">
      <dxf>
        <border outline="0">
          <left style="thin">
            <color indexed="64"/>
          </left>
          <right style="thin">
            <color indexed="64"/>
          </right>
          <top style="thin">
            <color indexed="64"/>
          </top>
          <bottom style="thin">
            <color indexed="64"/>
          </bottom>
        </border>
      </dxf>
    </rfmt>
    <rfmt sheetId="1" sqref="AJ114" start="0" length="0">
      <dxf>
        <border outline="0">
          <left style="thin">
            <color indexed="64"/>
          </left>
          <right style="thin">
            <color indexed="64"/>
          </right>
          <top style="thin">
            <color indexed="64"/>
          </top>
          <bottom style="thin">
            <color indexed="64"/>
          </bottom>
        </border>
      </dxf>
    </rfmt>
    <rfmt sheetId="1" sqref="AK114" start="0" length="0">
      <dxf>
        <border outline="0">
          <left style="thin">
            <color indexed="64"/>
          </left>
          <right style="thin">
            <color indexed="64"/>
          </right>
          <top style="thin">
            <color indexed="64"/>
          </top>
          <bottom style="thin">
            <color indexed="64"/>
          </bottom>
        </border>
      </dxf>
    </rfmt>
    <rfmt sheetId="1" sqref="AM114" start="0" length="0">
      <dxf>
        <numFmt numFmtId="1" formatCode="0"/>
      </dxf>
    </rfmt>
    <rfmt sheetId="1" sqref="AN114" start="0" length="0">
      <dxf>
        <numFmt numFmtId="1" formatCode="0"/>
      </dxf>
    </rfmt>
    <rfmt sheetId="1" sqref="AQ114" start="0" length="0">
      <dxf>
        <numFmt numFmtId="164" formatCode="_-* #,##0_-;\-* #,##0_-;_-* &quot;-&quot;??_-;_-@_-"/>
      </dxf>
    </rfmt>
    <rfmt sheetId="1" sqref="AR114" start="0" length="0">
      <dxf>
        <numFmt numFmtId="164" formatCode="_-* #,##0_-;\-* #,##0_-;_-* &quot;-&quot;??_-;_-@_-"/>
      </dxf>
    </rfmt>
    <rfmt sheetId="1" sqref="AS114" start="0" length="0">
      <dxf>
        <numFmt numFmtId="164" formatCode="_-* #,##0_-;\-* #,##0_-;_-* &quot;-&quot;??_-;_-@_-"/>
      </dxf>
    </rfmt>
    <rfmt sheetId="1" sqref="AT114" start="0" length="0">
      <dxf>
        <numFmt numFmtId="164" formatCode="_-* #,##0_-;\-* #,##0_-;_-* &quot;-&quot;??_-;_-@_-"/>
      </dxf>
    </rfmt>
  </rrc>
  <rfmt sheetId="1" sqref="A114" start="0" length="0">
    <dxf>
      <fill>
        <patternFill patternType="solid">
          <bgColor rgb="FFFFFF00"/>
        </patternFill>
      </fill>
    </dxf>
  </rfmt>
  <rcc rId="4148" sId="1">
    <nc r="B114" t="inlineStr">
      <is>
        <t>Luis Amicone</t>
      </is>
    </nc>
  </rcc>
  <rcc rId="4149" sId="1">
    <nc r="C114">
      <v>3075</v>
    </nc>
  </rcc>
  <rcc rId="4150" sId="1">
    <nc r="D114">
      <v>3</v>
    </nc>
  </rcc>
  <rcc rId="4151" sId="1">
    <nc r="E114" t="inlineStr">
      <is>
        <t>21/04 al 23/04/2026</t>
      </is>
    </nc>
  </rcc>
  <rcc rId="4152" sId="1" numFmtId="19">
    <nc r="F114">
      <v>46133</v>
    </nc>
  </rcc>
  <rcc rId="4153" sId="1" numFmtId="19">
    <nc r="G114">
      <v>46135</v>
    </nc>
  </rcc>
  <rcc rId="4154" sId="1">
    <nc r="K114" t="inlineStr">
      <is>
        <t>Alquiler</t>
      </is>
    </nc>
  </rcc>
  <rcc rId="4155" sId="1">
    <nc r="J114" t="inlineStr">
      <is>
        <t>Montevideo, Soriano</t>
      </is>
    </nc>
  </rcc>
  <rcc rId="4156" sId="1">
    <nc r="I114">
      <v>15</v>
    </nc>
  </rcc>
  <rcc rId="4157" sId="1" numFmtId="34">
    <nc r="H114">
      <v>7000</v>
    </nc>
  </rcc>
  <rcv guid="{D015136D-255F-4042-9389-EB535F138010}" action="delete"/>
  <rdn rId="0" localSheetId="1" customView="1" name="Z_D015136D_255F_4042_9389_EB535F138010_.wvu.FilterData" hidden="1" oldHidden="1">
    <formula>DATA!$A$1:$AK$110</formula>
    <oldFormula>DATA!$A$1:$AK$110</oldFormula>
  </rdn>
  <rcv guid="{D015136D-255F-4042-9389-EB535F138010}" action="add"/>
</revisions>
</file>

<file path=xl/revisions/revisionLog2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59" sId="1">
    <nc r="A110">
      <v>109</v>
    </nc>
  </rcc>
  <rcc rId="4160" sId="1">
    <nc r="A111">
      <v>110</v>
    </nc>
  </rcc>
  <rcc rId="4161" sId="1">
    <nc r="A112">
      <v>111</v>
    </nc>
  </rcc>
  <rcc rId="4162" sId="1">
    <nc r="A113">
      <v>112</v>
    </nc>
  </rcc>
  <rcc rId="4163" sId="1">
    <nc r="A114">
      <v>113</v>
    </nc>
  </rcc>
  <rfmt sheetId="1" sqref="A110:A114">
    <dxf>
      <fill>
        <patternFill patternType="none">
          <bgColor auto="1"/>
        </patternFill>
      </fill>
    </dxf>
  </rfmt>
  <rcv guid="{D015136D-255F-4042-9389-EB535F138010}" action="delete"/>
  <rdn rId="0" localSheetId="1" customView="1" name="Z_D015136D_255F_4042_9389_EB535F138010_.wvu.FilterData" hidden="1" oldHidden="1">
    <formula>DATA!$A$1:$AK$110</formula>
    <oldFormula>DATA!$A$1:$AK$110</oldFormula>
  </rdn>
  <rcv guid="{D015136D-255F-4042-9389-EB535F138010}" action="add"/>
</revisions>
</file>

<file path=xl/revisions/revisionLog2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65" sId="1">
    <nc r="B115" t="inlineStr">
      <is>
        <t>Rolando Ball</t>
      </is>
    </nc>
  </rcc>
  <rcc rId="4166" sId="1">
    <nc r="C115">
      <v>1332</v>
    </nc>
  </rcc>
  <rcc rId="4167" sId="1">
    <nc r="J115" t="inlineStr">
      <is>
        <t>Rocha</t>
      </is>
    </nc>
  </rcc>
  <rcc rId="4168" sId="1">
    <nc r="K115" t="inlineStr">
      <is>
        <t>Propio</t>
      </is>
    </nc>
  </rcc>
  <rcc rId="4169" sId="1">
    <nc r="A115">
      <v>114</v>
    </nc>
  </rcc>
  <rcc rId="4170" sId="1">
    <nc r="E115" t="inlineStr">
      <is>
        <t>01/04 al 15/04/2026</t>
      </is>
    </nc>
  </rcc>
  <rcc rId="4171" sId="1" numFmtId="19">
    <nc r="F115">
      <v>46113</v>
    </nc>
  </rcc>
  <rcc rId="4172" sId="1" numFmtId="19">
    <nc r="G115">
      <v>46127</v>
    </nc>
  </rcc>
  <rcc rId="4173" sId="1">
    <nc r="D115">
      <v>9</v>
    </nc>
  </rcc>
  <rcc rId="4174" sId="1">
    <nc r="M115">
      <f>+N115-H115</f>
    </nc>
  </rcc>
  <rcc rId="4175" sId="1" numFmtId="34">
    <nc r="N115">
      <v>2000</v>
    </nc>
  </rcc>
  <rcc rId="4176" sId="1" numFmtId="34">
    <nc r="P115">
      <v>5</v>
    </nc>
  </rcc>
  <rcc rId="4177" sId="1">
    <nc r="Q115">
      <f>+P115+O115</f>
    </nc>
  </rcc>
  <rcc rId="4178" sId="1">
    <nc r="R115">
      <f>(N115/Q115)</f>
    </nc>
  </rcc>
  <rcc rId="4179" sId="1">
    <nc r="S115">
      <f>(('Costo por negocio'!$B$4-DATA!R115)*DATA!O115)+('Costo por negocio'!$C$4-DATA!R115)*DATA!P115</f>
    </nc>
  </rcc>
  <rcc rId="4180" sId="1">
    <nc r="U115" t="inlineStr">
      <is>
        <t>SI</t>
      </is>
    </nc>
  </rcc>
  <rcc rId="4181" sId="1">
    <nc r="V115" t="inlineStr">
      <is>
        <t>SI</t>
      </is>
    </nc>
  </rcc>
  <rcc rId="4182" sId="1">
    <nc r="W115" t="inlineStr">
      <is>
        <t>SI</t>
      </is>
    </nc>
  </rcc>
  <rcc rId="4183" sId="1" numFmtId="19">
    <nc r="T115">
      <v>46129</v>
    </nc>
  </rcc>
  <rcc rId="4184" sId="1">
    <nc r="Y115" t="inlineStr">
      <is>
        <t>CBD 1303</t>
      </is>
    </nc>
  </rcc>
  <rfmt sheetId="1" sqref="A115:AK115">
    <dxf>
      <fill>
        <patternFill patternType="solid">
          <bgColor rgb="FF92D050"/>
        </patternFill>
      </fill>
    </dxf>
  </rfmt>
  <rcv guid="{D015136D-255F-4042-9389-EB535F138010}" action="delete"/>
  <rdn rId="0" localSheetId="1" customView="1" name="Z_D015136D_255F_4042_9389_EB535F138010_.wvu.FilterData" hidden="1" oldHidden="1">
    <formula>DATA!$A$1:$AK$110</formula>
    <oldFormula>DATA!$A$1:$AK$110</oldFormula>
  </rdn>
  <rcv guid="{D015136D-255F-4042-9389-EB535F138010}" action="add"/>
</revisions>
</file>

<file path=xl/revisions/revisionLog2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86" sId="1" odxf="1" dxf="1">
    <nc r="A116">
      <v>115</v>
    </nc>
    <ndxf>
      <fill>
        <patternFill patternType="solid">
          <bgColor rgb="FF92D050"/>
        </patternFill>
      </fill>
    </ndxf>
  </rcc>
  <rcc rId="4187" sId="1" odxf="1" dxf="1">
    <nc r="B116" t="inlineStr">
      <is>
        <t>Sylvia Antunez</t>
      </is>
    </nc>
    <ndxf>
      <fill>
        <patternFill patternType="solid">
          <bgColor rgb="FF92D050"/>
        </patternFill>
      </fill>
    </ndxf>
  </rcc>
  <rcc rId="4188" sId="1" odxf="1" dxf="1">
    <nc r="C116">
      <v>3064</v>
    </nc>
    <ndxf>
      <fill>
        <patternFill patternType="solid">
          <bgColor rgb="FF92D050"/>
        </patternFill>
      </fill>
    </ndxf>
  </rcc>
  <rfmt sheetId="1" sqref="D116" start="0" length="0">
    <dxf>
      <fill>
        <patternFill patternType="solid">
          <bgColor rgb="FF92D050"/>
        </patternFill>
      </fill>
    </dxf>
  </rfmt>
  <rfmt sheetId="1" sqref="E116" start="0" length="0">
    <dxf>
      <fill>
        <patternFill patternType="solid">
          <bgColor rgb="FF92D050"/>
        </patternFill>
      </fill>
    </dxf>
  </rfmt>
  <rfmt sheetId="1" sqref="F116" start="0" length="0">
    <dxf>
      <fill>
        <patternFill patternType="solid">
          <bgColor rgb="FF92D050"/>
        </patternFill>
      </fill>
    </dxf>
  </rfmt>
  <rfmt sheetId="1" sqref="G116" start="0" length="0">
    <dxf>
      <fill>
        <patternFill patternType="solid">
          <bgColor rgb="FF92D050"/>
        </patternFill>
      </fill>
    </dxf>
  </rfmt>
  <rfmt sheetId="1" sqref="H116" start="0" length="0">
    <dxf>
      <fill>
        <patternFill patternType="solid">
          <bgColor rgb="FF92D050"/>
        </patternFill>
      </fill>
    </dxf>
  </rfmt>
  <rfmt sheetId="1" sqref="I116" start="0" length="0">
    <dxf>
      <fill>
        <patternFill patternType="solid">
          <bgColor rgb="FF92D050"/>
        </patternFill>
      </fill>
    </dxf>
  </rfmt>
  <rcc rId="4189" sId="1" odxf="1" dxf="1">
    <nc r="J116" t="inlineStr">
      <is>
        <t>Montevideo, Canelones</t>
      </is>
    </nc>
    <ndxf>
      <fill>
        <patternFill patternType="solid">
          <bgColor rgb="FF92D050"/>
        </patternFill>
      </fill>
    </ndxf>
  </rcc>
  <rcc rId="4190" sId="1" odxf="1" dxf="1">
    <nc r="K116" t="inlineStr">
      <is>
        <t>Propio</t>
      </is>
    </nc>
    <ndxf>
      <fill>
        <patternFill patternType="solid">
          <bgColor rgb="FF92D050"/>
        </patternFill>
      </fill>
    </ndxf>
  </rcc>
  <rfmt sheetId="1" sqref="L116" start="0" length="0">
    <dxf>
      <fill>
        <patternFill patternType="solid">
          <bgColor rgb="FF92D050"/>
        </patternFill>
      </fill>
    </dxf>
  </rfmt>
  <rfmt sheetId="1" sqref="M116" start="0" length="0">
    <dxf>
      <fill>
        <patternFill patternType="solid">
          <bgColor rgb="FF92D050"/>
        </patternFill>
      </fill>
    </dxf>
  </rfmt>
  <rfmt sheetId="1" sqref="N116" start="0" length="0">
    <dxf>
      <fill>
        <patternFill patternType="solid">
          <bgColor rgb="FF92D050"/>
        </patternFill>
      </fill>
    </dxf>
  </rfmt>
  <rfmt sheetId="1" sqref="O116" start="0" length="0">
    <dxf>
      <fill>
        <patternFill patternType="solid">
          <bgColor rgb="FF92D050"/>
        </patternFill>
      </fill>
    </dxf>
  </rfmt>
  <rfmt sheetId="1" sqref="P116" start="0" length="0">
    <dxf>
      <fill>
        <patternFill patternType="solid">
          <bgColor rgb="FF92D050"/>
        </patternFill>
      </fill>
    </dxf>
  </rfmt>
  <rfmt sheetId="1" sqref="Q116" start="0" length="0">
    <dxf>
      <fill>
        <patternFill patternType="solid">
          <bgColor rgb="FF92D050"/>
        </patternFill>
      </fill>
    </dxf>
  </rfmt>
  <rfmt sheetId="1" sqref="R116" start="0" length="0">
    <dxf>
      <fill>
        <patternFill patternType="solid">
          <bgColor rgb="FF92D050"/>
        </patternFill>
      </fill>
    </dxf>
  </rfmt>
  <rfmt sheetId="1" sqref="S116" start="0" length="0">
    <dxf>
      <fill>
        <patternFill patternType="solid">
          <bgColor rgb="FF92D050"/>
        </patternFill>
      </fill>
    </dxf>
  </rfmt>
  <rfmt sheetId="1" sqref="T116" start="0" length="0">
    <dxf>
      <fill>
        <patternFill patternType="solid">
          <bgColor rgb="FF92D050"/>
        </patternFill>
      </fill>
    </dxf>
  </rfmt>
  <rfmt sheetId="1" sqref="U116" start="0" length="0">
    <dxf>
      <fill>
        <patternFill patternType="solid">
          <bgColor rgb="FF92D050"/>
        </patternFill>
      </fill>
    </dxf>
  </rfmt>
  <rfmt sheetId="1" sqref="V116" start="0" length="0">
    <dxf>
      <fill>
        <patternFill patternType="solid">
          <bgColor rgb="FF92D050"/>
        </patternFill>
      </fill>
    </dxf>
  </rfmt>
  <rfmt sheetId="1" sqref="W116" start="0" length="0">
    <dxf>
      <fill>
        <patternFill patternType="solid">
          <bgColor rgb="FF92D050"/>
        </patternFill>
      </fill>
    </dxf>
  </rfmt>
  <rfmt sheetId="1" sqref="X116" start="0" length="0">
    <dxf>
      <fill>
        <patternFill patternType="solid">
          <bgColor rgb="FF92D050"/>
        </patternFill>
      </fill>
    </dxf>
  </rfmt>
  <rfmt sheetId="1" sqref="Y116" start="0" length="0">
    <dxf>
      <fill>
        <patternFill patternType="solid">
          <bgColor rgb="FF92D050"/>
        </patternFill>
      </fill>
    </dxf>
  </rfmt>
  <rfmt sheetId="1" sqref="Z116" start="0" length="0">
    <dxf>
      <fill>
        <patternFill patternType="solid">
          <bgColor rgb="FF92D050"/>
        </patternFill>
      </fill>
    </dxf>
  </rfmt>
  <rfmt sheetId="1" sqref="AA116" start="0" length="0">
    <dxf>
      <fill>
        <patternFill patternType="solid">
          <bgColor rgb="FF92D050"/>
        </patternFill>
      </fill>
    </dxf>
  </rfmt>
  <rfmt sheetId="1" sqref="AB116" start="0" length="0">
    <dxf>
      <fill>
        <patternFill patternType="solid">
          <bgColor rgb="FF92D050"/>
        </patternFill>
      </fill>
    </dxf>
  </rfmt>
  <rfmt sheetId="1" sqref="AC116" start="0" length="0">
    <dxf>
      <fill>
        <patternFill patternType="solid">
          <bgColor rgb="FF92D050"/>
        </patternFill>
      </fill>
    </dxf>
  </rfmt>
  <rfmt sheetId="1" sqref="AD116" start="0" length="0">
    <dxf>
      <fill>
        <patternFill patternType="solid">
          <bgColor rgb="FF92D050"/>
        </patternFill>
      </fill>
    </dxf>
  </rfmt>
  <rfmt sheetId="1" sqref="AE116" start="0" length="0">
    <dxf>
      <fill>
        <patternFill patternType="solid">
          <bgColor rgb="FF92D050"/>
        </patternFill>
      </fill>
    </dxf>
  </rfmt>
  <rfmt sheetId="1" sqref="AF116" start="0" length="0">
    <dxf>
      <fill>
        <patternFill patternType="solid">
          <bgColor rgb="FF92D050"/>
        </patternFill>
      </fill>
    </dxf>
  </rfmt>
  <rfmt sheetId="1" sqref="AG116" start="0" length="0">
    <dxf>
      <fill>
        <patternFill patternType="solid">
          <bgColor rgb="FF92D050"/>
        </patternFill>
      </fill>
    </dxf>
  </rfmt>
  <rfmt sheetId="1" sqref="AH116" start="0" length="0">
    <dxf>
      <fill>
        <patternFill patternType="solid">
          <bgColor rgb="FF92D050"/>
        </patternFill>
      </fill>
    </dxf>
  </rfmt>
  <rfmt sheetId="1" sqref="AI116" start="0" length="0">
    <dxf>
      <fill>
        <patternFill patternType="solid">
          <bgColor rgb="FF92D050"/>
        </patternFill>
      </fill>
    </dxf>
  </rfmt>
  <rfmt sheetId="1" sqref="AJ116" start="0" length="0">
    <dxf>
      <fill>
        <patternFill patternType="solid">
          <bgColor rgb="FF92D050"/>
        </patternFill>
      </fill>
    </dxf>
  </rfmt>
  <rfmt sheetId="1" sqref="AK116" start="0" length="0">
    <dxf>
      <fill>
        <patternFill patternType="solid">
          <bgColor rgb="FF92D050"/>
        </patternFill>
      </fill>
    </dxf>
  </rfmt>
  <rcc rId="4191" sId="1">
    <nc r="D116">
      <v>9</v>
    </nc>
  </rcc>
  <rcc rId="4192" sId="1">
    <nc r="E116" t="inlineStr">
      <is>
        <t>01/04 al 15/04/2026</t>
      </is>
    </nc>
  </rcc>
  <rcc rId="4193" sId="1" numFmtId="19">
    <nc r="F116">
      <v>46113</v>
    </nc>
  </rcc>
  <rcc rId="4194" sId="1" numFmtId="19">
    <nc r="G116">
      <v>46127</v>
    </nc>
  </rcc>
  <rcc rId="4195" sId="1">
    <nc r="M116">
      <f>+N116-H116</f>
    </nc>
  </rcc>
  <rcc rId="4196" sId="1">
    <nc r="N116">
      <f>1621.5+2332.5</f>
    </nc>
  </rcc>
  <rcc rId="4197" sId="1">
    <nc r="O116">
      <f>7+5+1</f>
    </nc>
  </rcc>
  <rcc rId="4198" sId="1">
    <nc r="Q116">
      <f>+P116+O116</f>
    </nc>
  </rcc>
  <rcc rId="4199" sId="1">
    <nc r="R116">
      <f>(N116/Q116)</f>
    </nc>
  </rcc>
  <rcc rId="4200" sId="1">
    <nc r="S116">
      <f>(('Costo por negocio'!$B$4-DATA!R116)*DATA!O116)+('Costo por negocio'!$C$4-DATA!R116)*DATA!P116</f>
    </nc>
  </rcc>
  <rcc rId="4201" sId="1" numFmtId="19">
    <nc r="T116">
      <v>46129</v>
    </nc>
  </rcc>
  <rcc rId="4202" sId="1">
    <nc r="U116" t="inlineStr">
      <is>
        <t>SI</t>
      </is>
    </nc>
  </rcc>
  <rcc rId="4203" sId="1">
    <nc r="V116" t="inlineStr">
      <is>
        <t>SI</t>
      </is>
    </nc>
  </rcc>
  <rcc rId="4204" sId="1">
    <nc r="W116" t="inlineStr">
      <is>
        <t>SI</t>
      </is>
    </nc>
  </rcc>
  <rcc rId="4205" sId="1">
    <nc r="Y116" t="inlineStr">
      <is>
        <t>SDD 4937</t>
      </is>
    </nc>
  </rcc>
  <rcv guid="{D015136D-255F-4042-9389-EB535F138010}" action="delete"/>
  <rdn rId="0" localSheetId="1" customView="1" name="Z_D015136D_255F_4042_9389_EB535F138010_.wvu.FilterData" hidden="1" oldHidden="1">
    <formula>DATA!$A$1:$AK$110</formula>
    <oldFormula>DATA!$A$1:$AK$110</oldFormula>
  </rdn>
  <rcv guid="{D015136D-255F-4042-9389-EB535F138010}" action="add"/>
</revisions>
</file>

<file path=xl/revisions/revisionLog2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K117" start="0" length="0">
    <dxf>
      <fill>
        <patternFill patternType="solid">
          <bgColor rgb="FF92D050"/>
        </patternFill>
      </fill>
    </dxf>
  </rfmt>
  <rcc rId="4207" sId="1" odxf="1" dxf="1">
    <nc r="A117">
      <v>116</v>
    </nc>
    <ndxf>
      <fill>
        <patternFill patternType="solid">
          <bgColor rgb="FF92D050"/>
        </patternFill>
      </fill>
    </ndxf>
  </rcc>
  <rcc rId="4208" sId="1" odxf="1" dxf="1">
    <nc r="B117" t="inlineStr">
      <is>
        <t>Lucia Santamaría</t>
      </is>
    </nc>
    <ndxf>
      <fill>
        <patternFill patternType="solid">
          <bgColor rgb="FF92D050"/>
        </patternFill>
      </fill>
    </ndxf>
  </rcc>
  <rcc rId="4209" sId="1" odxf="1" dxf="1">
    <nc r="C117">
      <v>3065</v>
    </nc>
    <ndxf>
      <fill>
        <patternFill patternType="solid">
          <bgColor rgb="FF92D050"/>
        </patternFill>
      </fill>
    </ndxf>
  </rcc>
  <rcc rId="4210" sId="1" odxf="1" dxf="1">
    <nc r="D117">
      <v>9</v>
    </nc>
    <ndxf>
      <fill>
        <patternFill patternType="solid">
          <bgColor rgb="FF92D050"/>
        </patternFill>
      </fill>
    </ndxf>
  </rcc>
  <rcc rId="4211" sId="1" odxf="1" dxf="1">
    <nc r="E117" t="inlineStr">
      <is>
        <t>01/04 al 15/04/2026</t>
      </is>
    </nc>
    <ndxf>
      <fill>
        <patternFill patternType="solid">
          <bgColor rgb="FF92D050"/>
        </patternFill>
      </fill>
    </ndxf>
  </rcc>
  <rcc rId="4212" sId="1" odxf="1" dxf="1" numFmtId="19">
    <nc r="F117">
      <v>46113</v>
    </nc>
    <ndxf>
      <fill>
        <patternFill patternType="solid">
          <bgColor rgb="FF92D050"/>
        </patternFill>
      </fill>
    </ndxf>
  </rcc>
  <rcc rId="4213" sId="1" odxf="1" dxf="1" numFmtId="19">
    <nc r="G117">
      <v>46127</v>
    </nc>
    <ndxf>
      <fill>
        <patternFill patternType="solid">
          <bgColor rgb="FF92D050"/>
        </patternFill>
      </fill>
    </ndxf>
  </rcc>
  <rfmt sheetId="1" sqref="H117" start="0" length="0">
    <dxf>
      <fill>
        <patternFill patternType="solid">
          <bgColor rgb="FF92D050"/>
        </patternFill>
      </fill>
    </dxf>
  </rfmt>
  <rfmt sheetId="1" sqref="I117" start="0" length="0">
    <dxf>
      <fill>
        <patternFill patternType="solid">
          <bgColor rgb="FF92D050"/>
        </patternFill>
      </fill>
    </dxf>
  </rfmt>
  <rcc rId="4214" sId="1" odxf="1" dxf="1">
    <nc r="J117" t="inlineStr">
      <is>
        <t>Montevideo</t>
      </is>
    </nc>
    <ndxf>
      <fill>
        <patternFill patternType="solid">
          <bgColor rgb="FF92D050"/>
        </patternFill>
      </fill>
    </ndxf>
  </rcc>
  <rcc rId="4215" sId="1">
    <nc r="K117" t="inlineStr">
      <is>
        <t>Propio</t>
      </is>
    </nc>
  </rcc>
  <rfmt sheetId="1" sqref="L117" start="0" length="0">
    <dxf>
      <fill>
        <patternFill patternType="solid">
          <bgColor rgb="FF92D050"/>
        </patternFill>
      </fill>
    </dxf>
  </rfmt>
  <rfmt sheetId="1" sqref="M117" start="0" length="0">
    <dxf>
      <fill>
        <patternFill patternType="solid">
          <bgColor rgb="FF92D050"/>
        </patternFill>
      </fill>
    </dxf>
  </rfmt>
  <rfmt sheetId="1" sqref="N117" start="0" length="0">
    <dxf>
      <fill>
        <patternFill patternType="solid">
          <bgColor rgb="FF92D050"/>
        </patternFill>
      </fill>
    </dxf>
  </rfmt>
  <rfmt sheetId="1" sqref="O117" start="0" length="0">
    <dxf>
      <fill>
        <patternFill patternType="solid">
          <bgColor rgb="FF92D050"/>
        </patternFill>
      </fill>
    </dxf>
  </rfmt>
  <rfmt sheetId="1" sqref="P117" start="0" length="0">
    <dxf>
      <fill>
        <patternFill patternType="solid">
          <bgColor rgb="FF92D050"/>
        </patternFill>
      </fill>
    </dxf>
  </rfmt>
  <rfmt sheetId="1" sqref="Q117" start="0" length="0">
    <dxf>
      <fill>
        <patternFill patternType="solid">
          <bgColor rgb="FF92D050"/>
        </patternFill>
      </fill>
    </dxf>
  </rfmt>
  <rfmt sheetId="1" sqref="R117" start="0" length="0">
    <dxf>
      <fill>
        <patternFill patternType="solid">
          <bgColor rgb="FF92D050"/>
        </patternFill>
      </fill>
    </dxf>
  </rfmt>
  <rfmt sheetId="1" sqref="S117" start="0" length="0">
    <dxf>
      <fill>
        <patternFill patternType="solid">
          <bgColor rgb="FF92D050"/>
        </patternFill>
      </fill>
    </dxf>
  </rfmt>
  <rfmt sheetId="1" sqref="T117" start="0" length="0">
    <dxf>
      <fill>
        <patternFill patternType="solid">
          <bgColor rgb="FF92D050"/>
        </patternFill>
      </fill>
    </dxf>
  </rfmt>
  <rfmt sheetId="1" sqref="U117" start="0" length="0">
    <dxf>
      <fill>
        <patternFill patternType="solid">
          <bgColor rgb="FF92D050"/>
        </patternFill>
      </fill>
    </dxf>
  </rfmt>
  <rfmt sheetId="1" sqref="V117" start="0" length="0">
    <dxf>
      <fill>
        <patternFill patternType="solid">
          <bgColor rgb="FF92D050"/>
        </patternFill>
      </fill>
    </dxf>
  </rfmt>
  <rfmt sheetId="1" sqref="W117" start="0" length="0">
    <dxf>
      <fill>
        <patternFill patternType="solid">
          <bgColor rgb="FF92D050"/>
        </patternFill>
      </fill>
    </dxf>
  </rfmt>
  <rfmt sheetId="1" sqref="X117" start="0" length="0">
    <dxf>
      <fill>
        <patternFill patternType="solid">
          <bgColor rgb="FF92D050"/>
        </patternFill>
      </fill>
    </dxf>
  </rfmt>
  <rfmt sheetId="1" sqref="Y117" start="0" length="0">
    <dxf>
      <fill>
        <patternFill patternType="solid">
          <bgColor rgb="FF92D050"/>
        </patternFill>
      </fill>
    </dxf>
  </rfmt>
  <rfmt sheetId="1" sqref="Z117" start="0" length="0">
    <dxf>
      <fill>
        <patternFill patternType="solid">
          <bgColor rgb="FF92D050"/>
        </patternFill>
      </fill>
    </dxf>
  </rfmt>
  <rfmt sheetId="1" sqref="AA117" start="0" length="0">
    <dxf>
      <fill>
        <patternFill patternType="solid">
          <bgColor rgb="FF92D050"/>
        </patternFill>
      </fill>
    </dxf>
  </rfmt>
  <rfmt sheetId="1" sqref="AB117" start="0" length="0">
    <dxf>
      <fill>
        <patternFill patternType="solid">
          <bgColor rgb="FF92D050"/>
        </patternFill>
      </fill>
    </dxf>
  </rfmt>
  <rfmt sheetId="1" sqref="AC117" start="0" length="0">
    <dxf>
      <fill>
        <patternFill patternType="solid">
          <bgColor rgb="FF92D050"/>
        </patternFill>
      </fill>
    </dxf>
  </rfmt>
  <rfmt sheetId="1" sqref="AD117" start="0" length="0">
    <dxf>
      <fill>
        <patternFill patternType="solid">
          <bgColor rgb="FF92D050"/>
        </patternFill>
      </fill>
    </dxf>
  </rfmt>
  <rfmt sheetId="1" sqref="AE117" start="0" length="0">
    <dxf>
      <fill>
        <patternFill patternType="solid">
          <bgColor rgb="FF92D050"/>
        </patternFill>
      </fill>
    </dxf>
  </rfmt>
  <rfmt sheetId="1" sqref="AF117" start="0" length="0">
    <dxf>
      <fill>
        <patternFill patternType="solid">
          <bgColor rgb="FF92D050"/>
        </patternFill>
      </fill>
    </dxf>
  </rfmt>
  <rfmt sheetId="1" sqref="AG117" start="0" length="0">
    <dxf>
      <fill>
        <patternFill patternType="solid">
          <bgColor rgb="FF92D050"/>
        </patternFill>
      </fill>
    </dxf>
  </rfmt>
  <rfmt sheetId="1" sqref="AH117" start="0" length="0">
    <dxf>
      <fill>
        <patternFill patternType="solid">
          <bgColor rgb="FF92D050"/>
        </patternFill>
      </fill>
    </dxf>
  </rfmt>
  <rfmt sheetId="1" sqref="AI117" start="0" length="0">
    <dxf>
      <fill>
        <patternFill patternType="solid">
          <bgColor rgb="FF92D050"/>
        </patternFill>
      </fill>
    </dxf>
  </rfmt>
  <rfmt sheetId="1" sqref="AJ117" start="0" length="0">
    <dxf>
      <fill>
        <patternFill patternType="solid">
          <bgColor rgb="FF92D050"/>
        </patternFill>
      </fill>
    </dxf>
  </rfmt>
  <rfmt sheetId="1" sqref="AK117" start="0" length="0">
    <dxf>
      <fill>
        <patternFill patternType="solid">
          <bgColor rgb="FF92D050"/>
        </patternFill>
      </fill>
    </dxf>
  </rfmt>
  <rcc rId="4216" sId="1">
    <nc r="M117">
      <f>+N117-H117</f>
    </nc>
  </rcc>
  <rcc rId="4217" sId="1" numFmtId="34">
    <nc r="N117">
      <v>4082</v>
    </nc>
  </rcc>
  <rcc rId="4218" sId="1" numFmtId="34">
    <nc r="O117">
      <v>14</v>
    </nc>
  </rcc>
  <rcc rId="4219" sId="1">
    <nc r="Q117">
      <f>+P117+O117</f>
    </nc>
  </rcc>
  <rcc rId="4220" sId="1">
    <nc r="R117">
      <f>(N117/Q117)</f>
    </nc>
  </rcc>
  <rcc rId="4221" sId="1">
    <nc r="S117">
      <f>(('Costo por negocio'!$B$4-DATA!R117)*DATA!O117)+('Costo por negocio'!$C$4-DATA!R117)*DATA!P117</f>
    </nc>
  </rcc>
  <rcc rId="4222" sId="1" numFmtId="19">
    <nc r="T117">
      <v>46129</v>
    </nc>
  </rcc>
  <rcc rId="4223" sId="1">
    <nc r="U117" t="inlineStr">
      <is>
        <t>SI</t>
      </is>
    </nc>
  </rcc>
  <rcc rId="4224" sId="1">
    <nc r="V117" t="inlineStr">
      <is>
        <t>SI</t>
      </is>
    </nc>
  </rcc>
  <rcc rId="4225" sId="1">
    <nc r="W117" t="inlineStr">
      <is>
        <t>SI</t>
      </is>
    </nc>
  </rcc>
  <rcc rId="4226" sId="1">
    <nc r="Y117" t="inlineStr">
      <is>
        <t>SDE 9591</t>
      </is>
    </nc>
  </rcc>
  <rcc rId="4227" sId="1">
    <nc r="X117" t="inlineStr">
      <is>
        <t>Uso el auto de su esposo por eso la matricula es diferente a la de ella</t>
      </is>
    </nc>
  </rcc>
  <rcv guid="{D015136D-255F-4042-9389-EB535F138010}" action="delete"/>
  <rdn rId="0" localSheetId="1" customView="1" name="Z_D015136D_255F_4042_9389_EB535F138010_.wvu.FilterData" hidden="1" oldHidden="1">
    <formula>DATA!$A$1:$AK$110</formula>
    <oldFormula>DATA!$A$1:$AK$110</oldFormula>
  </rdn>
  <rcv guid="{D015136D-255F-4042-9389-EB535F138010}" action="add"/>
</revisions>
</file>

<file path=xl/revisions/revisionLog2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18" start="0" length="0">
    <dxf>
      <fill>
        <patternFill patternType="solid">
          <bgColor rgb="FF92D050"/>
        </patternFill>
      </fill>
    </dxf>
  </rfmt>
  <rcc rId="4229" sId="1" odxf="1" dxf="1">
    <nc r="B118" t="inlineStr">
      <is>
        <t>Agustin Buñevaz</t>
      </is>
    </nc>
    <ndxf>
      <fill>
        <patternFill patternType="solid">
          <bgColor rgb="FF92D050"/>
        </patternFill>
      </fill>
    </ndxf>
  </rcc>
  <rcc rId="4230" sId="1" odxf="1" dxf="1">
    <nc r="C118">
      <v>3152</v>
    </nc>
    <ndxf>
      <fill>
        <patternFill patternType="solid">
          <bgColor rgb="FF92D050"/>
        </patternFill>
      </fill>
    </ndxf>
  </rcc>
  <rfmt sheetId="1" sqref="D118" start="0" length="0">
    <dxf>
      <fill>
        <patternFill patternType="solid">
          <bgColor rgb="FF92D050"/>
        </patternFill>
      </fill>
    </dxf>
  </rfmt>
  <rfmt sheetId="1" sqref="E118" start="0" length="0">
    <dxf>
      <fill>
        <patternFill patternType="solid">
          <bgColor rgb="FF92D050"/>
        </patternFill>
      </fill>
    </dxf>
  </rfmt>
  <rfmt sheetId="1" sqref="F118" start="0" length="0">
    <dxf>
      <fill>
        <patternFill patternType="solid">
          <bgColor rgb="FF92D050"/>
        </patternFill>
      </fill>
    </dxf>
  </rfmt>
  <rfmt sheetId="1" sqref="G118" start="0" length="0">
    <dxf>
      <fill>
        <patternFill patternType="solid">
          <bgColor rgb="FF92D050"/>
        </patternFill>
      </fill>
    </dxf>
  </rfmt>
  <rfmt sheetId="1" sqref="H118" start="0" length="0">
    <dxf>
      <fill>
        <patternFill patternType="solid">
          <bgColor rgb="FF92D050"/>
        </patternFill>
      </fill>
    </dxf>
  </rfmt>
  <rfmt sheetId="1" sqref="I118" start="0" length="0">
    <dxf>
      <fill>
        <patternFill patternType="solid">
          <bgColor rgb="FF92D050"/>
        </patternFill>
      </fill>
    </dxf>
  </rfmt>
  <rcc rId="4231" sId="1" odxf="1" dxf="1">
    <nc r="J118" t="inlineStr">
      <is>
        <t>Canelones</t>
      </is>
    </nc>
    <ndxf>
      <fill>
        <patternFill patternType="solid">
          <bgColor rgb="FF92D050"/>
        </patternFill>
      </fill>
    </ndxf>
  </rcc>
  <rcc rId="4232" sId="1" odxf="1" dxf="1">
    <nc r="K118" t="inlineStr">
      <is>
        <t>Propio</t>
      </is>
    </nc>
    <ndxf>
      <fill>
        <patternFill patternType="solid">
          <bgColor rgb="FF92D050"/>
        </patternFill>
      </fill>
    </ndxf>
  </rcc>
  <rfmt sheetId="1" sqref="L118" start="0" length="0">
    <dxf>
      <fill>
        <patternFill patternType="solid">
          <bgColor rgb="FF92D050"/>
        </patternFill>
      </fill>
    </dxf>
  </rfmt>
  <rfmt sheetId="1" sqref="M118" start="0" length="0">
    <dxf>
      <fill>
        <patternFill patternType="solid">
          <bgColor rgb="FF92D050"/>
        </patternFill>
      </fill>
    </dxf>
  </rfmt>
  <rfmt sheetId="1" sqref="N118" start="0" length="0">
    <dxf>
      <fill>
        <patternFill patternType="solid">
          <bgColor rgb="FF92D050"/>
        </patternFill>
      </fill>
    </dxf>
  </rfmt>
  <rfmt sheetId="1" sqref="O118" start="0" length="0">
    <dxf>
      <fill>
        <patternFill patternType="solid">
          <bgColor rgb="FF92D050"/>
        </patternFill>
      </fill>
    </dxf>
  </rfmt>
  <rfmt sheetId="1" sqref="P118" start="0" length="0">
    <dxf>
      <fill>
        <patternFill patternType="solid">
          <bgColor rgb="FF92D050"/>
        </patternFill>
      </fill>
    </dxf>
  </rfmt>
  <rfmt sheetId="1" sqref="Q118" start="0" length="0">
    <dxf>
      <fill>
        <patternFill patternType="solid">
          <bgColor rgb="FF92D050"/>
        </patternFill>
      </fill>
    </dxf>
  </rfmt>
  <rfmt sheetId="1" sqref="R118" start="0" length="0">
    <dxf>
      <fill>
        <patternFill patternType="solid">
          <bgColor rgb="FF92D050"/>
        </patternFill>
      </fill>
    </dxf>
  </rfmt>
  <rfmt sheetId="1" sqref="S118" start="0" length="0">
    <dxf>
      <fill>
        <patternFill patternType="solid">
          <bgColor rgb="FF92D050"/>
        </patternFill>
      </fill>
    </dxf>
  </rfmt>
  <rfmt sheetId="1" sqref="T118" start="0" length="0">
    <dxf>
      <fill>
        <patternFill patternType="solid">
          <bgColor rgb="FF92D050"/>
        </patternFill>
      </fill>
    </dxf>
  </rfmt>
  <rfmt sheetId="1" sqref="U118" start="0" length="0">
    <dxf>
      <fill>
        <patternFill patternType="solid">
          <bgColor rgb="FF92D050"/>
        </patternFill>
      </fill>
    </dxf>
  </rfmt>
  <rfmt sheetId="1" sqref="V118" start="0" length="0">
    <dxf>
      <fill>
        <patternFill patternType="solid">
          <bgColor rgb="FF92D050"/>
        </patternFill>
      </fill>
    </dxf>
  </rfmt>
  <rfmt sheetId="1" sqref="W118" start="0" length="0">
    <dxf>
      <fill>
        <patternFill patternType="solid">
          <bgColor rgb="FF92D050"/>
        </patternFill>
      </fill>
    </dxf>
  </rfmt>
  <rfmt sheetId="1" sqref="X118" start="0" length="0">
    <dxf>
      <fill>
        <patternFill patternType="solid">
          <bgColor rgb="FF92D050"/>
        </patternFill>
      </fill>
    </dxf>
  </rfmt>
  <rfmt sheetId="1" sqref="Y118" start="0" length="0">
    <dxf>
      <fill>
        <patternFill patternType="solid">
          <bgColor rgb="FF92D050"/>
        </patternFill>
      </fill>
    </dxf>
  </rfmt>
  <rfmt sheetId="1" sqref="Z118" start="0" length="0">
    <dxf>
      <fill>
        <patternFill patternType="solid">
          <bgColor rgb="FF92D050"/>
        </patternFill>
      </fill>
    </dxf>
  </rfmt>
  <rfmt sheetId="1" sqref="AA118" start="0" length="0">
    <dxf>
      <fill>
        <patternFill patternType="solid">
          <bgColor rgb="FF92D050"/>
        </patternFill>
      </fill>
    </dxf>
  </rfmt>
  <rfmt sheetId="1" sqref="AB118" start="0" length="0">
    <dxf>
      <fill>
        <patternFill patternType="solid">
          <bgColor rgb="FF92D050"/>
        </patternFill>
      </fill>
    </dxf>
  </rfmt>
  <rfmt sheetId="1" sqref="AC118" start="0" length="0">
    <dxf>
      <fill>
        <patternFill patternType="solid">
          <bgColor rgb="FF92D050"/>
        </patternFill>
      </fill>
    </dxf>
  </rfmt>
  <rfmt sheetId="1" sqref="AD118" start="0" length="0">
    <dxf>
      <fill>
        <patternFill patternType="solid">
          <bgColor rgb="FF92D050"/>
        </patternFill>
      </fill>
    </dxf>
  </rfmt>
  <rfmt sheetId="1" sqref="AE118" start="0" length="0">
    <dxf>
      <fill>
        <patternFill patternType="solid">
          <bgColor rgb="FF92D050"/>
        </patternFill>
      </fill>
    </dxf>
  </rfmt>
  <rfmt sheetId="1" sqref="AF118" start="0" length="0">
    <dxf>
      <fill>
        <patternFill patternType="solid">
          <bgColor rgb="FF92D050"/>
        </patternFill>
      </fill>
    </dxf>
  </rfmt>
  <rfmt sheetId="1" sqref="AG118" start="0" length="0">
    <dxf>
      <fill>
        <patternFill patternType="solid">
          <bgColor rgb="FF92D050"/>
        </patternFill>
      </fill>
    </dxf>
  </rfmt>
  <rfmt sheetId="1" sqref="AH118" start="0" length="0">
    <dxf>
      <fill>
        <patternFill patternType="solid">
          <bgColor rgb="FF92D050"/>
        </patternFill>
      </fill>
    </dxf>
  </rfmt>
  <rfmt sheetId="1" sqref="AI118" start="0" length="0">
    <dxf>
      <fill>
        <patternFill patternType="solid">
          <bgColor rgb="FF92D050"/>
        </patternFill>
      </fill>
    </dxf>
  </rfmt>
  <rfmt sheetId="1" sqref="AJ118" start="0" length="0">
    <dxf>
      <fill>
        <patternFill patternType="solid">
          <bgColor rgb="FF92D050"/>
        </patternFill>
      </fill>
    </dxf>
  </rfmt>
  <rfmt sheetId="1" sqref="AK118" start="0" length="0">
    <dxf>
      <fill>
        <patternFill patternType="solid">
          <bgColor rgb="FF92D050"/>
        </patternFill>
      </fill>
    </dxf>
  </rfmt>
  <rcc rId="4233" sId="1">
    <nc r="A118">
      <v>117</v>
    </nc>
  </rcc>
  <rcc rId="4234" sId="1">
    <nc r="D118">
      <v>9</v>
    </nc>
  </rcc>
  <rcc rId="4235" sId="1">
    <nc r="E118" t="inlineStr">
      <is>
        <t>01/04 al 15/04/2026</t>
      </is>
    </nc>
  </rcc>
  <rcc rId="4236" sId="1" numFmtId="19">
    <nc r="F118">
      <v>46113</v>
    </nc>
  </rcc>
  <rcc rId="4237" sId="1" numFmtId="19">
    <nc r="G118">
      <v>46127</v>
    </nc>
  </rcc>
  <rcc rId="4238" sId="1">
    <nc r="M118">
      <f>+N118-H118</f>
    </nc>
  </rcc>
  <rcc rId="4239" sId="1">
    <nc r="N118">
      <f>1000+1500+1500+1560+556</f>
    </nc>
  </rcc>
  <rcc rId="4240" sId="1" numFmtId="34">
    <nc r="O118">
      <v>22</v>
    </nc>
  </rcc>
  <rcc rId="4241" sId="1">
    <nc r="Q118">
      <f>+P118+O118</f>
    </nc>
  </rcc>
  <rcc rId="4242" sId="1">
    <nc r="R118">
      <f>(N118/Q118)</f>
    </nc>
  </rcc>
  <rcc rId="4243" sId="1">
    <nc r="S118">
      <f>(('Costo por negocio'!$B$4-DATA!R118)*DATA!O118)+('Costo por negocio'!$C$4-DATA!R118)*DATA!P118</f>
    </nc>
  </rcc>
  <rcc rId="4244" sId="1" numFmtId="19">
    <nc r="T118">
      <v>46129</v>
    </nc>
  </rcc>
  <rcc rId="4245" sId="1">
    <nc r="U118" t="inlineStr">
      <is>
        <t>SI</t>
      </is>
    </nc>
  </rcc>
  <rcc rId="4246" sId="1">
    <nc r="V118" t="inlineStr">
      <is>
        <t>SI</t>
      </is>
    </nc>
  </rcc>
  <rcc rId="4247" sId="1">
    <nc r="W118" t="inlineStr">
      <is>
        <t>SI</t>
      </is>
    </nc>
  </rcc>
  <rcc rId="4248" sId="1">
    <nc r="Y118" t="inlineStr">
      <is>
        <t>SBK 2846</t>
      </is>
    </nc>
  </rcc>
  <rcv guid="{D015136D-255F-4042-9389-EB535F138010}" action="delete"/>
  <rdn rId="0" localSheetId="1" customView="1" name="Z_D015136D_255F_4042_9389_EB535F138010_.wvu.FilterData" hidden="1" oldHidden="1">
    <formula>DATA!$A$1:$AK$110</formula>
    <oldFormula>DATA!$A$1:$AK$110</oldFormula>
  </rdn>
  <rcv guid="{D015136D-255F-4042-9389-EB535F138010}" action="add"/>
</revisions>
</file>

<file path=xl/revisions/revisionLog2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19" start="0" length="0">
    <dxf>
      <fill>
        <patternFill patternType="solid">
          <bgColor rgb="FF92D050"/>
        </patternFill>
      </fill>
    </dxf>
  </rfmt>
  <rcc rId="4250" sId="1" odxf="1" dxf="1">
    <nc r="B119" t="inlineStr">
      <is>
        <t>Fernando López</t>
      </is>
    </nc>
    <ndxf>
      <fill>
        <patternFill patternType="solid">
          <bgColor rgb="FF92D050"/>
        </patternFill>
      </fill>
    </ndxf>
  </rcc>
  <rcc rId="4251" sId="1" odxf="1" dxf="1">
    <nc r="C119">
      <v>3117</v>
    </nc>
    <ndxf>
      <fill>
        <patternFill patternType="solid">
          <bgColor rgb="FF92D050"/>
        </patternFill>
      </fill>
    </ndxf>
  </rcc>
  <rfmt sheetId="1" sqref="D119" start="0" length="0">
    <dxf>
      <fill>
        <patternFill patternType="solid">
          <bgColor rgb="FF92D050"/>
        </patternFill>
      </fill>
    </dxf>
  </rfmt>
  <rfmt sheetId="1" sqref="E119" start="0" length="0">
    <dxf>
      <fill>
        <patternFill patternType="solid">
          <bgColor rgb="FF92D050"/>
        </patternFill>
      </fill>
    </dxf>
  </rfmt>
  <rfmt sheetId="1" sqref="F119" start="0" length="0">
    <dxf>
      <fill>
        <patternFill patternType="solid">
          <bgColor rgb="FF92D050"/>
        </patternFill>
      </fill>
    </dxf>
  </rfmt>
  <rfmt sheetId="1" sqref="G119" start="0" length="0">
    <dxf>
      <fill>
        <patternFill patternType="solid">
          <bgColor rgb="FF92D050"/>
        </patternFill>
      </fill>
    </dxf>
  </rfmt>
  <rfmt sheetId="1" sqref="H119" start="0" length="0">
    <dxf>
      <fill>
        <patternFill patternType="solid">
          <bgColor rgb="FF92D050"/>
        </patternFill>
      </fill>
    </dxf>
  </rfmt>
  <rfmt sheetId="1" sqref="I119" start="0" length="0">
    <dxf>
      <fill>
        <patternFill patternType="solid">
          <bgColor rgb="FF92D050"/>
        </patternFill>
      </fill>
    </dxf>
  </rfmt>
  <rcc rId="4252" sId="1" odxf="1" dxf="1">
    <nc r="J119" t="inlineStr">
      <is>
        <t>Montevideo</t>
      </is>
    </nc>
    <ndxf>
      <fill>
        <patternFill patternType="solid">
          <bgColor rgb="FF92D050"/>
        </patternFill>
      </fill>
    </ndxf>
  </rcc>
  <rfmt sheetId="1" sqref="K119" start="0" length="0">
    <dxf>
      <fill>
        <patternFill patternType="solid">
          <bgColor rgb="FF92D050"/>
        </patternFill>
      </fill>
    </dxf>
  </rfmt>
  <rfmt sheetId="1" sqref="L119" start="0" length="0">
    <dxf>
      <fill>
        <patternFill patternType="solid">
          <bgColor rgb="FF92D050"/>
        </patternFill>
      </fill>
    </dxf>
  </rfmt>
  <rfmt sheetId="1" sqref="M119" start="0" length="0">
    <dxf>
      <fill>
        <patternFill patternType="solid">
          <bgColor rgb="FF92D050"/>
        </patternFill>
      </fill>
    </dxf>
  </rfmt>
  <rfmt sheetId="1" sqref="N119" start="0" length="0">
    <dxf>
      <fill>
        <patternFill patternType="solid">
          <bgColor rgb="FF92D050"/>
        </patternFill>
      </fill>
    </dxf>
  </rfmt>
  <rfmt sheetId="1" sqref="O119" start="0" length="0">
    <dxf>
      <fill>
        <patternFill patternType="solid">
          <bgColor rgb="FF92D050"/>
        </patternFill>
      </fill>
    </dxf>
  </rfmt>
  <rfmt sheetId="1" sqref="P119" start="0" length="0">
    <dxf>
      <fill>
        <patternFill patternType="solid">
          <bgColor rgb="FF92D050"/>
        </patternFill>
      </fill>
    </dxf>
  </rfmt>
  <rfmt sheetId="1" sqref="Q119" start="0" length="0">
    <dxf>
      <fill>
        <patternFill patternType="solid">
          <bgColor rgb="FF92D050"/>
        </patternFill>
      </fill>
    </dxf>
  </rfmt>
  <rfmt sheetId="1" sqref="R119" start="0" length="0">
    <dxf>
      <fill>
        <patternFill patternType="solid">
          <bgColor rgb="FF92D050"/>
        </patternFill>
      </fill>
    </dxf>
  </rfmt>
  <rfmt sheetId="1" sqref="S119" start="0" length="0">
    <dxf>
      <fill>
        <patternFill patternType="solid">
          <bgColor rgb="FF92D050"/>
        </patternFill>
      </fill>
    </dxf>
  </rfmt>
  <rfmt sheetId="1" sqref="T119" start="0" length="0">
    <dxf>
      <fill>
        <patternFill patternType="solid">
          <bgColor rgb="FF92D050"/>
        </patternFill>
      </fill>
    </dxf>
  </rfmt>
  <rfmt sheetId="1" sqref="U119" start="0" length="0">
    <dxf>
      <fill>
        <patternFill patternType="solid">
          <bgColor rgb="FF92D050"/>
        </patternFill>
      </fill>
    </dxf>
  </rfmt>
  <rfmt sheetId="1" sqref="V119" start="0" length="0">
    <dxf>
      <fill>
        <patternFill patternType="solid">
          <bgColor rgb="FF92D050"/>
        </patternFill>
      </fill>
    </dxf>
  </rfmt>
  <rfmt sheetId="1" sqref="W119" start="0" length="0">
    <dxf>
      <fill>
        <patternFill patternType="solid">
          <bgColor rgb="FF92D050"/>
        </patternFill>
      </fill>
    </dxf>
  </rfmt>
  <rfmt sheetId="1" sqref="X119" start="0" length="0">
    <dxf>
      <fill>
        <patternFill patternType="solid">
          <bgColor rgb="FF92D050"/>
        </patternFill>
      </fill>
    </dxf>
  </rfmt>
  <rfmt sheetId="1" sqref="Y119" start="0" length="0">
    <dxf>
      <fill>
        <patternFill patternType="solid">
          <bgColor rgb="FF92D050"/>
        </patternFill>
      </fill>
    </dxf>
  </rfmt>
  <rfmt sheetId="1" sqref="Z119" start="0" length="0">
    <dxf>
      <fill>
        <patternFill patternType="solid">
          <bgColor rgb="FF92D050"/>
        </patternFill>
      </fill>
    </dxf>
  </rfmt>
  <rfmt sheetId="1" sqref="AA119" start="0" length="0">
    <dxf>
      <fill>
        <patternFill patternType="solid">
          <bgColor rgb="FF92D050"/>
        </patternFill>
      </fill>
    </dxf>
  </rfmt>
  <rfmt sheetId="1" sqref="AB119" start="0" length="0">
    <dxf>
      <fill>
        <patternFill patternType="solid">
          <bgColor rgb="FF92D050"/>
        </patternFill>
      </fill>
    </dxf>
  </rfmt>
  <rfmt sheetId="1" sqref="AC119" start="0" length="0">
    <dxf>
      <fill>
        <patternFill patternType="solid">
          <bgColor rgb="FF92D050"/>
        </patternFill>
      </fill>
    </dxf>
  </rfmt>
  <rfmt sheetId="1" sqref="AD119" start="0" length="0">
    <dxf>
      <fill>
        <patternFill patternType="solid">
          <bgColor rgb="FF92D050"/>
        </patternFill>
      </fill>
    </dxf>
  </rfmt>
  <rfmt sheetId="1" sqref="AE119" start="0" length="0">
    <dxf>
      <fill>
        <patternFill patternType="solid">
          <bgColor rgb="FF92D050"/>
        </patternFill>
      </fill>
    </dxf>
  </rfmt>
  <rfmt sheetId="1" sqref="AF119" start="0" length="0">
    <dxf>
      <fill>
        <patternFill patternType="solid">
          <bgColor rgb="FF92D050"/>
        </patternFill>
      </fill>
    </dxf>
  </rfmt>
  <rfmt sheetId="1" sqref="AG119" start="0" length="0">
    <dxf>
      <fill>
        <patternFill patternType="solid">
          <bgColor rgb="FF92D050"/>
        </patternFill>
      </fill>
    </dxf>
  </rfmt>
  <rfmt sheetId="1" sqref="AH119" start="0" length="0">
    <dxf>
      <fill>
        <patternFill patternType="solid">
          <bgColor rgb="FF92D050"/>
        </patternFill>
      </fill>
    </dxf>
  </rfmt>
  <rfmt sheetId="1" sqref="AI119" start="0" length="0">
    <dxf>
      <fill>
        <patternFill patternType="solid">
          <bgColor rgb="FF92D050"/>
        </patternFill>
      </fill>
    </dxf>
  </rfmt>
  <rfmt sheetId="1" sqref="AJ119" start="0" length="0">
    <dxf>
      <fill>
        <patternFill patternType="solid">
          <bgColor rgb="FF92D050"/>
        </patternFill>
      </fill>
    </dxf>
  </rfmt>
  <rfmt sheetId="1" sqref="AK119" start="0" length="0">
    <dxf>
      <fill>
        <patternFill patternType="solid">
          <bgColor rgb="FF92D050"/>
        </patternFill>
      </fill>
    </dxf>
  </rfmt>
  <rcc rId="4253" sId="1">
    <nc r="A119">
      <v>118</v>
    </nc>
  </rcc>
  <rcc rId="4254" sId="1">
    <nc r="D119">
      <v>9</v>
    </nc>
  </rcc>
  <rcc rId="4255" sId="1">
    <nc r="E119" t="inlineStr">
      <is>
        <t>01/04 al 15/04/2026</t>
      </is>
    </nc>
  </rcc>
  <rcc rId="4256" sId="1" numFmtId="19">
    <nc r="F119">
      <v>46113</v>
    </nc>
  </rcc>
  <rcc rId="4257" sId="1" numFmtId="19">
    <nc r="G119">
      <v>46127</v>
    </nc>
  </rcc>
  <rcc rId="4258" sId="1">
    <nc r="K119" t="inlineStr">
      <is>
        <t>Propio</t>
      </is>
    </nc>
  </rcc>
  <rcc rId="4259" sId="1">
    <nc r="M119">
      <f>+N119-H119</f>
    </nc>
  </rcc>
  <rcc rId="4260" sId="1" numFmtId="34">
    <nc r="N119">
      <v>2000</v>
    </nc>
  </rcc>
  <rcc rId="4261" sId="1" numFmtId="34">
    <nc r="O119">
      <v>5</v>
    </nc>
  </rcc>
  <rcc rId="4262" sId="1">
    <nc r="Q119">
      <f>+P119+O119</f>
    </nc>
  </rcc>
  <rcc rId="4263" sId="1">
    <nc r="R119">
      <f>(N119/Q119)</f>
    </nc>
  </rcc>
  <rcc rId="4264" sId="1">
    <nc r="S119">
      <f>(('Costo por negocio'!$B$4-DATA!R119)*DATA!O119)+('Costo por negocio'!$C$4-DATA!R119)*DATA!P119</f>
    </nc>
  </rcc>
  <rcc rId="4265" sId="1" numFmtId="19">
    <nc r="T119">
      <v>46129</v>
    </nc>
  </rcc>
  <rcc rId="4266" sId="1">
    <nc r="U119" t="inlineStr">
      <is>
        <t>SI</t>
      </is>
    </nc>
  </rcc>
  <rcc rId="4267" sId="1">
    <nc r="V119" t="inlineStr">
      <is>
        <t>SI</t>
      </is>
    </nc>
  </rcc>
  <rcc rId="4268" sId="1">
    <nc r="W119" t="inlineStr">
      <is>
        <t>SI</t>
      </is>
    </nc>
  </rcc>
  <rcc rId="4269" sId="1">
    <nc r="Y119" t="inlineStr">
      <is>
        <t>SCL 8868</t>
      </is>
    </nc>
  </rcc>
  <rcc rId="4270" sId="1" odxf="1" dxf="1">
    <nc r="A120">
      <v>119</v>
    </nc>
    <ndxf>
      <fill>
        <patternFill patternType="solid">
          <bgColor rgb="FF92D050"/>
        </patternFill>
      </fill>
    </ndxf>
  </rcc>
  <rcc rId="4271" sId="1" odxf="1" dxf="1">
    <nc r="B120" t="inlineStr">
      <is>
        <t>Luis Amicone</t>
      </is>
    </nc>
    <ndxf>
      <fill>
        <patternFill patternType="solid">
          <bgColor rgb="FF92D050"/>
        </patternFill>
      </fill>
    </ndxf>
  </rcc>
  <rcc rId="4272" sId="1" odxf="1" dxf="1">
    <nc r="C120">
      <v>3075</v>
    </nc>
    <ndxf>
      <fill>
        <patternFill patternType="solid">
          <bgColor rgb="FF92D050"/>
        </patternFill>
      </fill>
    </ndxf>
  </rcc>
  <rfmt sheetId="1" sqref="D120" start="0" length="0">
    <dxf>
      <fill>
        <patternFill patternType="solid">
          <bgColor rgb="FF92D050"/>
        </patternFill>
      </fill>
    </dxf>
  </rfmt>
  <rfmt sheetId="1" sqref="E120" start="0" length="0">
    <dxf>
      <fill>
        <patternFill patternType="solid">
          <bgColor rgb="FF92D050"/>
        </patternFill>
      </fill>
    </dxf>
  </rfmt>
  <rfmt sheetId="1" sqref="F120" start="0" length="0">
    <dxf>
      <fill>
        <patternFill patternType="solid">
          <bgColor rgb="FF92D050"/>
        </patternFill>
      </fill>
    </dxf>
  </rfmt>
  <rfmt sheetId="1" sqref="G120" start="0" length="0">
    <dxf>
      <fill>
        <patternFill patternType="solid">
          <bgColor rgb="FF92D050"/>
        </patternFill>
      </fill>
    </dxf>
  </rfmt>
  <rfmt sheetId="1" sqref="H120" start="0" length="0">
    <dxf>
      <fill>
        <patternFill patternType="solid">
          <bgColor rgb="FF92D050"/>
        </patternFill>
      </fill>
    </dxf>
  </rfmt>
  <rfmt sheetId="1" sqref="I120" start="0" length="0">
    <dxf>
      <fill>
        <patternFill patternType="solid">
          <bgColor rgb="FF92D050"/>
        </patternFill>
      </fill>
    </dxf>
  </rfmt>
  <rfmt sheetId="1" sqref="J120" start="0" length="0">
    <dxf>
      <fill>
        <patternFill patternType="solid">
          <bgColor rgb="FF92D050"/>
        </patternFill>
      </fill>
    </dxf>
  </rfmt>
  <rfmt sheetId="1" sqref="K120" start="0" length="0">
    <dxf>
      <fill>
        <patternFill patternType="solid">
          <bgColor rgb="FF92D050"/>
        </patternFill>
      </fill>
    </dxf>
  </rfmt>
  <rfmt sheetId="1" sqref="L120" start="0" length="0">
    <dxf>
      <fill>
        <patternFill patternType="solid">
          <bgColor rgb="FF92D050"/>
        </patternFill>
      </fill>
    </dxf>
  </rfmt>
  <rfmt sheetId="1" sqref="M120" start="0" length="0">
    <dxf>
      <fill>
        <patternFill patternType="solid">
          <bgColor rgb="FF92D050"/>
        </patternFill>
      </fill>
    </dxf>
  </rfmt>
  <rfmt sheetId="1" sqref="N120" start="0" length="0">
    <dxf>
      <fill>
        <patternFill patternType="solid">
          <bgColor rgb="FF92D050"/>
        </patternFill>
      </fill>
    </dxf>
  </rfmt>
  <rfmt sheetId="1" sqref="O120" start="0" length="0">
    <dxf>
      <fill>
        <patternFill patternType="solid">
          <bgColor rgb="FF92D050"/>
        </patternFill>
      </fill>
    </dxf>
  </rfmt>
  <rfmt sheetId="1" sqref="P120" start="0" length="0">
    <dxf>
      <fill>
        <patternFill patternType="solid">
          <bgColor rgb="FF92D050"/>
        </patternFill>
      </fill>
    </dxf>
  </rfmt>
  <rfmt sheetId="1" sqref="Q120" start="0" length="0">
    <dxf>
      <fill>
        <patternFill patternType="solid">
          <bgColor rgb="FF92D050"/>
        </patternFill>
      </fill>
    </dxf>
  </rfmt>
  <rfmt sheetId="1" sqref="R120" start="0" length="0">
    <dxf>
      <fill>
        <patternFill patternType="solid">
          <bgColor rgb="FF92D050"/>
        </patternFill>
      </fill>
    </dxf>
  </rfmt>
  <rfmt sheetId="1" sqref="S120" start="0" length="0">
    <dxf>
      <fill>
        <patternFill patternType="solid">
          <bgColor rgb="FF92D050"/>
        </patternFill>
      </fill>
    </dxf>
  </rfmt>
  <rfmt sheetId="1" sqref="T120" start="0" length="0">
    <dxf>
      <fill>
        <patternFill patternType="solid">
          <bgColor rgb="FF92D050"/>
        </patternFill>
      </fill>
    </dxf>
  </rfmt>
  <rfmt sheetId="1" sqref="U120" start="0" length="0">
    <dxf>
      <fill>
        <patternFill patternType="solid">
          <bgColor rgb="FF92D050"/>
        </patternFill>
      </fill>
    </dxf>
  </rfmt>
  <rfmt sheetId="1" sqref="V120" start="0" length="0">
    <dxf>
      <fill>
        <patternFill patternType="solid">
          <bgColor rgb="FF92D050"/>
        </patternFill>
      </fill>
    </dxf>
  </rfmt>
  <rfmt sheetId="1" sqref="W120" start="0" length="0">
    <dxf>
      <fill>
        <patternFill patternType="solid">
          <bgColor rgb="FF92D050"/>
        </patternFill>
      </fill>
    </dxf>
  </rfmt>
  <rfmt sheetId="1" sqref="X120" start="0" length="0">
    <dxf>
      <fill>
        <patternFill patternType="solid">
          <bgColor rgb="FF92D050"/>
        </patternFill>
      </fill>
    </dxf>
  </rfmt>
  <rfmt sheetId="1" sqref="Y120" start="0" length="0">
    <dxf>
      <fill>
        <patternFill patternType="solid">
          <bgColor rgb="FF92D050"/>
        </patternFill>
      </fill>
    </dxf>
  </rfmt>
  <rfmt sheetId="1" sqref="Z120" start="0" length="0">
    <dxf>
      <fill>
        <patternFill patternType="solid">
          <bgColor rgb="FF92D050"/>
        </patternFill>
      </fill>
    </dxf>
  </rfmt>
  <rfmt sheetId="1" sqref="AA120" start="0" length="0">
    <dxf>
      <fill>
        <patternFill patternType="solid">
          <bgColor rgb="FF92D050"/>
        </patternFill>
      </fill>
    </dxf>
  </rfmt>
  <rfmt sheetId="1" sqref="AB120" start="0" length="0">
    <dxf>
      <fill>
        <patternFill patternType="solid">
          <bgColor rgb="FF92D050"/>
        </patternFill>
      </fill>
    </dxf>
  </rfmt>
  <rfmt sheetId="1" sqref="AC120" start="0" length="0">
    <dxf>
      <fill>
        <patternFill patternType="solid">
          <bgColor rgb="FF92D050"/>
        </patternFill>
      </fill>
    </dxf>
  </rfmt>
  <rfmt sheetId="1" sqref="AD120" start="0" length="0">
    <dxf>
      <fill>
        <patternFill patternType="solid">
          <bgColor rgb="FF92D050"/>
        </patternFill>
      </fill>
    </dxf>
  </rfmt>
  <rfmt sheetId="1" sqref="AE120" start="0" length="0">
    <dxf>
      <fill>
        <patternFill patternType="solid">
          <bgColor rgb="FF92D050"/>
        </patternFill>
      </fill>
    </dxf>
  </rfmt>
  <rfmt sheetId="1" sqref="AF120" start="0" length="0">
    <dxf>
      <fill>
        <patternFill patternType="solid">
          <bgColor rgb="FF92D050"/>
        </patternFill>
      </fill>
    </dxf>
  </rfmt>
  <rfmt sheetId="1" sqref="AG120" start="0" length="0">
    <dxf>
      <fill>
        <patternFill patternType="solid">
          <bgColor rgb="FF92D050"/>
        </patternFill>
      </fill>
    </dxf>
  </rfmt>
  <rfmt sheetId="1" sqref="AH120" start="0" length="0">
    <dxf>
      <fill>
        <patternFill patternType="solid">
          <bgColor rgb="FF92D050"/>
        </patternFill>
      </fill>
    </dxf>
  </rfmt>
  <rfmt sheetId="1" sqref="AI120" start="0" length="0">
    <dxf>
      <fill>
        <patternFill patternType="solid">
          <bgColor rgb="FF92D050"/>
        </patternFill>
      </fill>
    </dxf>
  </rfmt>
  <rfmt sheetId="1" sqref="AJ120" start="0" length="0">
    <dxf>
      <fill>
        <patternFill patternType="solid">
          <bgColor rgb="FF92D050"/>
        </patternFill>
      </fill>
    </dxf>
  </rfmt>
  <rfmt sheetId="1" sqref="AK120" start="0" length="0">
    <dxf>
      <fill>
        <patternFill patternType="solid">
          <bgColor rgb="FF92D050"/>
        </patternFill>
      </fill>
    </dxf>
  </rfmt>
  <rcc rId="4273" sId="1">
    <nc r="D120">
      <v>9</v>
    </nc>
  </rcc>
  <rcc rId="4274" sId="1">
    <nc r="E120" t="inlineStr">
      <is>
        <t>01/04 al 15/04/2026</t>
      </is>
    </nc>
  </rcc>
  <rcc rId="4275" sId="1" numFmtId="19">
    <nc r="F120">
      <v>46113</v>
    </nc>
  </rcc>
  <rcc rId="4276" sId="1" numFmtId="19">
    <nc r="G120">
      <v>46127</v>
    </nc>
  </rcc>
  <rcc rId="4277" sId="1">
    <nc r="J120" t="inlineStr">
      <is>
        <t>Montevideo</t>
      </is>
    </nc>
  </rcc>
  <rcc rId="4278" sId="1">
    <nc r="K120" t="inlineStr">
      <is>
        <t>Propio</t>
      </is>
    </nc>
  </rcc>
  <rcc rId="4279" sId="1">
    <nc r="M120">
      <f>+N120-H120</f>
    </nc>
  </rcc>
  <rcc rId="4280" sId="1">
    <nc r="N120">
      <f>1000+500</f>
    </nc>
  </rcc>
  <rcc rId="4281" sId="1" numFmtId="34">
    <nc r="O120">
      <v>5</v>
    </nc>
  </rcc>
  <rcc rId="4282" sId="1">
    <nc r="Q120">
      <f>+P120+O120</f>
    </nc>
  </rcc>
  <rcc rId="4283" sId="1">
    <nc r="R120">
      <f>(N120/Q120)</f>
    </nc>
  </rcc>
  <rcc rId="4284" sId="1">
    <nc r="S120">
      <f>(('Costo por negocio'!$B$4-DATA!R120)*DATA!O120)+('Costo por negocio'!$C$4-DATA!R120)*DATA!P120</f>
    </nc>
  </rcc>
  <rcc rId="4285" sId="1" numFmtId="19">
    <nc r="T120">
      <v>46129</v>
    </nc>
  </rcc>
  <rcc rId="4286" sId="1">
    <nc r="U120" t="inlineStr">
      <is>
        <t>SI</t>
      </is>
    </nc>
  </rcc>
  <rcc rId="4287" sId="1">
    <nc r="V120" t="inlineStr">
      <is>
        <t>SI</t>
      </is>
    </nc>
  </rcc>
  <rcc rId="4288" sId="1">
    <nc r="W120" t="inlineStr">
      <is>
        <t>SI</t>
      </is>
    </nc>
  </rcc>
  <rcc rId="4289" sId="1">
    <nc r="Y120" t="inlineStr">
      <is>
        <t>SDA 5511</t>
      </is>
    </nc>
  </rcc>
  <rcv guid="{D015136D-255F-4042-9389-EB535F138010}" action="delete"/>
  <rdn rId="0" localSheetId="1" customView="1" name="Z_D015136D_255F_4042_9389_EB535F138010_.wvu.FilterData" hidden="1" oldHidden="1">
    <formula>DATA!$A$1:$AK$110</formula>
    <oldFormula>DATA!$A$1:$AK$110</oldFormula>
  </rdn>
  <rcv guid="{D015136D-255F-4042-9389-EB535F138010}" action="add"/>
</revisions>
</file>

<file path=xl/revisions/revisionLog2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91" sId="1">
    <nc r="M106">
      <f>+N106-H106</f>
    </nc>
  </rcc>
  <rcc rId="4292" sId="1">
    <nc r="N106">
      <f>3515.4+1200+500</f>
    </nc>
  </rcc>
  <rcc rId="4293" sId="1">
    <nc r="O106">
      <f>20+7</f>
    </nc>
  </rcc>
  <rcc rId="4294" sId="1">
    <nc r="Q106">
      <f>+P106+O106</f>
    </nc>
  </rcc>
  <rcc rId="4295" sId="1">
    <nc r="R106">
      <f>(N106/Q106)</f>
    </nc>
  </rcc>
  <rcc rId="4296" sId="1">
    <nc r="S106">
      <f>(('Costo por negocio'!$B$4-DATA!R106)*DATA!O106)+('Costo por negocio'!$C$4-DATA!R106)*DATA!P106</f>
    </nc>
  </rcc>
  <rcc rId="4297" sId="1" numFmtId="19">
    <nc r="T106">
      <v>46129</v>
    </nc>
  </rcc>
  <rcc rId="4298" sId="1">
    <nc r="U106" t="inlineStr">
      <is>
        <t>SI</t>
      </is>
    </nc>
  </rcc>
  <rcc rId="4299" sId="1">
    <nc r="V106" t="inlineStr">
      <is>
        <t>SI</t>
      </is>
    </nc>
  </rcc>
  <rcc rId="4300" sId="1">
    <nc r="W106" t="inlineStr">
      <is>
        <t>SI</t>
      </is>
    </nc>
  </rcc>
  <rcc rId="4301" sId="1">
    <nc r="Y106" t="inlineStr">
      <is>
        <t>BEB 9257</t>
      </is>
    </nc>
  </rcc>
  <rcc rId="4302" sId="1" numFmtId="34">
    <nc r="AD106">
      <v>88156</v>
    </nc>
  </rcc>
  <rcc rId="4303" sId="1" numFmtId="27">
    <nc r="AE106">
      <v>46125.375</v>
    </nc>
  </rcc>
  <rcc rId="4304" sId="1" numFmtId="34">
    <nc r="AF106">
      <v>88790</v>
    </nc>
  </rcc>
  <rcc rId="4305" sId="1" numFmtId="27">
    <nc r="AG106">
      <v>46129.395833333336</v>
    </nc>
  </rcc>
  <rcc rId="4306" sId="1">
    <nc r="AH106">
      <f>+AF106-AD106</f>
    </nc>
  </rcc>
  <rcc rId="4307" sId="1">
    <nc r="AI106">
      <v>4</v>
    </nc>
  </rcc>
  <rcc rId="4308" sId="1">
    <nc r="AJ106">
      <f>+AI106*5</f>
    </nc>
  </rcc>
  <rcc rId="4309" sId="1">
    <nc r="AK106">
      <f>+Q106-AJ106</f>
    </nc>
  </rcc>
  <rcc rId="4310" sId="1">
    <nc r="AM106">
      <f>+AH106/Q106</f>
    </nc>
  </rcc>
  <rcc rId="4311" sId="1">
    <nc r="AN106">
      <f>+Q106/AI106</f>
    </nc>
  </rcc>
  <rcc rId="4312" sId="1">
    <nc r="AQ106">
      <f>+N106/78.54</f>
    </nc>
  </rcc>
  <rcc rId="4313" sId="1">
    <nc r="AR106">
      <f>+AH106/11</f>
    </nc>
  </rcc>
  <rcc rId="4314" sId="1">
    <nc r="AS106">
      <f>+AR106-AQ106</f>
    </nc>
  </rcc>
  <rcc rId="4315" sId="1">
    <nc r="AT106">
      <f>+AH106/AQ106</f>
    </nc>
  </rcc>
  <rfmt sheetId="1" sqref="A106:AK106">
    <dxf>
      <fill>
        <patternFill patternType="solid">
          <bgColor rgb="FF92D050"/>
        </patternFill>
      </fill>
    </dxf>
  </rfmt>
  <rcv guid="{D015136D-255F-4042-9389-EB535F138010}" action="delete"/>
  <rdn rId="0" localSheetId="1" customView="1" name="Z_D015136D_255F_4042_9389_EB535F138010_.wvu.FilterData" hidden="1" oldHidden="1">
    <formula>DATA!$A$1:$AK$110</formula>
    <oldFormula>DATA!$A$1:$AK$110</oldFormula>
  </rdn>
  <rcv guid="{D015136D-255F-4042-9389-EB535F138010}" action="add"/>
</revisions>
</file>

<file path=xl/revisions/revisionLog2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17" sId="1">
    <nc r="M105">
      <f>+N105-H105</f>
    </nc>
  </rcc>
  <rcc rId="4318" sId="1" numFmtId="34">
    <nc r="P105">
      <v>10</v>
    </nc>
  </rcc>
  <rcc rId="4319" sId="1">
    <nc r="N105">
      <f>2900.5+2366+1900.7</f>
    </nc>
  </rcc>
  <rcc rId="4320" sId="1">
    <nc r="Q105">
      <f>+P105+O105</f>
    </nc>
  </rcc>
  <rcc rId="4321" sId="1">
    <nc r="R105">
      <f>(N105/Q105)</f>
    </nc>
  </rcc>
  <rcc rId="4322" sId="1">
    <nc r="S105">
      <f>(('Costo por negocio'!$B$4-DATA!R105)*DATA!O105)+('Costo por negocio'!$C$4-DATA!R105)*DATA!P105</f>
    </nc>
  </rcc>
  <rcc rId="4323" sId="1" numFmtId="19">
    <nc r="T105">
      <v>46129</v>
    </nc>
  </rcc>
  <rcc rId="4324" sId="1">
    <nc r="U105" t="inlineStr">
      <is>
        <t>SI</t>
      </is>
    </nc>
  </rcc>
  <rcc rId="4325" sId="1">
    <nc r="V105" t="inlineStr">
      <is>
        <t>SI</t>
      </is>
    </nc>
  </rcc>
  <rcc rId="4326" sId="1">
    <nc r="W105" t="inlineStr">
      <is>
        <t>SI</t>
      </is>
    </nc>
  </rcc>
  <rcc rId="4327" sId="1">
    <nc r="Y105" t="inlineStr">
      <is>
        <t>BEC 5630</t>
      </is>
    </nc>
  </rcc>
  <rcc rId="4328" sId="1" numFmtId="34">
    <nc r="AD105">
      <v>74886</v>
    </nc>
  </rcc>
  <rcc rId="4329" sId="1" numFmtId="27">
    <nc r="AE105">
      <v>46125.680555555555</v>
    </nc>
  </rcc>
  <rcc rId="4330" sId="1" numFmtId="34">
    <nc r="AF105">
      <v>75888</v>
    </nc>
  </rcc>
  <rcc rId="4331" sId="1" numFmtId="27">
    <nc r="AG105">
      <v>46129.375</v>
    </nc>
  </rcc>
  <rcc rId="4332" sId="1">
    <nc r="AH105">
      <f>+AF105-AD105</f>
    </nc>
  </rcc>
  <rcc rId="4333" sId="1">
    <nc r="AI105">
      <v>3</v>
    </nc>
  </rcc>
  <rcc rId="4334" sId="1">
    <nc r="AJ105">
      <f>+AI105*5</f>
    </nc>
  </rcc>
  <rcc rId="4335" sId="1">
    <nc r="AK105">
      <f>+Q105-AJ105</f>
    </nc>
  </rcc>
  <rcc rId="4336" sId="1">
    <nc r="AM105">
      <f>+AH105/Q105</f>
    </nc>
  </rcc>
  <rcc rId="4337" sId="1">
    <nc r="AN105">
      <f>+Q105/AI105</f>
    </nc>
  </rcc>
  <rcc rId="4338" sId="1">
    <nc r="AQ105">
      <f>+N105/78.54</f>
    </nc>
  </rcc>
  <rcc rId="4339" sId="1">
    <nc r="AR105">
      <f>+AH105/11</f>
    </nc>
  </rcc>
  <rcc rId="4340" sId="1">
    <nc r="AS105">
      <f>+AR105-AQ105</f>
    </nc>
  </rcc>
  <rcc rId="4341" sId="1">
    <nc r="AT105">
      <f>+AH105/AQ105</f>
    </nc>
  </rcc>
  <rfmt sheetId="1" sqref="A105:AK105">
    <dxf>
      <fill>
        <patternFill patternType="solid">
          <bgColor rgb="FF92D050"/>
        </patternFill>
      </fill>
    </dxf>
  </rfmt>
  <rcv guid="{D015136D-255F-4042-9389-EB535F138010}" action="delete"/>
  <rdn rId="0" localSheetId="1" customView="1" name="Z_D015136D_255F_4042_9389_EB535F138010_.wvu.FilterData" hidden="1" oldHidden="1">
    <formula>DATA!$A$1:$AK$110</formula>
    <oldFormula>DATA!$A$1:$AK$110</oldFormula>
  </rdn>
  <rcv guid="{D015136D-255F-4042-9389-EB535F138010}" action="add"/>
</revisions>
</file>

<file path=xl/revisions/revisionLog2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DATA!$A$1:$AK$120</formula>
    <oldFormula>DATA!$A$1:$AK$110</oldFormula>
  </rdn>
  <rcv guid="{D015136D-255F-4042-9389-EB535F138010}" action="add"/>
</revisions>
</file>

<file path=xl/revisions/revisionLog2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12:AK112">
    <dxf>
      <fill>
        <patternFill patternType="solid">
          <bgColor rgb="FFFF0000"/>
        </patternFill>
      </fill>
    </dxf>
  </rfmt>
  <rcc rId="4344" sId="1">
    <nc r="X112" t="inlineStr">
      <is>
        <t>Para Descontar saldrá con Falero</t>
      </is>
    </nc>
  </rcc>
  <rcv guid="{D015136D-255F-4042-9389-EB535F138010}" action="delete"/>
  <rdn rId="0" localSheetId="1" customView="1" name="Z_D015136D_255F_4042_9389_EB535F138010_.wvu.FilterData" hidden="1" oldHidden="1">
    <formula>DATA!$A$1:$AY$1</formula>
    <oldFormula>DATA!$A$1:$AK$120</oldFormula>
  </rdn>
  <rcv guid="{D015136D-255F-4042-9389-EB535F138010}" action="add"/>
</revisions>
</file>

<file path=xl/revisions/revisionLog2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05:AK106">
    <dxf>
      <fill>
        <patternFill>
          <bgColor rgb="FF00B050"/>
        </patternFill>
      </fill>
    </dxf>
  </rfmt>
  <rcc rId="4346" sId="1" odxf="1" dxf="1" numFmtId="19">
    <nc r="Z105">
      <v>46129</v>
    </nc>
    <odxf>
      <numFmt numFmtId="0" formatCode="General"/>
    </odxf>
    <ndxf>
      <numFmt numFmtId="19" formatCode="d/m/yyyy"/>
    </ndxf>
  </rcc>
  <rcc rId="4347" sId="1" odxf="1" dxf="1" numFmtId="19">
    <nc r="Z106">
      <v>46129</v>
    </nc>
    <odxf>
      <numFmt numFmtId="0" formatCode="General"/>
    </odxf>
    <ndxf>
      <numFmt numFmtId="19" formatCode="d/m/yyyy"/>
    </ndxf>
  </rcc>
  <rfmt sheetId="1" sqref="A115:AK120">
    <dxf>
      <fill>
        <patternFill>
          <bgColor rgb="FF00B050"/>
        </patternFill>
      </fill>
    </dxf>
  </rfmt>
  <rcc rId="4348" sId="1" odxf="1" dxf="1" numFmtId="19">
    <nc r="Z115">
      <v>46129</v>
    </nc>
    <odxf>
      <numFmt numFmtId="0" formatCode="General"/>
    </odxf>
    <ndxf>
      <numFmt numFmtId="19" formatCode="d/m/yyyy"/>
    </ndxf>
  </rcc>
  <rcc rId="4349" sId="1" odxf="1" dxf="1" numFmtId="19">
    <nc r="Z116">
      <v>46129</v>
    </nc>
    <odxf>
      <numFmt numFmtId="0" formatCode="General"/>
    </odxf>
    <ndxf>
      <numFmt numFmtId="19" formatCode="d/m/yyyy"/>
    </ndxf>
  </rcc>
  <rcc rId="4350" sId="1" odxf="1" dxf="1" numFmtId="19">
    <nc r="Z117">
      <v>46129</v>
    </nc>
    <odxf>
      <numFmt numFmtId="0" formatCode="General"/>
    </odxf>
    <ndxf>
      <numFmt numFmtId="19" formatCode="d/m/yyyy"/>
    </ndxf>
  </rcc>
  <rcc rId="4351" sId="1" odxf="1" dxf="1" numFmtId="19">
    <nc r="Z118">
      <v>46129</v>
    </nc>
    <odxf>
      <numFmt numFmtId="0" formatCode="General"/>
    </odxf>
    <ndxf>
      <numFmt numFmtId="19" formatCode="d/m/yyyy"/>
    </ndxf>
  </rcc>
  <rcc rId="4352" sId="1" odxf="1" dxf="1" numFmtId="19">
    <nc r="Z119">
      <v>46129</v>
    </nc>
    <odxf>
      <numFmt numFmtId="0" formatCode="General"/>
    </odxf>
    <ndxf>
      <numFmt numFmtId="19" formatCode="d/m/yyyy"/>
    </ndxf>
  </rcc>
  <rcc rId="4353" sId="1" odxf="1" dxf="1" numFmtId="19">
    <nc r="Z120">
      <v>46129</v>
    </nc>
    <odxf>
      <numFmt numFmtId="0" formatCode="General"/>
    </odxf>
    <ndxf>
      <numFmt numFmtId="19" formatCode="d/m/yyyy"/>
    </ndxf>
  </rcc>
  <rcv guid="{D41D3FB0-5142-496B-B92F-3F303994F17B}" action="delete"/>
  <rdn rId="0" localSheetId="1" customView="1" name="Z_D41D3FB0_5142_496B_B92F_3F303994F17B_.wvu.FilterData" hidden="1" oldHidden="1">
    <formula>DATA!$A$1:$AK$120</formula>
    <oldFormula>DATA!$A$1:$AK$109</oldFormula>
  </rdn>
  <rcv guid="{D41D3FB0-5142-496B-B92F-3F303994F17B}" action="add"/>
</revisions>
</file>

<file path=xl/revisions/revisionLog2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DATA!$A$1:$AY$1</formula>
    <oldFormula>DATA!$A$1:$AY$1</oldFormula>
  </rdn>
  <rcv guid="{D015136D-255F-4042-9389-EB535F138010}" action="add"/>
</revisions>
</file>

<file path=xl/revisions/revisionLog2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56" sId="1">
    <oc r="S92">
      <f>(('Costo por negocio'!$B$3-DATA!R92)*DATA!O92)+('Costo por negocio'!$C$3-DATA!R92)*DATA!P92</f>
    </oc>
    <nc r="S92">
      <f>(('Costo por negocio'!$B$4-DATA!R92)*DATA!O92)+('Costo por negocio'!$C$4-DATA!R92)*DATA!P92</f>
    </nc>
  </rcc>
  <rcv guid="{D015136D-255F-4042-9389-EB535F138010}" action="delete"/>
  <rdn rId="0" localSheetId="1" customView="1" name="Z_D015136D_255F_4042_9389_EB535F138010_.wvu.FilterData" hidden="1" oldHidden="1">
    <formula>DATA!$A$1:$AY$120</formula>
    <oldFormula>DATA!$A$1:$AY$1</oldFormula>
  </rdn>
  <rcv guid="{D015136D-255F-4042-9389-EB535F138010}" action="add"/>
</revisions>
</file>

<file path=xl/revisions/revisionLog2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58" sId="1">
    <oc r="S93">
      <f>(('Costo por negocio'!$B$3-DATA!R93)*DATA!O93)+('Costo por negocio'!$C$3-DATA!R93)*DATA!P93</f>
    </oc>
    <nc r="S93">
      <f>(('Costo por negocio'!$B$4-DATA!R93)*DATA!O93)+('Costo por negocio'!$C$4-DATA!R93)*DATA!P93</f>
    </nc>
  </rcc>
  <rcc rId="4359" sId="1" numFmtId="34">
    <nc r="O97">
      <v>28</v>
    </nc>
  </rcc>
  <rcc rId="4360" sId="1">
    <oc r="P97">
      <f>20+8</f>
    </oc>
    <nc r="P97"/>
  </rcc>
  <rcv guid="{D015136D-255F-4042-9389-EB535F138010}" action="delete"/>
  <rdn rId="0" localSheetId="1" customView="1" name="Z_D015136D_255F_4042_9389_EB535F138010_.wvu.FilterData" hidden="1" oldHidden="1">
    <formula>DATA!$A$1:$AY$120</formula>
    <oldFormula>DATA!$A$1:$AY$120</oldFormula>
  </rdn>
  <rcv guid="{D015136D-255F-4042-9389-EB535F138010}" action="add"/>
</revisions>
</file>

<file path=xl/revisions/revisionLog2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62" sId="1" odxf="1" dxf="1">
    <nc r="A121">
      <v>120</v>
    </nc>
    <ndxf/>
  </rcc>
  <rcc rId="4363" sId="1">
    <nc r="B121" t="inlineStr">
      <is>
        <t>Gabriela Falero</t>
      </is>
    </nc>
  </rcc>
  <rcc rId="4364" sId="1">
    <nc r="C121">
      <v>2030</v>
    </nc>
  </rcc>
  <rcc rId="4365" sId="1">
    <nc r="J121" t="inlineStr">
      <is>
        <t>Montevideo, Salto</t>
      </is>
    </nc>
  </rcc>
  <rcc rId="4366" sId="1">
    <nc r="K121" t="inlineStr">
      <is>
        <t>Alquiler</t>
      </is>
    </nc>
  </rcc>
  <rcc rId="4367" sId="1">
    <nc r="D121">
      <v>3</v>
    </nc>
  </rcc>
  <rcc rId="4368" sId="1">
    <nc r="E121" t="inlineStr">
      <is>
        <t>14/04 al 16/04/2026</t>
      </is>
    </nc>
  </rcc>
  <rcc rId="4369" sId="1" numFmtId="19">
    <nc r="F121">
      <v>46126</v>
    </nc>
  </rcc>
  <rcc rId="4370" sId="1" numFmtId="19">
    <nc r="G121">
      <v>46128</v>
    </nc>
  </rcc>
  <rcc rId="4371" sId="1">
    <nc r="I121">
      <v>3</v>
    </nc>
  </rcc>
  <rcc rId="4372" sId="1">
    <nc r="M121">
      <f>+N121-H121</f>
    </nc>
  </rcc>
  <rcc rId="4373" sId="1">
    <nc r="N121">
      <f>2890.5+2596+3634</f>
    </nc>
  </rcc>
  <rcc rId="4374" sId="1">
    <nc r="P121">
      <f>17+16</f>
    </nc>
  </rcc>
  <rcc rId="4375" sId="1">
    <nc r="Q121">
      <f>+P121+O121</f>
    </nc>
  </rcc>
  <rcc rId="4376" sId="1">
    <nc r="R121">
      <f>(N121/Q121)</f>
    </nc>
  </rcc>
  <rcc rId="4377" sId="1">
    <nc r="S121">
      <f>(('Costo por negocio'!$B$4-DATA!R121)*DATA!O121)+('Costo por negocio'!$C$4-DATA!R121)*DATA!P121</f>
    </nc>
  </rcc>
  <rcc rId="4378" sId="1">
    <nc r="U121" t="inlineStr">
      <is>
        <t>SI</t>
      </is>
    </nc>
  </rcc>
  <rcc rId="4379" sId="1">
    <nc r="V121" t="inlineStr">
      <is>
        <t>SI</t>
      </is>
    </nc>
  </rcc>
  <rcc rId="4380" sId="1">
    <nc r="W121" t="inlineStr">
      <is>
        <t>SI</t>
      </is>
    </nc>
  </rcc>
  <rcc rId="4381" sId="1" numFmtId="19">
    <nc r="T121">
      <v>46133</v>
    </nc>
  </rcc>
  <rcc rId="4382" sId="1">
    <nc r="Y121" t="inlineStr">
      <is>
        <t>BED 2990</t>
      </is>
    </nc>
  </rcc>
  <rcc rId="4383" sId="1" numFmtId="34">
    <nc r="AD121">
      <v>39788</v>
    </nc>
  </rcc>
  <rcc rId="4384" sId="1" numFmtId="27">
    <nc r="AE121">
      <v>46125.708333333336</v>
    </nc>
  </rcc>
  <rcc rId="4385" sId="1" numFmtId="34">
    <nc r="AF121">
      <v>41348</v>
    </nc>
  </rcc>
  <rcc rId="4386" sId="1" numFmtId="27">
    <nc r="AG121">
      <v>46129.381944444445</v>
    </nc>
  </rcc>
  <rcc rId="4387" sId="1">
    <nc r="AH121">
      <f>+AF121-AD121</f>
    </nc>
  </rcc>
  <rcc rId="4388" sId="1">
    <nc r="AI121">
      <v>3</v>
    </nc>
  </rcc>
  <rcc rId="4389" sId="1">
    <nc r="AJ121">
      <f>+AI121*5</f>
    </nc>
  </rcc>
  <rcc rId="4390" sId="1">
    <nc r="AK121">
      <f>+Q121-AJ121</f>
    </nc>
  </rcc>
  <rcc rId="4391" sId="1">
    <nc r="AM121">
      <f>+AH121/Q121</f>
    </nc>
  </rcc>
  <rcc rId="4392" sId="1">
    <nc r="AN121">
      <f>+Q121/AI121</f>
    </nc>
  </rcc>
  <rcc rId="4393" sId="1">
    <nc r="AQ121">
      <f>+N121/78.54</f>
    </nc>
  </rcc>
  <rcc rId="4394" sId="1">
    <nc r="AR121">
      <f>+AH121/11</f>
    </nc>
  </rcc>
  <rcc rId="4395" sId="1">
    <nc r="AS121">
      <f>+AR121-AQ121</f>
    </nc>
  </rcc>
  <rcc rId="4396" sId="1">
    <nc r="AT121">
      <f>+AH121/AQ121</f>
    </nc>
  </rcc>
  <rcc rId="4397" sId="1">
    <nc r="AU121" t="inlineStr">
      <is>
        <t>Claudia Parrilla</t>
      </is>
    </nc>
  </rcc>
  <rcc rId="4398" sId="1">
    <nc r="AV121" t="inlineStr">
      <is>
        <t>Violeta Watorek</t>
      </is>
    </nc>
  </rcc>
  <rcc rId="4399" sId="1">
    <nc r="AY121">
      <v>1</v>
    </nc>
  </rcc>
  <rfmt sheetId="1" sqref="A121:AK121">
    <dxf>
      <fill>
        <patternFill patternType="solid">
          <bgColor rgb="FF92D050"/>
        </patternFill>
      </fill>
    </dxf>
  </rfmt>
  <rcv guid="{D015136D-255F-4042-9389-EB535F138010}" action="delete"/>
  <rdn rId="0" localSheetId="1" customView="1" name="Z_D015136D_255F_4042_9389_EB535F138010_.wvu.FilterData" hidden="1" oldHidden="1">
    <formula>DATA!$A$1:$AY$120</formula>
    <oldFormula>DATA!$A$1:$AY$120</oldFormula>
  </rdn>
  <rcv guid="{D015136D-255F-4042-9389-EB535F138010}" action="add"/>
</revisions>
</file>

<file path=xl/revisions/revisionLog2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DATA!$A$1:$AY$120</formula>
    <oldFormula>DATA!$A$1:$AY$120</oldFormula>
  </rdn>
  <rcv guid="{D015136D-255F-4042-9389-EB535F138010}" action="add"/>
</revisions>
</file>

<file path=xl/revisions/revisionLog2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21:AK121">
    <dxf>
      <fill>
        <patternFill>
          <bgColor rgb="FF00B050"/>
        </patternFill>
      </fill>
    </dxf>
  </rfmt>
  <rcc rId="4402" sId="1" odxf="1" dxf="1" numFmtId="19">
    <nc r="Z121">
      <v>46133</v>
    </nc>
    <odxf>
      <numFmt numFmtId="0" formatCode="General"/>
    </odxf>
    <ndxf>
      <numFmt numFmtId="19" formatCode="d/m/yyyy"/>
    </ndxf>
  </rcc>
  <rcc rId="4403" sId="1">
    <oc r="J121" t="inlineStr">
      <is>
        <t>Montevideo, Salto</t>
      </is>
    </oc>
    <nc r="J121" t="inlineStr">
      <is>
        <t>Montevideo, Salto, Artigas</t>
      </is>
    </nc>
  </rcc>
  <rcc rId="4404" sId="1">
    <oc r="X117" t="inlineStr">
      <is>
        <t>Uso el auto de su esposo por eso la matricula es diferente a la de ella</t>
      </is>
    </oc>
    <nc r="X117" t="inlineStr">
      <is>
        <t>Usó el auto de su esposo por eso la matricula es diferente a la de ella</t>
      </is>
    </nc>
  </rcc>
</revisions>
</file>

<file path=xl/revisions/revisionLog2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05" sId="1">
    <nc r="B122" t="inlineStr">
      <is>
        <t>Ignacio Ceroni</t>
      </is>
    </nc>
  </rcc>
  <rcc rId="4406" sId="1">
    <nc r="C122">
      <v>3007</v>
    </nc>
  </rcc>
  <rcc rId="4407" sId="1">
    <nc r="D122">
      <v>4</v>
    </nc>
  </rcc>
  <rcc rId="4408" sId="1">
    <nc r="I122">
      <v>20</v>
    </nc>
  </rcc>
  <rcc rId="4409" sId="1">
    <nc r="J122" t="inlineStr">
      <is>
        <t>Montevideo, Colonia</t>
      </is>
    </nc>
  </rcc>
  <rcc rId="4410" sId="1">
    <nc r="K122" t="inlineStr">
      <is>
        <t>Alquiler</t>
      </is>
    </nc>
  </rcc>
  <rcc rId="4411" sId="1">
    <nc r="A122">
      <v>121</v>
    </nc>
  </rcc>
  <rcc rId="4412" sId="1">
    <nc r="E122" t="inlineStr">
      <is>
        <t>27/04 al 30/04/2026</t>
      </is>
    </nc>
  </rcc>
  <rcc rId="4413" sId="1" numFmtId="19">
    <nc r="F122">
      <v>46139</v>
    </nc>
  </rcc>
  <rcc rId="4414" sId="1" numFmtId="19">
    <nc r="G122">
      <v>46142</v>
    </nc>
  </rcc>
  <rcc rId="4415" sId="1" numFmtId="34">
    <nc r="H122">
      <v>6000</v>
    </nc>
  </rcc>
  <rcv guid="{D015136D-255F-4042-9389-EB535F138010}" action="delete"/>
  <rdn rId="0" localSheetId="1" customView="1" name="Z_D015136D_255F_4042_9389_EB535F138010_.wvu.FilterData" hidden="1" oldHidden="1">
    <formula>DATA!$A$1:$AK$121</formula>
    <oldFormula>DATA!$A$1:$AY$120</oldFormula>
  </rdn>
  <rcv guid="{D015136D-255F-4042-9389-EB535F138010}" action="add"/>
</revisions>
</file>

<file path=xl/revisions/revisionLog2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4417" sId="1" ref="A122:XFD122" action="insertRow"/>
  <rfmt sheetId="1" sqref="A122" start="0" length="0">
    <dxf>
      <fill>
        <patternFill patternType="none">
          <bgColor indexed="65"/>
        </patternFill>
      </fill>
    </dxf>
  </rfmt>
  <rfmt sheetId="1" sqref="B122" start="0" length="0">
    <dxf>
      <fill>
        <patternFill patternType="none">
          <bgColor indexed="65"/>
        </patternFill>
      </fill>
    </dxf>
  </rfmt>
  <rfmt sheetId="1" sqref="C122" start="0" length="0">
    <dxf>
      <fill>
        <patternFill patternType="none">
          <bgColor indexed="65"/>
        </patternFill>
      </fill>
    </dxf>
  </rfmt>
  <rfmt sheetId="1" sqref="D122" start="0" length="0">
    <dxf>
      <fill>
        <patternFill patternType="none">
          <bgColor indexed="65"/>
        </patternFill>
      </fill>
    </dxf>
  </rfmt>
  <rfmt sheetId="1" sqref="E122" start="0" length="0">
    <dxf>
      <fill>
        <patternFill patternType="none">
          <bgColor indexed="65"/>
        </patternFill>
      </fill>
    </dxf>
  </rfmt>
  <rfmt sheetId="1" sqref="F122" start="0" length="0">
    <dxf>
      <fill>
        <patternFill patternType="none">
          <bgColor indexed="65"/>
        </patternFill>
      </fill>
    </dxf>
  </rfmt>
  <rfmt sheetId="1" sqref="G122" start="0" length="0">
    <dxf>
      <fill>
        <patternFill patternType="none">
          <bgColor indexed="65"/>
        </patternFill>
      </fill>
    </dxf>
  </rfmt>
  <rfmt sheetId="1" sqref="H122" start="0" length="0">
    <dxf>
      <fill>
        <patternFill patternType="none">
          <bgColor indexed="65"/>
        </patternFill>
      </fill>
    </dxf>
  </rfmt>
  <rfmt sheetId="1" sqref="I122" start="0" length="0">
    <dxf>
      <fill>
        <patternFill patternType="none">
          <bgColor indexed="65"/>
        </patternFill>
      </fill>
    </dxf>
  </rfmt>
  <rfmt sheetId="1" sqref="J122" start="0" length="0">
    <dxf>
      <fill>
        <patternFill patternType="none">
          <bgColor indexed="65"/>
        </patternFill>
      </fill>
    </dxf>
  </rfmt>
  <rfmt sheetId="1" sqref="K122" start="0" length="0">
    <dxf>
      <fill>
        <patternFill patternType="none">
          <bgColor indexed="65"/>
        </patternFill>
      </fill>
    </dxf>
  </rfmt>
  <rfmt sheetId="1" sqref="L122" start="0" length="0">
    <dxf>
      <fill>
        <patternFill patternType="none">
          <bgColor indexed="65"/>
        </patternFill>
      </fill>
    </dxf>
  </rfmt>
  <rfmt sheetId="1" sqref="M122" start="0" length="0">
    <dxf>
      <fill>
        <patternFill patternType="none">
          <bgColor indexed="65"/>
        </patternFill>
      </fill>
    </dxf>
  </rfmt>
  <rfmt sheetId="1" sqref="N122" start="0" length="0">
    <dxf>
      <fill>
        <patternFill patternType="none">
          <bgColor indexed="65"/>
        </patternFill>
      </fill>
    </dxf>
  </rfmt>
  <rfmt sheetId="1" sqref="O122" start="0" length="0">
    <dxf>
      <fill>
        <patternFill patternType="none">
          <bgColor indexed="65"/>
        </patternFill>
      </fill>
    </dxf>
  </rfmt>
  <rfmt sheetId="1" sqref="P122" start="0" length="0">
    <dxf>
      <fill>
        <patternFill patternType="none">
          <bgColor indexed="65"/>
        </patternFill>
      </fill>
    </dxf>
  </rfmt>
  <rfmt sheetId="1" sqref="Q122" start="0" length="0">
    <dxf>
      <fill>
        <patternFill patternType="none">
          <bgColor indexed="65"/>
        </patternFill>
      </fill>
    </dxf>
  </rfmt>
  <rfmt sheetId="1" sqref="R122" start="0" length="0">
    <dxf>
      <fill>
        <patternFill patternType="none">
          <bgColor indexed="65"/>
        </patternFill>
      </fill>
    </dxf>
  </rfmt>
  <rfmt sheetId="1" sqref="S122" start="0" length="0">
    <dxf>
      <fill>
        <patternFill patternType="none">
          <bgColor indexed="65"/>
        </patternFill>
      </fill>
    </dxf>
  </rfmt>
  <rfmt sheetId="1" sqref="T122" start="0" length="0">
    <dxf>
      <fill>
        <patternFill patternType="none">
          <bgColor indexed="65"/>
        </patternFill>
      </fill>
    </dxf>
  </rfmt>
  <rfmt sheetId="1" sqref="U122" start="0" length="0">
    <dxf>
      <fill>
        <patternFill patternType="none">
          <bgColor indexed="65"/>
        </patternFill>
      </fill>
    </dxf>
  </rfmt>
  <rfmt sheetId="1" sqref="V122" start="0" length="0">
    <dxf>
      <fill>
        <patternFill patternType="none">
          <bgColor indexed="65"/>
        </patternFill>
      </fill>
    </dxf>
  </rfmt>
  <rfmt sheetId="1" sqref="W122" start="0" length="0">
    <dxf>
      <fill>
        <patternFill patternType="none">
          <bgColor indexed="65"/>
        </patternFill>
      </fill>
    </dxf>
  </rfmt>
  <rfmt sheetId="1" sqref="X122" start="0" length="0">
    <dxf>
      <fill>
        <patternFill patternType="none">
          <bgColor indexed="65"/>
        </patternFill>
      </fill>
    </dxf>
  </rfmt>
  <rfmt sheetId="1" sqref="Y122" start="0" length="0">
    <dxf>
      <fill>
        <patternFill patternType="none">
          <bgColor indexed="65"/>
        </patternFill>
      </fill>
    </dxf>
  </rfmt>
  <rfmt sheetId="1" sqref="Z122" start="0" length="0">
    <dxf>
      <numFmt numFmtId="0" formatCode="General"/>
      <fill>
        <patternFill patternType="none">
          <bgColor indexed="65"/>
        </patternFill>
      </fill>
    </dxf>
  </rfmt>
  <rfmt sheetId="1" sqref="AA122" start="0" length="0">
    <dxf>
      <fill>
        <patternFill patternType="none">
          <bgColor indexed="65"/>
        </patternFill>
      </fill>
    </dxf>
  </rfmt>
  <rfmt sheetId="1" sqref="AB122" start="0" length="0">
    <dxf>
      <fill>
        <patternFill patternType="none">
          <bgColor indexed="65"/>
        </patternFill>
      </fill>
    </dxf>
  </rfmt>
  <rfmt sheetId="1" sqref="AC122" start="0" length="0">
    <dxf>
      <fill>
        <patternFill patternType="none">
          <bgColor indexed="65"/>
        </patternFill>
      </fill>
    </dxf>
  </rfmt>
  <rfmt sheetId="1" sqref="AD122" start="0" length="0">
    <dxf>
      <fill>
        <patternFill patternType="none">
          <bgColor indexed="65"/>
        </patternFill>
      </fill>
    </dxf>
  </rfmt>
  <rfmt sheetId="1" sqref="AE122" start="0" length="0">
    <dxf>
      <fill>
        <patternFill patternType="none">
          <bgColor indexed="65"/>
        </patternFill>
      </fill>
    </dxf>
  </rfmt>
  <rfmt sheetId="1" sqref="AF122" start="0" length="0">
    <dxf>
      <fill>
        <patternFill patternType="none">
          <bgColor indexed="65"/>
        </patternFill>
      </fill>
    </dxf>
  </rfmt>
  <rfmt sheetId="1" sqref="AG122" start="0" length="0">
    <dxf>
      <fill>
        <patternFill patternType="none">
          <bgColor indexed="65"/>
        </patternFill>
      </fill>
    </dxf>
  </rfmt>
  <rfmt sheetId="1" sqref="AH122" start="0" length="0">
    <dxf>
      <fill>
        <patternFill patternType="none">
          <bgColor indexed="65"/>
        </patternFill>
      </fill>
    </dxf>
  </rfmt>
  <rfmt sheetId="1" sqref="AI122" start="0" length="0">
    <dxf>
      <fill>
        <patternFill patternType="none">
          <bgColor indexed="65"/>
        </patternFill>
      </fill>
    </dxf>
  </rfmt>
  <rfmt sheetId="1" sqref="AJ122" start="0" length="0">
    <dxf>
      <fill>
        <patternFill patternType="none">
          <bgColor indexed="65"/>
        </patternFill>
      </fill>
    </dxf>
  </rfmt>
  <rfmt sheetId="1" sqref="AK122" start="0" length="0">
    <dxf>
      <fill>
        <patternFill patternType="none">
          <bgColor indexed="65"/>
        </patternFill>
      </fill>
    </dxf>
  </rfmt>
  <rcc rId="4418" sId="1">
    <nc r="A122">
      <v>121</v>
    </nc>
  </rcc>
  <rcc rId="4419" sId="1">
    <oc r="A123">
      <v>121</v>
    </oc>
    <nc r="A123">
      <v>122</v>
    </nc>
  </rcc>
  <rcc rId="4420" sId="1">
    <nc r="B122" t="inlineStr">
      <is>
        <t>Claudia Parrilla</t>
      </is>
    </nc>
  </rcc>
  <rcc rId="4421" sId="1">
    <nc r="C122">
      <v>2005</v>
    </nc>
  </rcc>
  <rcc rId="4422" sId="1">
    <nc r="D122">
      <v>3</v>
    </nc>
  </rcc>
  <rcc rId="4423" sId="1">
    <nc r="H122">
      <f>20*278</f>
    </nc>
  </rcc>
  <rcc rId="4424" sId="1">
    <nc r="I122">
      <v>15</v>
    </nc>
  </rcc>
  <rcc rId="4425" sId="1">
    <nc r="K122" t="inlineStr">
      <is>
        <t>Alquiler</t>
      </is>
    </nc>
  </rcc>
  <rcc rId="4426" sId="1" numFmtId="19">
    <nc r="F122">
      <v>46140</v>
    </nc>
  </rcc>
  <rcc rId="4427" sId="1" numFmtId="19">
    <nc r="G122">
      <v>46142</v>
    </nc>
  </rcc>
  <rcc rId="4428" sId="1">
    <nc r="E122" t="inlineStr">
      <is>
        <t>28/04 al 30/04/2026</t>
      </is>
    </nc>
  </rcc>
  <rcc rId="4429" sId="1">
    <nc r="J122" t="inlineStr">
      <is>
        <t>Montevideo, San José</t>
      </is>
    </nc>
  </rcc>
  <rcv guid="{D015136D-255F-4042-9389-EB535F138010}" action="delete"/>
  <rdn rId="0" localSheetId="1" customView="1" name="Z_D015136D_255F_4042_9389_EB535F138010_.wvu.FilterData" hidden="1" oldHidden="1">
    <formula>DATA!$A$1:$AK$123</formula>
    <oldFormula>DATA!$A$1:$AK$121</oldFormula>
  </rdn>
  <rcv guid="{D015136D-255F-4042-9389-EB535F138010}" action="add"/>
</revisions>
</file>

<file path=xl/revisions/revisionLog2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31" sId="1">
    <nc r="B124" t="inlineStr">
      <is>
        <t>Ricardo Cardona</t>
      </is>
    </nc>
  </rcc>
  <rcc rId="4432" sId="1">
    <nc r="C124">
      <v>1512</v>
    </nc>
  </rcc>
  <rcc rId="4433" sId="1">
    <nc r="I124">
      <v>15</v>
    </nc>
  </rcc>
  <rcc rId="4434" sId="1">
    <nc r="K124" t="inlineStr">
      <is>
        <t>Alquiler</t>
      </is>
    </nc>
  </rcc>
  <rfmt sheetId="1" sqref="A122:A124">
    <dxf>
      <fill>
        <patternFill patternType="solid">
          <bgColor rgb="FFFFFF00"/>
        </patternFill>
      </fill>
    </dxf>
  </rfmt>
  <rcc rId="4435" sId="1">
    <nc r="A124">
      <v>123</v>
    </nc>
  </rcc>
  <rcc rId="4436" sId="1">
    <nc r="D124">
      <v>3</v>
    </nc>
  </rcc>
  <rcc rId="4437" sId="1">
    <nc r="E124" t="inlineStr">
      <is>
        <t>28/04 al 30/04/2026</t>
      </is>
    </nc>
  </rcc>
  <rcc rId="4438" sId="1" numFmtId="19">
    <nc r="F124">
      <v>46140</v>
    </nc>
  </rcc>
  <rcc rId="4439" sId="1" numFmtId="19">
    <nc r="G124">
      <v>46142</v>
    </nc>
  </rcc>
  <rcc rId="4440" sId="1" numFmtId="34">
    <nc r="H124">
      <v>3500</v>
    </nc>
  </rcc>
  <rcc rId="4441" sId="1">
    <nc r="J124" t="inlineStr">
      <is>
        <t>Montevideo</t>
      </is>
    </nc>
  </rcc>
  <rcv guid="{D015136D-255F-4042-9389-EB535F138010}" action="delete"/>
  <rdn rId="0" localSheetId="1" customView="1" name="Z_D015136D_255F_4042_9389_EB535F138010_.wvu.FilterData" hidden="1" oldHidden="1">
    <formula>DATA!$A$1:$AK$123</formula>
    <oldFormula>DATA!$A$1:$AK$123</oldFormula>
  </rdn>
  <rcv guid="{D015136D-255F-4042-9389-EB535F138010}" action="add"/>
</revisions>
</file>

<file path=xl/revisions/revisionLog3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22:A124">
    <dxf>
      <fill>
        <patternFill patternType="none">
          <bgColor auto="1"/>
        </patternFill>
      </fill>
    </dxf>
  </rfmt>
  <rcv guid="{D015136D-255F-4042-9389-EB535F138010}" action="delete"/>
  <rdn rId="0" localSheetId="1" customView="1" name="Z_D015136D_255F_4042_9389_EB535F138010_.wvu.FilterData" hidden="1" oldHidden="1">
    <formula>DATA!$A$1:$AK$123</formula>
    <oldFormula>DATA!$A$1:$AK$123</oldFormula>
  </rdn>
  <rcv guid="{D015136D-255F-4042-9389-EB535F138010}" action="add"/>
</revisions>
</file>

<file path=xl/revisions/revisionLog3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44" sId="1">
    <nc r="M113">
      <f>+N113-H113</f>
    </nc>
  </rcc>
  <rcc rId="4445" sId="1">
    <nc r="N113">
      <f>700+4259</f>
    </nc>
  </rcc>
  <rcc rId="4446" sId="1">
    <nc r="O113">
      <f>20+11</f>
    </nc>
  </rcc>
  <rcc rId="4447" sId="1">
    <nc r="Q113">
      <f>+P113+O113</f>
    </nc>
  </rcc>
  <rcc rId="4448" sId="1">
    <nc r="R113">
      <f>(N113/Q113)</f>
    </nc>
  </rcc>
  <rcc rId="4449" sId="1">
    <nc r="S113">
      <f>(('Costo por negocio'!$B$4-DATA!R113)*DATA!O113)+('Costo por negocio'!$C$4-DATA!R113)*DATA!P113</f>
    </nc>
  </rcc>
  <rcc rId="4450" sId="1">
    <nc r="U113" t="inlineStr">
      <is>
        <t>SI</t>
      </is>
    </nc>
  </rcc>
  <rcc rId="4451" sId="1">
    <nc r="V113" t="inlineStr">
      <is>
        <t>SI</t>
      </is>
    </nc>
  </rcc>
  <rcc rId="4452" sId="1">
    <nc r="W113" t="inlineStr">
      <is>
        <t>SI</t>
      </is>
    </nc>
  </rcc>
  <rcc rId="4453" sId="1" numFmtId="19">
    <nc r="T113">
      <v>46136</v>
    </nc>
  </rcc>
  <rcc rId="4454" sId="1">
    <nc r="Y113" t="inlineStr">
      <is>
        <t>BEC 7974</t>
      </is>
    </nc>
  </rcc>
  <rcc rId="4455" sId="1" numFmtId="34">
    <nc r="AD113">
      <v>131332</v>
    </nc>
  </rcc>
  <rcc rId="4456" sId="1" numFmtId="27">
    <nc r="AE113">
      <v>46132.375</v>
    </nc>
  </rcc>
  <rcc rId="4457" sId="1" numFmtId="34">
    <nc r="AF113">
      <v>132039</v>
    </nc>
  </rcc>
  <rcc rId="4458" sId="1" numFmtId="27">
    <nc r="AG113">
      <v>46136.395833333336</v>
    </nc>
  </rcc>
  <rcc rId="4459" sId="1">
    <nc r="AH113">
      <f>+AF113-AD113</f>
    </nc>
  </rcc>
  <rcc rId="4460" sId="1">
    <nc r="AI113">
      <v>4</v>
    </nc>
  </rcc>
  <rcc rId="4461" sId="1">
    <nc r="AJ113">
      <f>+AI113*5</f>
    </nc>
  </rcc>
  <rcc rId="4462" sId="1">
    <nc r="AK113">
      <f>+Q113-AJ113</f>
    </nc>
  </rcc>
  <rcc rId="4463" sId="1">
    <nc r="AM113">
      <f>+AH113/Q113</f>
    </nc>
  </rcc>
  <rcc rId="4464" sId="1">
    <nc r="AN113">
      <f>+Q113/AI113</f>
    </nc>
  </rcc>
  <rcc rId="4465" sId="1">
    <nc r="AQ113">
      <f>+N113/78.54</f>
    </nc>
  </rcc>
  <rcc rId="4466" sId="1">
    <nc r="AR113">
      <f>+AH113/11</f>
    </nc>
  </rcc>
  <rcc rId="4467" sId="1">
    <nc r="AS113">
      <f>+AR113-AQ113</f>
    </nc>
  </rcc>
  <rcc rId="4468" sId="1">
    <nc r="AT113">
      <f>+AH113/AQ113</f>
    </nc>
  </rcc>
  <rfmt sheetId="1" sqref="A113:AK113">
    <dxf>
      <fill>
        <patternFill patternType="solid">
          <bgColor rgb="FF92D050"/>
        </patternFill>
      </fill>
    </dxf>
  </rfmt>
  <rcv guid="{D015136D-255F-4042-9389-EB535F138010}" action="delete"/>
  <rdn rId="0" localSheetId="1" customView="1" name="Z_D015136D_255F_4042_9389_EB535F138010_.wvu.FilterData" hidden="1" oldHidden="1">
    <formula>DATA!$A$1:$AK$123</formula>
    <oldFormula>DATA!$A$1:$AK$123</oldFormula>
  </rdn>
  <rcv guid="{D015136D-255F-4042-9389-EB535F138010}" action="add"/>
</revisions>
</file>

<file path=xl/revisions/revisionLog3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70" sId="1">
    <nc r="M114">
      <f>+N114-H114</f>
    </nc>
  </rcc>
  <rcc rId="4471" sId="1">
    <nc r="N114">
      <f>2600+5+1029+1615</f>
    </nc>
  </rcc>
  <rcc rId="4472" sId="1">
    <nc r="P114">
      <f>20+3</f>
    </nc>
  </rcc>
  <rcc rId="4473" sId="1">
    <nc r="Q114">
      <f>+P114+O114</f>
    </nc>
  </rcc>
  <rcc rId="4474" sId="1">
    <nc r="R114">
      <f>(N114/Q114)</f>
    </nc>
  </rcc>
  <rcc rId="4475" sId="1">
    <nc r="S114">
      <f>(('Costo por negocio'!$B$4-DATA!R114)*DATA!O114)+('Costo por negocio'!$C$4-DATA!R114)*DATA!P114</f>
    </nc>
  </rcc>
  <rcc rId="4476" sId="1" numFmtId="19">
    <nc r="T114">
      <v>46136</v>
    </nc>
  </rcc>
  <rcc rId="4477" sId="1">
    <nc r="U114" t="inlineStr">
      <is>
        <t>SI</t>
      </is>
    </nc>
  </rcc>
  <rcc rId="4478" sId="1">
    <nc r="V114" t="inlineStr">
      <is>
        <t>SI</t>
      </is>
    </nc>
  </rcc>
  <rcc rId="4479" sId="1">
    <nc r="W114" t="inlineStr">
      <is>
        <t>SI</t>
      </is>
    </nc>
  </rcc>
  <rcc rId="4480" sId="1">
    <nc r="Y114" t="inlineStr">
      <is>
        <t>BEB 0823</t>
      </is>
    </nc>
  </rcc>
  <rcc rId="4481" sId="1" numFmtId="34">
    <nc r="AD114">
      <v>12978</v>
    </nc>
  </rcc>
  <rcc rId="4482" sId="1" numFmtId="27">
    <nc r="AE114">
      <v>46132.6875</v>
    </nc>
  </rcc>
  <rcc rId="4483" sId="1" numFmtId="34">
    <nc r="AF114">
      <v>13338</v>
    </nc>
  </rcc>
  <rcc rId="4484" sId="1" numFmtId="27">
    <nc r="AG114">
      <v>46135.684027777781</v>
    </nc>
  </rcc>
  <rcc rId="4485" sId="1">
    <nc r="AH114">
      <f>+AF114-AD114</f>
    </nc>
  </rcc>
  <rcc rId="4486" sId="1">
    <nc r="AI114">
      <v>3</v>
    </nc>
  </rcc>
  <rcc rId="4487" sId="1">
    <nc r="AJ114">
      <f>+AI114*5</f>
    </nc>
  </rcc>
  <rcc rId="4488" sId="1">
    <nc r="AK114">
      <f>+Q114-AJ114</f>
    </nc>
  </rcc>
  <rcc rId="4489" sId="1">
    <nc r="AM114">
      <f>+AH114/Q114</f>
    </nc>
  </rcc>
  <rcc rId="4490" sId="1">
    <nc r="AN114">
      <f>+Q114/AI114</f>
    </nc>
  </rcc>
  <rcc rId="4491" sId="1">
    <nc r="AQ114">
      <f>+N114/78.54</f>
    </nc>
  </rcc>
  <rcc rId="4492" sId="1">
    <nc r="AR114">
      <f>+AH114/11</f>
    </nc>
  </rcc>
  <rcc rId="4493" sId="1">
    <nc r="AS114">
      <f>+AR114-AQ114</f>
    </nc>
  </rcc>
  <rcc rId="4494" sId="1">
    <nc r="AT114">
      <f>+AH114/AQ114</f>
    </nc>
  </rcc>
  <rfmt sheetId="1" sqref="A114:AK114">
    <dxf>
      <fill>
        <patternFill patternType="solid">
          <bgColor rgb="FF92D050"/>
        </patternFill>
      </fill>
    </dxf>
  </rfmt>
  <rcv guid="{D015136D-255F-4042-9389-EB535F138010}" action="delete"/>
  <rdn rId="0" localSheetId="1" customView="1" name="Z_D015136D_255F_4042_9389_EB535F138010_.wvu.FilterData" hidden="1" oldHidden="1">
    <formula>DATA!$A$1:$AK$123</formula>
    <oldFormula>DATA!$A$1:$AK$123</oldFormula>
  </rdn>
  <rcv guid="{D015136D-255F-4042-9389-EB535F138010}" action="add"/>
</revisions>
</file>

<file path=xl/revisions/revisionLog3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96" sId="1">
    <nc r="M111">
      <f>+N111-H111</f>
    </nc>
  </rcc>
  <rcc rId="4497" sId="1">
    <oc r="J111" t="inlineStr">
      <is>
        <t>Montevideo, Canelones</t>
      </is>
    </oc>
    <nc r="J111" t="inlineStr">
      <is>
        <t>Montevideo, Canelones, San José</t>
      </is>
    </nc>
  </rcc>
  <rcc rId="4498" sId="1">
    <nc r="N111">
      <f>2531+800.9</f>
    </nc>
  </rcc>
  <rcc rId="4499" sId="1" numFmtId="34">
    <nc r="O111">
      <v>20</v>
    </nc>
  </rcc>
  <rcc rId="4500" sId="1">
    <nc r="Q111">
      <f>+P111+O111</f>
    </nc>
  </rcc>
  <rcc rId="4501" sId="1">
    <nc r="R111">
      <f>(N111/Q111)</f>
    </nc>
  </rcc>
  <rcc rId="4502" sId="1">
    <nc r="S111">
      <f>(('Costo por negocio'!$B$4-DATA!R111)*DATA!O111)+('Costo por negocio'!$C$4-DATA!R111)*DATA!P111</f>
    </nc>
  </rcc>
  <rcc rId="4503" sId="1" numFmtId="19">
    <nc r="T111">
      <v>46136</v>
    </nc>
  </rcc>
  <rcc rId="4504" sId="1">
    <nc r="U111" t="inlineStr">
      <is>
        <t>SI</t>
      </is>
    </nc>
  </rcc>
  <rcc rId="4505" sId="1">
    <nc r="V111" t="inlineStr">
      <is>
        <t>SI</t>
      </is>
    </nc>
  </rcc>
  <rcc rId="4506" sId="1">
    <nc r="W111" t="inlineStr">
      <is>
        <t>SI</t>
      </is>
    </nc>
  </rcc>
  <rcc rId="4507" sId="1">
    <nc r="Y111" t="inlineStr">
      <is>
        <t>BEB 9257</t>
      </is>
    </nc>
  </rcc>
  <rcc rId="4508" sId="1" numFmtId="34">
    <nc r="AD111">
      <v>89154</v>
    </nc>
  </rcc>
  <rcc rId="4509" sId="1" numFmtId="27">
    <nc r="AE111">
      <v>46133.375</v>
    </nc>
  </rcc>
  <rcc rId="4510" sId="1" numFmtId="34">
    <nc r="AF111">
      <v>89654</v>
    </nc>
  </rcc>
  <rcc rId="4511" sId="1" numFmtId="27">
    <nc r="AG111">
      <v>46136.375</v>
    </nc>
  </rcc>
  <rcc rId="4512" sId="1">
    <nc r="AH111">
      <f>+AF111-AD111</f>
    </nc>
  </rcc>
  <rcc rId="4513" sId="1">
    <nc r="AI111">
      <v>3</v>
    </nc>
  </rcc>
  <rcc rId="4514" sId="1">
    <nc r="AJ111">
      <f>+AI111*5</f>
    </nc>
  </rcc>
  <rcc rId="4515" sId="1">
    <nc r="AK111">
      <f>+Q111-AJ111</f>
    </nc>
  </rcc>
  <rcc rId="4516" sId="1">
    <nc r="AM111">
      <f>+AH111/Q111</f>
    </nc>
  </rcc>
  <rcc rId="4517" sId="1">
    <nc r="AN111">
      <f>+Q111/AI111</f>
    </nc>
  </rcc>
  <rcc rId="4518" sId="1">
    <nc r="AQ111">
      <f>+N111/78.54</f>
    </nc>
  </rcc>
  <rcc rId="4519" sId="1">
    <nc r="AR111">
      <f>+AH111/11</f>
    </nc>
  </rcc>
  <rcc rId="4520" sId="1">
    <nc r="AS111">
      <f>+AR111-AQ111</f>
    </nc>
  </rcc>
  <rcc rId="4521" sId="1">
    <nc r="AT111">
      <f>+AH111/AQ111</f>
    </nc>
  </rcc>
  <rfmt sheetId="1" sqref="A111:AK111">
    <dxf>
      <fill>
        <patternFill patternType="solid">
          <bgColor rgb="FF92D050"/>
        </patternFill>
      </fill>
    </dxf>
  </rfmt>
  <rcv guid="{D015136D-255F-4042-9389-EB535F138010}" action="delete"/>
  <rdn rId="0" localSheetId="1" customView="1" name="Z_D015136D_255F_4042_9389_EB535F138010_.wvu.FilterData" hidden="1" oldHidden="1">
    <formula>DATA!$A$1:$AK$123</formula>
    <oldFormula>DATA!$A$1:$AK$123</oldFormula>
  </rdn>
  <rcv guid="{D015136D-255F-4042-9389-EB535F138010}" action="add"/>
</revisions>
</file>

<file path=xl/revisions/revisionLog3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23" sId="1">
    <nc r="B125" t="inlineStr">
      <is>
        <t>Gabriela Falero</t>
      </is>
    </nc>
  </rcc>
  <rcc rId="4524" sId="1">
    <nc r="C125">
      <v>2030</v>
    </nc>
  </rcc>
  <rcc rId="4525" sId="1">
    <nc r="D125">
      <v>3</v>
    </nc>
  </rcc>
  <rcc rId="4526" sId="1" numFmtId="19">
    <nc r="F125">
      <v>46126</v>
    </nc>
  </rcc>
  <rcc rId="4527" sId="1" numFmtId="19">
    <nc r="G125">
      <v>46128</v>
    </nc>
  </rcc>
  <rcc rId="4528" sId="1">
    <nc r="I125">
      <v>3</v>
    </nc>
  </rcc>
  <rcc rId="4529" sId="1">
    <nc r="K125" t="inlineStr">
      <is>
        <t>Alquiler</t>
      </is>
    </nc>
  </rcc>
  <rcc rId="4530" sId="1">
    <nc r="A125">
      <v>124</v>
    </nc>
  </rcc>
  <rcc rId="4531" sId="1">
    <nc r="E125" t="inlineStr">
      <is>
        <t>21/04 al 23/04/2026</t>
      </is>
    </nc>
  </rcc>
  <rcc rId="4532" sId="1">
    <nc r="J125" t="inlineStr">
      <is>
        <t>Montevideo, Maldonado</t>
      </is>
    </nc>
  </rcc>
  <rcc rId="4533" sId="1">
    <nc r="M125">
      <f>+N125-H125</f>
    </nc>
  </rcc>
  <rcc rId="4534" sId="1">
    <nc r="N125">
      <f>3330+1500</f>
    </nc>
  </rcc>
  <rcc rId="4535" sId="1">
    <nc r="P125">
      <f>11+10</f>
    </nc>
  </rcc>
  <rcc rId="4536" sId="1">
    <nc r="Q125">
      <f>+P125+O125</f>
    </nc>
  </rcc>
  <rcc rId="4537" sId="1">
    <nc r="R125">
      <f>(N125/Q125)</f>
    </nc>
  </rcc>
  <rcc rId="4538" sId="1">
    <nc r="S125">
      <f>(('Costo por negocio'!$B$4-DATA!R125)*DATA!O125)+('Costo por negocio'!$C$4-DATA!R125)*DATA!P125</f>
    </nc>
  </rcc>
  <rcc rId="4539" sId="1" numFmtId="19">
    <nc r="T125">
      <v>46136</v>
    </nc>
  </rcc>
  <rcc rId="4540" sId="1">
    <nc r="U125" t="inlineStr">
      <is>
        <t>SI</t>
      </is>
    </nc>
  </rcc>
  <rcc rId="4541" sId="1">
    <nc r="V125" t="inlineStr">
      <is>
        <t>SI</t>
      </is>
    </nc>
  </rcc>
  <rcc rId="4542" sId="1">
    <nc r="W125" t="inlineStr">
      <is>
        <t>SI</t>
      </is>
    </nc>
  </rcc>
  <rcc rId="4543" sId="1">
    <nc r="Y125" t="inlineStr">
      <is>
        <t>BEC 2019</t>
      </is>
    </nc>
  </rcc>
  <rcc rId="4544" sId="1" numFmtId="34">
    <nc r="AD125">
      <v>93207</v>
    </nc>
  </rcc>
  <rcc rId="4545" sId="1" numFmtId="27">
    <nc r="AE125">
      <v>46132.677083333336</v>
    </nc>
  </rcc>
  <rcc rId="4546" sId="1" numFmtId="34">
    <nc r="AF125">
      <v>94029</v>
    </nc>
  </rcc>
  <rcc rId="4547" sId="1" numFmtId="27">
    <nc r="AG125">
      <v>46136.375</v>
    </nc>
  </rcc>
  <rcc rId="4548" sId="1">
    <nc r="AH125">
      <f>+AF125-AD125</f>
    </nc>
  </rcc>
  <rcc rId="4549" sId="1">
    <nc r="AI125">
      <v>3</v>
    </nc>
  </rcc>
  <rcc rId="4550" sId="1">
    <nc r="AJ125">
      <f>+AI125*5</f>
    </nc>
  </rcc>
  <rcc rId="4551" sId="1">
    <nc r="AK125">
      <f>+Q125-AJ125</f>
    </nc>
  </rcc>
  <rcc rId="4552" sId="1">
    <nc r="AM125">
      <f>+AH125/Q125</f>
    </nc>
  </rcc>
  <rcc rId="4553" sId="1">
    <nc r="AN125">
      <f>+Q125/AI125</f>
    </nc>
  </rcc>
  <rcc rId="4554" sId="1">
    <nc r="AQ125">
      <f>+N125/78.54</f>
    </nc>
  </rcc>
  <rcc rId="4555" sId="1">
    <nc r="AR125">
      <f>+AH125/11</f>
    </nc>
  </rcc>
  <rcc rId="4556" sId="1">
    <nc r="AS125">
      <f>+AR125-AQ125</f>
    </nc>
  </rcc>
  <rcc rId="4557" sId="1">
    <nc r="AT125">
      <f>+AH125/AQ125</f>
    </nc>
  </rcc>
  <rcc rId="4558" sId="1">
    <nc r="AU125" t="inlineStr">
      <is>
        <t>Ricardo Cardona</t>
      </is>
    </nc>
  </rcc>
  <rcc rId="4559" sId="1">
    <nc r="AV125" t="inlineStr">
      <is>
        <t>Lorena Cabrera</t>
      </is>
    </nc>
  </rcc>
  <rcc rId="4560" sId="1">
    <nc r="AY125">
      <v>1</v>
    </nc>
  </rcc>
  <rfmt sheetId="1" sqref="A125:AK125">
    <dxf>
      <fill>
        <patternFill patternType="solid">
          <bgColor rgb="FF92D050"/>
        </patternFill>
      </fill>
    </dxf>
  </rfmt>
  <rcv guid="{D015136D-255F-4042-9389-EB535F138010}" action="delete"/>
  <rdn rId="0" localSheetId="1" customView="1" name="Z_D015136D_255F_4042_9389_EB535F138010_.wvu.FilterData" hidden="1" oldHidden="1">
    <formula>DATA!$A$1:$AK$123</formula>
    <oldFormula>DATA!$A$1:$AK$123</oldFormula>
  </rdn>
  <rcv guid="{D015136D-255F-4042-9389-EB535F138010}" action="add"/>
</revisions>
</file>

<file path=xl/revisions/revisionLog3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62" sId="1">
    <oc r="N114">
      <f>2600+5+1029+1615</f>
    </oc>
    <nc r="N114">
      <f>2600.5+1029+1615</f>
    </nc>
  </rcc>
  <rcv guid="{D015136D-255F-4042-9389-EB535F138010}" action="delete"/>
  <rdn rId="0" localSheetId="1" customView="1" name="Z_D015136D_255F_4042_9389_EB535F138010_.wvu.FilterData" hidden="1" oldHidden="1">
    <formula>DATA!$A$1:$AY$1</formula>
    <oldFormula>DATA!$A$1:$AK$123</oldFormula>
  </rdn>
  <rcv guid="{D015136D-255F-4042-9389-EB535F138010}" action="add"/>
</revisions>
</file>

<file path=xl/revisions/revisionLog3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64" sId="1">
    <nc r="M110">
      <f>+N110-H110</f>
    </nc>
  </rcc>
  <rcc rId="4565" sId="1" numFmtId="34">
    <nc r="N110">
      <v>1998.7</v>
    </nc>
  </rcc>
  <rcc rId="4566" sId="1">
    <nc r="Q110">
      <f>+P110+O110</f>
    </nc>
  </rcc>
  <rcc rId="4567" sId="1">
    <nc r="R110">
      <f>(N110/Q110)</f>
    </nc>
  </rcc>
  <rcc rId="4568" sId="1">
    <nc r="S110">
      <f>(('Costo por negocio'!$B$4-DATA!R110)*DATA!O110)+('Costo por negocio'!$C$4-DATA!R110)*DATA!P110</f>
    </nc>
  </rcc>
  <rcc rId="4569" sId="1" numFmtId="19">
    <nc r="T110">
      <v>46136</v>
    </nc>
  </rcc>
  <rcc rId="4570" sId="1">
    <nc r="U110" t="inlineStr">
      <is>
        <t>SI</t>
      </is>
    </nc>
  </rcc>
  <rcc rId="4571" sId="1">
    <nc r="V110" t="inlineStr">
      <is>
        <t>SI</t>
      </is>
    </nc>
  </rcc>
  <rcc rId="4572" sId="1">
    <nc r="W110" t="inlineStr">
      <is>
        <t>SI</t>
      </is>
    </nc>
  </rcc>
  <rcc rId="4573" sId="1">
    <nc r="Y110" t="inlineStr">
      <is>
        <t>AAL 4303</t>
      </is>
    </nc>
  </rcc>
  <rcc rId="4574" sId="1" numFmtId="34">
    <nc r="AD110">
      <v>41403</v>
    </nc>
  </rcc>
  <rcc rId="4575" sId="1" numFmtId="27">
    <nc r="AE110">
      <v>46132.708333333336</v>
    </nc>
  </rcc>
  <rcc rId="4576" sId="1" numFmtId="34">
    <nc r="AF110">
      <v>43705</v>
    </nc>
  </rcc>
  <rcc rId="4577" sId="1">
    <nc r="AH110">
      <f>+AF110-AD110</f>
    </nc>
  </rcc>
  <rcc rId="4578" sId="1" numFmtId="27">
    <nc r="AG110">
      <v>46136.392361111109</v>
    </nc>
  </rcc>
  <rcc rId="4579" sId="1">
    <nc r="AI110">
      <v>3</v>
    </nc>
  </rcc>
  <rcc rId="4580" sId="1">
    <nc r="AJ110">
      <f>+AI110*5</f>
    </nc>
  </rcc>
  <rcc rId="4581" sId="1">
    <nc r="AK110">
      <f>+Q110-AJ110</f>
    </nc>
  </rcc>
  <rcc rId="4582" sId="1">
    <nc r="AM110">
      <f>+AH110/Q110</f>
    </nc>
  </rcc>
  <rcc rId="4583" sId="1">
    <nc r="AN110">
      <f>+Q110/AI110</f>
    </nc>
  </rcc>
  <rcc rId="4584" sId="1">
    <nc r="AQ110">
      <f>+N110/78.54</f>
    </nc>
  </rcc>
  <rcc rId="4585" sId="1">
    <nc r="AR110">
      <f>+AH110/11</f>
    </nc>
  </rcc>
  <rcc rId="4586" sId="1">
    <nc r="AS110">
      <f>+AR110-AQ110</f>
    </nc>
  </rcc>
  <rcc rId="4587" sId="1">
    <nc r="AT110">
      <f>+AH110/AQ110</f>
    </nc>
  </rcc>
  <rfmt sheetId="1" sqref="A110:AK110">
    <dxf>
      <fill>
        <patternFill patternType="solid">
          <bgColor rgb="FFFFC000"/>
        </patternFill>
      </fill>
    </dxf>
  </rfmt>
  <rcc rId="4588" sId="1" numFmtId="34">
    <nc r="O110">
      <v>15</v>
    </nc>
  </rcc>
  <rcv guid="{D015136D-255F-4042-9389-EB535F138010}" action="delete"/>
  <rdn rId="0" localSheetId="1" customView="1" name="Z_D015136D_255F_4042_9389_EB535F138010_.wvu.FilterData" hidden="1" oldHidden="1">
    <formula>DATA!$A$1:$AY$1</formula>
    <oldFormula>DATA!$A$1:$AY$1</oldFormula>
  </rdn>
  <rcv guid="{D015136D-255F-4042-9389-EB535F138010}" action="add"/>
</revisions>
</file>

<file path=xl/revisions/revisionLog3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DATA!$A$1:$AY$1</formula>
    <oldFormula>DATA!$A$1:$AY$1</oldFormula>
  </rdn>
  <rcv guid="{D015136D-255F-4042-9389-EB535F138010}" action="add"/>
</revisions>
</file>

<file path=xl/revisions/revisionLog3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25:AK125">
    <dxf>
      <fill>
        <patternFill>
          <bgColor rgb="FF00B050"/>
        </patternFill>
      </fill>
    </dxf>
  </rfmt>
  <rcc rId="4591" sId="1" odxf="1" dxf="1" numFmtId="19">
    <nc r="Z125">
      <v>46136</v>
    </nc>
    <odxf>
      <numFmt numFmtId="0" formatCode="General"/>
    </odxf>
    <ndxf>
      <numFmt numFmtId="19" formatCode="d/m/yyyy"/>
    </ndxf>
  </rcc>
</revisions>
</file>

<file path=xl/revisions/revisionLog3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92" sId="1">
    <nc r="B127" t="inlineStr">
      <is>
        <t>Lucia Santamaría</t>
      </is>
    </nc>
  </rcc>
  <rcc rId="4593" sId="1">
    <nc r="C127">
      <v>3065</v>
    </nc>
  </rcc>
  <rcc rId="4594" sId="1">
    <nc r="J127" t="inlineStr">
      <is>
        <t>Montevideo</t>
      </is>
    </nc>
  </rcc>
  <rcc rId="4595" sId="1">
    <nc r="B126" t="inlineStr">
      <is>
        <t>Agustin Buñevaz</t>
      </is>
    </nc>
  </rcc>
  <rcc rId="4596" sId="1">
    <nc r="C126">
      <v>3152</v>
    </nc>
  </rcc>
  <rcc rId="4597" sId="1">
    <nc r="D126">
      <v>14</v>
    </nc>
  </rcc>
  <rcc rId="4598" sId="1">
    <nc r="E126" t="inlineStr">
      <is>
        <t>12/03 al 31/03/2026</t>
      </is>
    </nc>
  </rcc>
  <rcc rId="4599" sId="1" numFmtId="19">
    <nc r="F126">
      <v>46093</v>
    </nc>
  </rcc>
  <rcc rId="4600" sId="1" numFmtId="19">
    <nc r="G126">
      <v>46112</v>
    </nc>
  </rcc>
  <rcc rId="4601" sId="1">
    <nc r="J126" t="inlineStr">
      <is>
        <t>Canelones</t>
      </is>
    </nc>
  </rcc>
  <rcc rId="4602" sId="1">
    <nc r="A126">
      <v>125</v>
    </nc>
  </rcc>
  <rcc rId="4603" sId="1">
    <nc r="K126" t="inlineStr">
      <is>
        <t>Alquiler</t>
      </is>
    </nc>
  </rcc>
  <rcc rId="4604" sId="1">
    <nc r="K127" t="inlineStr">
      <is>
        <t>Alquiler</t>
      </is>
    </nc>
  </rcc>
  <rcc rId="4605" sId="1">
    <nc r="M126">
      <f>+N126-H126</f>
    </nc>
  </rcc>
  <rcc rId="4606" sId="1">
    <nc r="M127">
      <f>+N127-H127</f>
    </nc>
  </rcc>
  <rcc rId="4607" sId="1" numFmtId="34">
    <nc r="N126">
      <v>2502</v>
    </nc>
  </rcc>
  <rcc rId="4608" sId="1" numFmtId="34">
    <nc r="O126">
      <v>9</v>
    </nc>
  </rcc>
  <rcc rId="4609" sId="1">
    <nc r="Q126">
      <f>+P126+O126</f>
    </nc>
  </rcc>
  <rcc rId="4610" sId="1">
    <nc r="R126">
      <f>(N126/Q126)</f>
    </nc>
  </rcc>
  <rcc rId="4611" sId="1">
    <nc r="S126">
      <f>(('Costo por negocio'!$B$4-DATA!R126)*DATA!O126)+('Costo por negocio'!$C$4-DATA!R126)*DATA!P126</f>
    </nc>
  </rcc>
  <rcc rId="4612" sId="1">
    <nc r="U126" t="inlineStr">
      <is>
        <t>SI</t>
      </is>
    </nc>
  </rcc>
  <rcc rId="4613" sId="1">
    <nc r="V126" t="inlineStr">
      <is>
        <t>SI</t>
      </is>
    </nc>
  </rcc>
  <rcc rId="4614" sId="1">
    <nc r="W126" t="inlineStr">
      <is>
        <t>SI</t>
      </is>
    </nc>
  </rcc>
  <rcc rId="4615" sId="1" numFmtId="19">
    <nc r="T126">
      <v>46140</v>
    </nc>
  </rcc>
  <rcc rId="4616" sId="1">
    <nc r="Y126" t="inlineStr">
      <is>
        <t>BED 8198</t>
      </is>
    </nc>
  </rcc>
  <rcc rId="4617" sId="1" numFmtId="34">
    <nc r="AD126">
      <v>111531</v>
    </nc>
  </rcc>
  <rcc rId="4618" sId="1" numFmtId="27">
    <nc r="AE126">
      <v>46134.708333333336</v>
    </nc>
  </rcc>
  <rcc rId="4619" sId="1" numFmtId="34">
    <nc r="AF126">
      <v>111826</v>
    </nc>
  </rcc>
  <rcc rId="4620" sId="1" numFmtId="27">
    <nc r="AG126">
      <v>46136.6875</v>
    </nc>
  </rcc>
  <rcc rId="4621" sId="1">
    <nc r="AH126">
      <f>+AF126-AD126</f>
    </nc>
  </rcc>
  <rcc rId="4622" sId="1">
    <nc r="AI126">
      <v>3</v>
    </nc>
  </rcc>
  <rcc rId="4623" sId="1">
    <nc r="AJ126">
      <f>+AI126*5</f>
    </nc>
  </rcc>
  <rcc rId="4624" sId="1">
    <nc r="AK126">
      <f>+Q126-AJ126</f>
    </nc>
  </rcc>
  <rcc rId="4625" sId="1">
    <nc r="AM126">
      <f>+AH126/Q126</f>
    </nc>
  </rcc>
  <rcc rId="4626" sId="1">
    <nc r="AN126">
      <f>+Q126/AI126</f>
    </nc>
  </rcc>
  <rcc rId="4627" sId="1">
    <nc r="AQ126">
      <f>+N126/78.54</f>
    </nc>
  </rcc>
  <rcc rId="4628" sId="1">
    <nc r="AR126">
      <f>+AH126/11</f>
    </nc>
  </rcc>
  <rcc rId="4629" sId="1">
    <nc r="AS126">
      <f>+AR126-AQ126</f>
    </nc>
  </rcc>
  <rcc rId="4630" sId="1">
    <nc r="AT126">
      <f>+AH126/AQ126</f>
    </nc>
  </rcc>
  <rfmt sheetId="1" sqref="A126:AK126">
    <dxf>
      <fill>
        <patternFill patternType="solid">
          <bgColor rgb="FF92D050"/>
        </patternFill>
      </fill>
    </dxf>
  </rfmt>
  <rcc rId="4631" sId="1">
    <nc r="A127">
      <v>126</v>
    </nc>
  </rcc>
  <rcc rId="4632" sId="1">
    <nc r="E127" t="inlineStr">
      <is>
        <t>23/04 al 24/04/2026</t>
      </is>
    </nc>
  </rcc>
  <rcc rId="4633" sId="1" numFmtId="19">
    <nc r="F127">
      <v>46135</v>
    </nc>
  </rcc>
  <rcc rId="4634" sId="1" numFmtId="19">
    <nc r="G127">
      <v>46136</v>
    </nc>
  </rcc>
  <rcc rId="4635" sId="1">
    <nc r="D127">
      <v>2</v>
    </nc>
  </rcc>
  <rcc rId="4636" sId="1" numFmtId="34">
    <nc r="N127">
      <v>1899.61</v>
    </nc>
  </rcc>
  <rcc rId="4637" sId="1">
    <nc r="O127">
      <f>20+5</f>
    </nc>
  </rcc>
  <rcc rId="4638" sId="1">
    <nc r="Q127">
      <f>+P127+O127</f>
    </nc>
  </rcc>
  <rcc rId="4639" sId="1">
    <nc r="R127">
      <f>(N127/Q127)</f>
    </nc>
  </rcc>
  <rcc rId="4640" sId="1">
    <nc r="S127">
      <f>(('Costo por negocio'!$B$4-DATA!R127)*DATA!O127)+('Costo por negocio'!$C$4-DATA!R127)*DATA!P127</f>
    </nc>
  </rcc>
  <rcc rId="4641" sId="1" numFmtId="19">
    <nc r="T127">
      <v>46140</v>
    </nc>
  </rcc>
  <rcc rId="4642" sId="1">
    <nc r="U127" t="inlineStr">
      <is>
        <t>SI</t>
      </is>
    </nc>
  </rcc>
  <rcc rId="4643" sId="1">
    <nc r="V127" t="inlineStr">
      <is>
        <t>SI</t>
      </is>
    </nc>
  </rcc>
  <rcc rId="4644" sId="1">
    <nc r="W127" t="inlineStr">
      <is>
        <t>SI</t>
      </is>
    </nc>
  </rcc>
  <rcc rId="4645" sId="1">
    <nc r="Y127" t="inlineStr">
      <is>
        <t>BEC 5185</t>
      </is>
    </nc>
  </rcc>
  <rcc rId="4646" sId="1" numFmtId="34">
    <nc r="AD127">
      <v>61688</v>
    </nc>
  </rcc>
  <rcc rId="4647" sId="1" numFmtId="27">
    <nc r="AE127">
      <v>46135.454861111109</v>
    </nc>
  </rcc>
  <rcc rId="4648" sId="1" numFmtId="34">
    <nc r="AF127">
      <v>61853</v>
    </nc>
  </rcc>
  <rcc rId="4649" sId="1" numFmtId="27">
    <nc r="AG127">
      <v>46137.402777777781</v>
    </nc>
  </rcc>
  <rcc rId="4650" sId="1">
    <nc r="AH127">
      <f>+AF127-AD127</f>
    </nc>
  </rcc>
  <rcc rId="4651" sId="1">
    <nc r="AI127">
      <v>3</v>
    </nc>
  </rcc>
  <rcc rId="4652" sId="1">
    <nc r="AJ127">
      <f>+AI127*5</f>
    </nc>
  </rcc>
  <rcc rId="4653" sId="1">
    <nc r="AK127">
      <f>+Q127-AJ127</f>
    </nc>
  </rcc>
  <rcc rId="4654" sId="1">
    <nc r="AM127">
      <f>+AH127/Q127</f>
    </nc>
  </rcc>
  <rcc rId="4655" sId="1">
    <nc r="AN127">
      <f>+Q127/AI127</f>
    </nc>
  </rcc>
  <rcc rId="4656" sId="1">
    <nc r="AQ127">
      <f>+N127/78.54</f>
    </nc>
  </rcc>
  <rcc rId="4657" sId="1">
    <nc r="AR127">
      <f>+AH127/11</f>
    </nc>
  </rcc>
  <rcc rId="4658" sId="1">
    <nc r="AS127">
      <f>+AR127-AQ127</f>
    </nc>
  </rcc>
  <rcc rId="4659" sId="1">
    <nc r="AT127">
      <f>+AH127/AQ127</f>
    </nc>
  </rcc>
  <rfmt sheetId="1" sqref="A127:AK127">
    <dxf>
      <fill>
        <patternFill patternType="solid">
          <bgColor rgb="FF92D050"/>
        </patternFill>
      </fill>
    </dxf>
  </rfmt>
  <rcc rId="4660" sId="1">
    <nc r="B128" t="inlineStr">
      <is>
        <t>Lorena Cabrera</t>
      </is>
    </nc>
  </rcc>
  <rcc rId="4661" sId="1">
    <nc r="C128">
      <v>1618</v>
    </nc>
  </rcc>
  <rcc rId="4662" sId="1">
    <nc r="D128">
      <v>3</v>
    </nc>
  </rcc>
  <rcc rId="4663" sId="1">
    <nc r="I128">
      <v>15</v>
    </nc>
  </rcc>
  <rcc rId="4664" sId="1">
    <nc r="K128" t="inlineStr">
      <is>
        <t>Alquiler</t>
      </is>
    </nc>
  </rcc>
  <rcc rId="4665" sId="1">
    <nc r="A128">
      <v>127</v>
    </nc>
  </rcc>
  <rcc rId="4666" sId="1">
    <nc r="E128" t="inlineStr">
      <is>
        <t>14/04 al 16/04/2026</t>
      </is>
    </nc>
  </rcc>
  <rcc rId="4667" sId="1" numFmtId="19">
    <nc r="F128">
      <v>46126</v>
    </nc>
  </rcc>
  <rcc rId="4668" sId="1" numFmtId="19">
    <nc r="G128">
      <v>46128</v>
    </nc>
  </rcc>
  <rcc rId="4669" sId="1">
    <nc r="J128" t="inlineStr">
      <is>
        <t>Canelones, Maldonado, Lavalleja</t>
      </is>
    </nc>
  </rcc>
  <rcc rId="4670" sId="1">
    <nc r="M128">
      <f>+N128-H128</f>
    </nc>
  </rcc>
  <rcc rId="4671" sId="1" numFmtId="34">
    <nc r="N128">
      <v>3631</v>
    </nc>
  </rcc>
  <rcc rId="4672" sId="1" numFmtId="34">
    <nc r="O128">
      <v>5</v>
    </nc>
  </rcc>
  <rcc rId="4673" sId="1">
    <nc r="Q128">
      <f>+P128+O128</f>
    </nc>
  </rcc>
  <rcc rId="4674" sId="1">
    <nc r="R128">
      <f>(N128/Q128)</f>
    </nc>
  </rcc>
  <rcc rId="4675" sId="1">
    <nc r="S128">
      <f>(('Costo por negocio'!$B$4-DATA!R128)*DATA!O128)+('Costo por negocio'!$C$4-DATA!R128)*DATA!P128</f>
    </nc>
  </rcc>
  <rcc rId="4676" sId="1" numFmtId="19">
    <nc r="T128">
      <v>46140</v>
    </nc>
  </rcc>
  <rcc rId="4677" sId="1">
    <nc r="U128" t="inlineStr">
      <is>
        <t>SI</t>
      </is>
    </nc>
  </rcc>
  <rcc rId="4678" sId="1">
    <nc r="V128" t="inlineStr">
      <is>
        <t>SI</t>
      </is>
    </nc>
  </rcc>
  <rcc rId="4679" sId="1">
    <nc r="W128" t="inlineStr">
      <is>
        <t>SI</t>
      </is>
    </nc>
  </rcc>
  <rcc rId="4680" sId="1">
    <nc r="Y128" t="inlineStr">
      <is>
        <t>BED 4219</t>
      </is>
    </nc>
  </rcc>
  <rcc rId="4681" sId="1" numFmtId="34">
    <nc r="AD128">
      <v>137003</v>
    </nc>
  </rcc>
  <rcc rId="4682" sId="1" numFmtId="27">
    <nc r="AE128">
      <v>46125.708333333336</v>
    </nc>
  </rcc>
  <rcc rId="4683" sId="1">
    <nc r="AI128">
      <v>3</v>
    </nc>
  </rcc>
  <rcc rId="4684" sId="1">
    <nc r="AJ128">
      <f>+AI128*5</f>
    </nc>
  </rcc>
  <rcc rId="4685" sId="1">
    <nc r="AK128">
      <f>+Q128-AJ128</f>
    </nc>
  </rcc>
  <rcc rId="4686" sId="1">
    <nc r="AM128">
      <f>+AH128/Q128</f>
    </nc>
  </rcc>
  <rcc rId="4687" sId="1">
    <nc r="AN128">
      <f>+Q128/AI128</f>
    </nc>
  </rcc>
  <rcc rId="4688" sId="1">
    <nc r="AQ128">
      <f>+N128/78.54</f>
    </nc>
  </rcc>
  <rcc rId="4689" sId="1">
    <nc r="AR128">
      <f>+AH128/11</f>
    </nc>
  </rcc>
  <rcc rId="4690" sId="1">
    <nc r="AS128">
      <f>+AR128-AQ128</f>
    </nc>
  </rcc>
  <rcc rId="4691" sId="1">
    <nc r="AT128">
      <f>+AH128/AQ128</f>
    </nc>
  </rcc>
  <rcv guid="{D015136D-255F-4042-9389-EB535F138010}" action="delete"/>
  <rdn rId="0" localSheetId="1" customView="1" name="Z_D015136D_255F_4042_9389_EB535F138010_.wvu.FilterData" hidden="1" oldHidden="1">
    <formula>DATA!$A$1:$AY$1</formula>
    <oldFormula>DATA!$A$1:$AY$1</oldFormula>
  </rdn>
  <rcv guid="{D015136D-255F-4042-9389-EB535F138010}" action="add"/>
</revisions>
</file>

<file path=xl/revisions/revisionLog3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93" sId="1" numFmtId="34">
    <nc r="AF128">
      <v>137834</v>
    </nc>
  </rcc>
  <rcc rId="4694" sId="1" numFmtId="27">
    <nc r="AG128">
      <v>46129.375</v>
    </nc>
  </rcc>
  <rcc rId="4695" sId="1">
    <nc r="AH128">
      <f>+AF128-AD128</f>
    </nc>
  </rcc>
  <rfmt sheetId="1" sqref="A128:AK128">
    <dxf>
      <fill>
        <patternFill patternType="solid">
          <bgColor rgb="FF92D050"/>
        </patternFill>
      </fill>
    </dxf>
  </rfmt>
</revisions>
</file>

<file path=xl/revisions/revisionLog3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96" sId="1">
    <nc r="I127">
      <v>10</v>
    </nc>
  </rcc>
  <rcc rId="4697" sId="1">
    <oc r="D126">
      <v>14</v>
    </oc>
    <nc r="D126">
      <v>2</v>
    </nc>
  </rcc>
  <rcc rId="4698" sId="1">
    <oc r="E126" t="inlineStr">
      <is>
        <t>12/03 al 31/03/2026</t>
      </is>
    </oc>
    <nc r="E126" t="inlineStr">
      <is>
        <t>23/04 al 24/04/2026</t>
      </is>
    </nc>
  </rcc>
  <rcc rId="4699" sId="1" numFmtId="19">
    <oc r="F126">
      <v>46093</v>
    </oc>
    <nc r="F126">
      <v>46135</v>
    </nc>
  </rcc>
  <rcc rId="4700" sId="1" numFmtId="19">
    <oc r="G126">
      <v>46112</v>
    </oc>
    <nc r="G126">
      <v>46136</v>
    </nc>
  </rcc>
  <rcc rId="4701" sId="1">
    <nc r="I126">
      <v>10</v>
    </nc>
  </rcc>
  <rcv guid="{D015136D-255F-4042-9389-EB535F138010}" action="delete"/>
  <rdn rId="0" localSheetId="1" customView="1" name="Z_D015136D_255F_4042_9389_EB535F138010_.wvu.FilterData" hidden="1" oldHidden="1">
    <formula>DATA!$A$1:$AY$128</formula>
    <oldFormula>DATA!$A$1:$AY$1</oldFormula>
  </rdn>
  <rcv guid="{D015136D-255F-4042-9389-EB535F138010}" action="add"/>
</revisions>
</file>

<file path=xl/revisions/revisionLog3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03" sId="1">
    <nc r="B129" t="inlineStr">
      <is>
        <t>Claudia Parrilla</t>
      </is>
    </nc>
  </rcc>
  <rcc rId="4704" sId="1">
    <nc r="C129">
      <v>2005</v>
    </nc>
  </rcc>
  <rcc rId="4705" sId="1">
    <nc r="D129">
      <v>3</v>
    </nc>
  </rcc>
  <rcc rId="4706" sId="1">
    <nc r="H129">
      <f>20*278</f>
    </nc>
  </rcc>
  <rcc rId="4707" sId="1">
    <nc r="I129">
      <v>15</v>
    </nc>
  </rcc>
  <rcc rId="4708" sId="1">
    <nc r="J129" t="inlineStr">
      <is>
        <t>Montevideo, San José</t>
      </is>
    </nc>
  </rcc>
  <rcc rId="4709" sId="1">
    <nc r="K129" t="inlineStr">
      <is>
        <t>Alquiler</t>
      </is>
    </nc>
  </rcc>
  <rfmt sheetId="1" sqref="A129">
    <dxf>
      <fill>
        <patternFill patternType="solid">
          <bgColor rgb="FFFFFF00"/>
        </patternFill>
      </fill>
    </dxf>
  </rfmt>
  <rcc rId="4710" sId="1">
    <nc r="E129" t="inlineStr">
      <is>
        <t>05/05 al 07/05/2026</t>
      </is>
    </nc>
  </rcc>
  <rcc rId="4711" sId="1" numFmtId="19">
    <nc r="F129">
      <v>46147</v>
    </nc>
  </rcc>
  <rcc rId="4712" sId="1" numFmtId="19">
    <nc r="G129">
      <v>46149</v>
    </nc>
  </rcc>
  <rcv guid="{D015136D-255F-4042-9389-EB535F138010}" action="delete"/>
  <rdn rId="0" localSheetId="1" customView="1" name="Z_D015136D_255F_4042_9389_EB535F138010_.wvu.FilterData" hidden="1" oldHidden="1">
    <formula>DATA!$A$1:$AY$128</formula>
    <oldFormula>DATA!$A$1:$AY$128</oldFormula>
  </rdn>
  <rcv guid="{D015136D-255F-4042-9389-EB535F138010}" action="add"/>
</revisions>
</file>

<file path=xl/revisions/revisionLog3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30" start="0" length="0">
    <dxf>
      <fill>
        <patternFill patternType="solid">
          <bgColor rgb="FFFFFF00"/>
        </patternFill>
      </fill>
    </dxf>
  </rfmt>
  <rcc rId="4714" sId="1">
    <nc r="B130" t="inlineStr">
      <is>
        <t>Ricardo Cardona</t>
      </is>
    </nc>
  </rcc>
  <rcc rId="4715" sId="1">
    <nc r="C130">
      <v>1512</v>
    </nc>
  </rcc>
  <rcc rId="4716" sId="1">
    <nc r="I130">
      <v>15</v>
    </nc>
  </rcc>
  <rcc rId="4717" sId="1">
    <nc r="K130" t="inlineStr">
      <is>
        <t>Alquiler</t>
      </is>
    </nc>
  </rcc>
  <rcc rId="4718" sId="1">
    <nc r="J130" t="inlineStr">
      <is>
        <t>Montevideo, Flores, Durazno</t>
      </is>
    </nc>
  </rcc>
  <rcc rId="4719" sId="1">
    <nc r="D130">
      <v>3</v>
    </nc>
  </rcc>
  <rcc rId="4720" sId="1">
    <nc r="E130" t="inlineStr">
      <is>
        <t>05/05 al 07/05/2026</t>
      </is>
    </nc>
  </rcc>
  <rcc rId="4721" sId="1" numFmtId="19">
    <nc r="F130">
      <v>46147</v>
    </nc>
  </rcc>
  <rcc rId="4722" sId="1" numFmtId="19">
    <nc r="G130">
      <v>46149</v>
    </nc>
  </rcc>
  <rcc rId="4723" sId="1" numFmtId="34">
    <nc r="H130">
      <v>6000</v>
    </nc>
  </rcc>
  <rcv guid="{D015136D-255F-4042-9389-EB535F138010}" action="delete"/>
  <rdn rId="0" localSheetId="1" customView="1" name="Z_D015136D_255F_4042_9389_EB535F138010_.wvu.FilterData" hidden="1" oldHidden="1">
    <formula>DATA!$A$1:$AY$128</formula>
    <oldFormula>DATA!$A$1:$AY$128</oldFormula>
  </rdn>
  <rcv guid="{D015136D-255F-4042-9389-EB535F138010}" action="add"/>
</revisions>
</file>

<file path=xl/revisions/revisionLog3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31" start="0" length="0">
    <dxf>
      <fill>
        <patternFill patternType="solid">
          <bgColor rgb="FFFFFF00"/>
        </patternFill>
      </fill>
    </dxf>
  </rfmt>
  <rcc rId="4725" sId="1">
    <nc r="B131" t="inlineStr">
      <is>
        <t>Ignacio Ceroni</t>
      </is>
    </nc>
  </rcc>
  <rcc rId="4726" sId="1">
    <nc r="C131">
      <v>3007</v>
    </nc>
  </rcc>
  <rcc rId="4727" sId="1">
    <nc r="D131">
      <v>4</v>
    </nc>
  </rcc>
  <rcc rId="4728" sId="1" numFmtId="34">
    <nc r="H131">
      <v>6000</v>
    </nc>
  </rcc>
  <rcc rId="4729" sId="1">
    <nc r="I131">
      <v>20</v>
    </nc>
  </rcc>
  <rcc rId="4730" sId="1">
    <nc r="K131" t="inlineStr">
      <is>
        <t>Alquiler</t>
      </is>
    </nc>
  </rcc>
  <rcc rId="4731" sId="1" numFmtId="19">
    <nc r="G131">
      <v>46149</v>
    </nc>
  </rcc>
  <rcc rId="4732" sId="1">
    <nc r="E131" t="inlineStr">
      <is>
        <t>04/05 al 07/05/2026</t>
      </is>
    </nc>
  </rcc>
  <rcc rId="4733" sId="1" numFmtId="19">
    <nc r="F131">
      <v>46146</v>
    </nc>
  </rcc>
  <rcc rId="4734" sId="1">
    <nc r="J131" t="inlineStr">
      <is>
        <t>Montevideo, Maldonado</t>
      </is>
    </nc>
  </rcc>
  <rcv guid="{D015136D-255F-4042-9389-EB535F138010}" action="delete"/>
  <rdn rId="0" localSheetId="1" customView="1" name="Z_D015136D_255F_4042_9389_EB535F138010_.wvu.FilterData" hidden="1" oldHidden="1">
    <formula>DATA!$A$1:$AY$128</formula>
    <oldFormula>DATA!$A$1:$AY$128</oldFormula>
  </rdn>
  <rcv guid="{D015136D-255F-4042-9389-EB535F138010}" action="add"/>
</revisions>
</file>

<file path=xl/revisions/revisionLog3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36" sId="1">
    <nc r="B132" t="inlineStr">
      <is>
        <t>Fernando López</t>
      </is>
    </nc>
  </rcc>
  <rcc rId="4737" sId="1">
    <nc r="C132">
      <v>3117</v>
    </nc>
  </rcc>
  <rcc rId="4738" sId="1">
    <nc r="D132">
      <v>3</v>
    </nc>
  </rcc>
  <rcc rId="4739" sId="1">
    <nc r="E132" t="inlineStr">
      <is>
        <t>05/05 al 07/05/2026</t>
      </is>
    </nc>
  </rcc>
  <rcc rId="4740" sId="1" numFmtId="19">
    <nc r="F132">
      <v>46147</v>
    </nc>
  </rcc>
  <rcc rId="4741" sId="1" numFmtId="19">
    <nc r="G132">
      <v>46149</v>
    </nc>
  </rcc>
  <rcc rId="4742" sId="1">
    <nc r="K132" t="inlineStr">
      <is>
        <t>Alquiler</t>
      </is>
    </nc>
  </rcc>
  <rcc rId="4743" sId="1">
    <nc r="I132">
      <v>15</v>
    </nc>
  </rcc>
  <rcc rId="4744" sId="1" numFmtId="34">
    <nc r="H132">
      <v>6000</v>
    </nc>
  </rcc>
  <rcc rId="4745" sId="1">
    <nc r="J132" t="inlineStr">
      <is>
        <t>Montevideo, Salto</t>
      </is>
    </nc>
  </rcc>
  <rcv guid="{D015136D-255F-4042-9389-EB535F138010}" action="delete"/>
  <rdn rId="0" localSheetId="1" customView="1" name="Z_D015136D_255F_4042_9389_EB535F138010_.wvu.FilterData" hidden="1" oldHidden="1">
    <formula>DATA!$A$1:$AY$128</formula>
    <oldFormula>DATA!$A$1:$AY$128</oldFormula>
  </rdn>
  <rcv guid="{D015136D-255F-4042-9389-EB535F138010}" action="add"/>
</revisions>
</file>

<file path=xl/revisions/revisionLog3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47" sId="1">
    <nc r="A129">
      <v>128</v>
    </nc>
  </rcc>
  <rcc rId="4748" sId="1">
    <nc r="A130">
      <v>129</v>
    </nc>
  </rcc>
  <rcc rId="4749" sId="1">
    <nc r="A131">
      <v>130</v>
    </nc>
  </rcc>
  <rcc rId="4750" sId="1">
    <nc r="A132">
      <v>131</v>
    </nc>
  </rcc>
  <rfmt sheetId="1" sqref="A129:A132">
    <dxf>
      <fill>
        <patternFill patternType="none">
          <bgColor auto="1"/>
        </patternFill>
      </fill>
    </dxf>
  </rfmt>
  <rcv guid="{D015136D-255F-4042-9389-EB535F138010}" action="delete"/>
  <rdn rId="0" localSheetId="1" customView="1" name="Z_D015136D_255F_4042_9389_EB535F138010_.wvu.FilterData" hidden="1" oldHidden="1">
    <formula>DATA!$A$1:$AY$128</formula>
    <oldFormula>DATA!$A$1:$AY$128</oldFormula>
  </rdn>
  <rcv guid="{D015136D-255F-4042-9389-EB535F138010}" action="add"/>
</revisions>
</file>

<file path=xl/revisions/revisionLog3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26:AK128">
    <dxf>
      <fill>
        <patternFill>
          <bgColor rgb="FF00B050"/>
        </patternFill>
      </fill>
    </dxf>
  </rfmt>
  <rcc rId="4752" sId="1" odxf="1" dxf="1" numFmtId="19">
    <nc r="Z126">
      <v>46142</v>
    </nc>
    <odxf>
      <numFmt numFmtId="0" formatCode="General"/>
    </odxf>
    <ndxf>
      <numFmt numFmtId="19" formatCode="d/m/yyyy"/>
    </ndxf>
  </rcc>
  <rcc rId="4753" sId="1">
    <oc r="AI126">
      <v>3</v>
    </oc>
    <nc r="AI126">
      <v>2</v>
    </nc>
  </rcc>
  <rcc rId="4754" sId="1" odxf="1" dxf="1" numFmtId="19">
    <nc r="Z127">
      <v>46142</v>
    </nc>
    <odxf>
      <numFmt numFmtId="0" formatCode="General"/>
    </odxf>
    <ndxf>
      <numFmt numFmtId="19" formatCode="d/m/yyyy"/>
    </ndxf>
  </rcc>
  <rcc rId="4755" sId="1">
    <oc r="AI127">
      <v>3</v>
    </oc>
    <nc r="AI127">
      <v>2</v>
    </nc>
  </rcc>
  <rcc rId="4756" sId="1">
    <nc r="X127" t="inlineStr">
      <is>
        <t>Esta autorizado auto de alquiler automatico usd 75 p/dia.</t>
      </is>
    </nc>
  </rcc>
  <rcc rId="4757" sId="1" odxf="1" dxf="1" numFmtId="19">
    <nc r="Z128">
      <v>46142</v>
    </nc>
    <odxf>
      <numFmt numFmtId="0" formatCode="General"/>
    </odxf>
    <ndxf>
      <numFmt numFmtId="19" formatCode="d/m/yyyy"/>
    </ndxf>
  </rcc>
  <rcv guid="{D41D3FB0-5142-496B-B92F-3F303994F17B}" action="delete"/>
  <rdn rId="0" localSheetId="1" customView="1" name="Z_D41D3FB0_5142_496B_B92F_3F303994F17B_.wvu.FilterData" hidden="1" oldHidden="1">
    <formula>DATA!$A$1:$AK$132</formula>
    <oldFormula>DATA!$A$1:$AK$120</oldFormula>
  </rdn>
  <rcv guid="{D41D3FB0-5142-496B-B92F-3F303994F17B}" action="add"/>
</revisions>
</file>

<file path=xl/revisions/revisionLog3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DATA!$A$1:$AY$132</formula>
    <oldFormula>DATA!$A$1:$AY$128</oldFormula>
  </rdn>
  <rcv guid="{D015136D-255F-4042-9389-EB535F138010}" action="add"/>
</revisions>
</file>

<file path=xl/revisions/revisionLog3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60" sId="3" numFmtId="22">
    <oc r="B3">
      <v>46082</v>
    </oc>
    <nc r="B3">
      <v>46113</v>
    </nc>
  </rcc>
  <rcc rId="4761" sId="3" numFmtId="22">
    <oc r="C3">
      <v>46113</v>
    </oc>
    <nc r="C3">
      <v>46143</v>
    </nc>
  </rcc>
  <rcc rId="4762" sId="3">
    <oc r="D4" t="inlineStr">
      <is>
        <t>Marzo 2026 a Abril 2026</t>
      </is>
    </oc>
    <nc r="D4" t="inlineStr">
      <is>
        <t>Abril 2026 a Mayo 2026</t>
      </is>
    </nc>
  </rcc>
  <rcc rId="4763" sId="3" odxf="1" dxf="1">
    <oc r="E4" t="inlineStr">
      <is>
        <t>Marzo 2026 a Abril 2026</t>
      </is>
    </oc>
    <nc r="E4" t="inlineStr">
      <is>
        <t>Abril 2026 a Mayo 2026</t>
      </is>
    </nc>
    <odxf/>
    <ndxf/>
  </rcc>
  <rcc rId="4764" sId="3">
    <oc r="A1" t="inlineStr">
      <is>
        <t>AJUSTES DE PRECIOS DE COMBUSTIBLES DESDE 01/04/2026</t>
      </is>
    </oc>
    <nc r="A1" t="inlineStr">
      <is>
        <t>AJUSTES DE PRECIOS DE COMBUSTIBLES DESDE 01/05/2026</t>
      </is>
    </nc>
  </rcc>
  <rcc rId="4765" sId="3">
    <oc r="B5">
      <v>76.88</v>
    </oc>
    <nc r="B5">
      <v>82.27</v>
    </nc>
  </rcc>
  <rcc rId="4766" sId="3" numFmtId="4">
    <oc r="B6">
      <v>259.75747863247858</v>
    </oc>
    <nc r="B6">
      <v>277.96888354700849</v>
    </nc>
  </rcc>
  <rcc rId="4767" sId="3" numFmtId="4">
    <oc r="B7">
      <v>387.0694444444444</v>
    </oc>
    <nc r="B7">
      <v>414.20659722222217</v>
    </nc>
  </rcc>
  <rcc rId="4768" sId="3">
    <oc r="C5">
      <v>82.27</v>
    </oc>
    <nc r="C5">
      <v>88.03</v>
    </nc>
  </rcc>
  <rfmt sheetId="2" sqref="A5" start="0" length="0">
    <dxf>
      <numFmt numFmtId="22" formatCode="mmm\-yy"/>
    </dxf>
  </rfmt>
  <rcc rId="4769" sId="2" numFmtId="22">
    <nc r="A5">
      <v>46143</v>
    </nc>
  </rcc>
  <rcc rId="4770" sId="2">
    <nc r="B5">
      <v>297</v>
    </nc>
  </rcc>
  <rcc rId="4771" sId="2">
    <nc r="C5">
      <v>443</v>
    </nc>
  </rcc>
  <rcc rId="4772" sId="2">
    <oc r="B12">
      <f>B4</f>
    </oc>
    <nc r="B12">
      <f>B5</f>
    </nc>
  </rcc>
  <rcc rId="4773" sId="2">
    <oc r="C12">
      <f>C4</f>
    </oc>
    <nc r="C12">
      <f>C5</f>
    </nc>
  </rcc>
  <rcv guid="{D015136D-255F-4042-9389-EB535F138010}" action="delete"/>
  <rdn rId="0" localSheetId="1" customView="1" name="Z_D015136D_255F_4042_9389_EB535F138010_.wvu.FilterData" hidden="1" oldHidden="1">
    <formula>DATA!$A$1:$AY$132</formula>
    <oldFormula>DATA!$A$1:$AY$132</oldFormula>
  </rdn>
  <rcv guid="{D015136D-255F-4042-9389-EB535F138010}" action="add"/>
</revisions>
</file>

<file path=xl/revisions/revisionLog3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75" sId="1">
    <nc r="B133" t="inlineStr">
      <is>
        <t>Rolando Ball</t>
      </is>
    </nc>
  </rcc>
  <rcc rId="4776" sId="1">
    <nc r="C133">
      <v>1332</v>
    </nc>
  </rcc>
  <rcc rId="4777" sId="1">
    <nc r="J133" t="inlineStr">
      <is>
        <t>Rocha</t>
      </is>
    </nc>
  </rcc>
  <rcc rId="4778" sId="1">
    <nc r="K133" t="inlineStr">
      <is>
        <t>Propio</t>
      </is>
    </nc>
  </rcc>
  <rcc rId="4779" sId="1">
    <nc r="A133">
      <v>132</v>
    </nc>
  </rcc>
  <rcc rId="4780" sId="1">
    <nc r="E133" t="inlineStr">
      <is>
        <t>16/04 al 30/04/2026</t>
      </is>
    </nc>
  </rcc>
  <rcc rId="4781" sId="1" numFmtId="19">
    <nc r="F133">
      <v>46128</v>
    </nc>
  </rcc>
  <rcc rId="4782" sId="1" numFmtId="19">
    <nc r="G133">
      <v>46142</v>
    </nc>
  </rcc>
  <rcc rId="4783" sId="1">
    <nc r="D133">
      <v>11</v>
    </nc>
  </rcc>
  <rcc rId="4784" sId="1">
    <nc r="M133">
      <f>+N133-H133</f>
    </nc>
  </rcc>
  <rcc rId="4785" sId="1" numFmtId="34">
    <nc r="N133">
      <v>3300</v>
    </nc>
  </rcc>
  <rcc rId="4786" sId="1" numFmtId="34">
    <nc r="O133">
      <v>6</v>
    </nc>
  </rcc>
  <rcc rId="4787" sId="1" numFmtId="34">
    <nc r="P133">
      <v>4</v>
    </nc>
  </rcc>
  <rcc rId="4788" sId="1">
    <nc r="Q133">
      <f>+P133+O133</f>
    </nc>
  </rcc>
  <rcc rId="4789" sId="1">
    <nc r="R133">
      <f>(N133/Q133)</f>
    </nc>
  </rcc>
  <rcc rId="4790" sId="1">
    <nc r="S133">
      <f>(('Costo por negocio'!$B$4-DATA!R133)*DATA!O133)+('Costo por negocio'!$C$4-DATA!R133)*DATA!P133</f>
    </nc>
  </rcc>
  <rcc rId="4791" sId="1">
    <nc r="U133" t="inlineStr">
      <is>
        <t>SI</t>
      </is>
    </nc>
  </rcc>
  <rcc rId="4792" sId="1">
    <nc r="V133" t="inlineStr">
      <is>
        <t>SI</t>
      </is>
    </nc>
  </rcc>
  <rcc rId="4793" sId="1">
    <nc r="W133" t="inlineStr">
      <is>
        <t>SI</t>
      </is>
    </nc>
  </rcc>
  <rcc rId="4794" sId="1" numFmtId="19">
    <nc r="T133">
      <v>46146</v>
    </nc>
  </rcc>
  <rcc rId="4795" sId="1">
    <nc r="Y133" t="inlineStr">
      <is>
        <t>CBD 1303</t>
      </is>
    </nc>
  </rcc>
  <rfmt sheetId="1" sqref="A133:AK133">
    <dxf>
      <fill>
        <patternFill patternType="solid">
          <bgColor rgb="FF92D050"/>
        </patternFill>
      </fill>
    </dxf>
  </rfmt>
  <rcc rId="4796" sId="1">
    <nc r="B134" t="inlineStr">
      <is>
        <t>Sylvia Antunez</t>
      </is>
    </nc>
  </rcc>
  <rcc rId="4797" sId="1">
    <nc r="C134">
      <v>3064</v>
    </nc>
  </rcc>
  <rcc rId="4798" sId="1">
    <nc r="J134" t="inlineStr">
      <is>
        <t>Montevideo, Canelones</t>
      </is>
    </nc>
  </rcc>
  <rcc rId="4799" sId="1">
    <nc r="K134" t="inlineStr">
      <is>
        <t>Propio</t>
      </is>
    </nc>
  </rcc>
  <rcc rId="4800" sId="1">
    <nc r="A134">
      <v>133</v>
    </nc>
  </rcc>
  <rcc rId="4801" sId="1" odxf="1" dxf="1">
    <nc r="D134">
      <v>11</v>
    </nc>
    <ndxf>
      <fill>
        <patternFill patternType="solid">
          <bgColor rgb="FF92D050"/>
        </patternFill>
      </fill>
    </ndxf>
  </rcc>
  <rcc rId="4802" sId="1" odxf="1" dxf="1">
    <nc r="E134" t="inlineStr">
      <is>
        <t>16/04 al 30/04/2026</t>
      </is>
    </nc>
    <ndxf>
      <fill>
        <patternFill patternType="solid">
          <bgColor rgb="FF92D050"/>
        </patternFill>
      </fill>
    </ndxf>
  </rcc>
  <rcc rId="4803" sId="1" odxf="1" dxf="1" numFmtId="19">
    <nc r="F134">
      <v>46128</v>
    </nc>
    <ndxf>
      <fill>
        <patternFill patternType="solid">
          <bgColor rgb="FF92D050"/>
        </patternFill>
      </fill>
    </ndxf>
  </rcc>
  <rcc rId="4804" sId="1" odxf="1" dxf="1" numFmtId="19">
    <nc r="G134">
      <v>46142</v>
    </nc>
    <ndxf>
      <fill>
        <patternFill patternType="solid">
          <bgColor rgb="FF92D050"/>
        </patternFill>
      </fill>
    </ndxf>
  </rcc>
  <rcc rId="4805" sId="1">
    <nc r="M134">
      <f>+N134-H134</f>
    </nc>
  </rcc>
  <rcc rId="4806" sId="1">
    <nc r="N134">
      <f>2051+1054</f>
    </nc>
  </rcc>
  <rcc rId="4807" sId="1">
    <nc r="O134">
      <f>20+7+4</f>
    </nc>
  </rcc>
  <rcc rId="4808" sId="1">
    <nc r="Q134">
      <f>+P134+O134</f>
    </nc>
  </rcc>
  <rcc rId="4809" sId="1">
    <nc r="R134">
      <f>(N134/Q134)</f>
    </nc>
  </rcc>
  <rcc rId="4810" sId="1">
    <nc r="S134">
      <f>(('Costo por negocio'!$B$4-DATA!R134)*DATA!O134)+('Costo por negocio'!$C$4-DATA!R134)*DATA!P134</f>
    </nc>
  </rcc>
  <rcc rId="4811" sId="1" numFmtId="19">
    <nc r="T134">
      <v>46146</v>
    </nc>
  </rcc>
  <rcc rId="4812" sId="1">
    <nc r="U134" t="inlineStr">
      <is>
        <t>SI</t>
      </is>
    </nc>
  </rcc>
  <rcc rId="4813" sId="1">
    <nc r="V134" t="inlineStr">
      <is>
        <t>SI</t>
      </is>
    </nc>
  </rcc>
  <rcc rId="4814" sId="1">
    <nc r="W134" t="inlineStr">
      <is>
        <t>SI</t>
      </is>
    </nc>
  </rcc>
  <rcc rId="4815" sId="1">
    <nc r="Y134" t="inlineStr">
      <is>
        <t>SDD 4937</t>
      </is>
    </nc>
  </rcc>
  <rfmt sheetId="1" sqref="A134:AK134">
    <dxf>
      <fill>
        <patternFill>
          <bgColor rgb="FF92D050"/>
        </patternFill>
      </fill>
    </dxf>
  </rfmt>
  <rcv guid="{D015136D-255F-4042-9389-EB535F138010}" action="delete"/>
  <rdn rId="0" localSheetId="1" customView="1" name="Z_D015136D_255F_4042_9389_EB535F138010_.wvu.FilterData" hidden="1" oldHidden="1">
    <formula>DATA!$A$1:$AY$132</formula>
    <oldFormula>DATA!$A$1:$AY$132</oldFormula>
  </rdn>
  <rcv guid="{D015136D-255F-4042-9389-EB535F138010}" action="add"/>
</revisions>
</file>

<file path=xl/revisions/revisionLog3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17" sId="1" odxf="1" dxf="1">
    <nc r="A135">
      <v>134</v>
    </nc>
    <ndxf>
      <fill>
        <patternFill patternType="solid">
          <bgColor rgb="FF92D050"/>
        </patternFill>
      </fill>
    </ndxf>
  </rcc>
  <rcc rId="4818" sId="1" odxf="1" dxf="1">
    <nc r="B135" t="inlineStr">
      <is>
        <t>Lucia Santamaría</t>
      </is>
    </nc>
    <ndxf>
      <fill>
        <patternFill patternType="solid">
          <bgColor rgb="FF92D050"/>
        </patternFill>
      </fill>
    </ndxf>
  </rcc>
  <rcc rId="4819" sId="1" odxf="1" dxf="1">
    <nc r="C135">
      <v>3065</v>
    </nc>
    <ndxf>
      <fill>
        <patternFill patternType="solid">
          <bgColor rgb="FF92D050"/>
        </patternFill>
      </fill>
    </ndxf>
  </rcc>
  <rfmt sheetId="1" sqref="D135" start="0" length="0">
    <dxf>
      <fill>
        <patternFill patternType="solid">
          <bgColor rgb="FF92D050"/>
        </patternFill>
      </fill>
    </dxf>
  </rfmt>
  <rfmt sheetId="1" sqref="E135" start="0" length="0">
    <dxf>
      <fill>
        <patternFill patternType="solid">
          <bgColor rgb="FF92D050"/>
        </patternFill>
      </fill>
    </dxf>
  </rfmt>
  <rfmt sheetId="1" sqref="F135" start="0" length="0">
    <dxf>
      <fill>
        <patternFill patternType="solid">
          <bgColor rgb="FF92D050"/>
        </patternFill>
      </fill>
    </dxf>
  </rfmt>
  <rfmt sheetId="1" sqref="G135" start="0" length="0">
    <dxf>
      <fill>
        <patternFill patternType="solid">
          <bgColor rgb="FF92D050"/>
        </patternFill>
      </fill>
    </dxf>
  </rfmt>
  <rfmt sheetId="1" sqref="H135" start="0" length="0">
    <dxf>
      <fill>
        <patternFill patternType="solid">
          <bgColor rgb="FF92D050"/>
        </patternFill>
      </fill>
    </dxf>
  </rfmt>
  <rfmt sheetId="1" sqref="I135" start="0" length="0">
    <dxf>
      <fill>
        <patternFill patternType="solid">
          <bgColor rgb="FF92D050"/>
        </patternFill>
      </fill>
    </dxf>
  </rfmt>
  <rcc rId="4820" sId="1" odxf="1" dxf="1">
    <nc r="J135" t="inlineStr">
      <is>
        <t>Montevideo</t>
      </is>
    </nc>
    <ndxf>
      <fill>
        <patternFill patternType="solid">
          <bgColor rgb="FF92D050"/>
        </patternFill>
      </fill>
    </ndxf>
  </rcc>
  <rcc rId="4821" sId="1" odxf="1" dxf="1">
    <nc r="K135" t="inlineStr">
      <is>
        <t>Propio</t>
      </is>
    </nc>
    <ndxf>
      <fill>
        <patternFill patternType="solid">
          <bgColor rgb="FF92D050"/>
        </patternFill>
      </fill>
    </ndxf>
  </rcc>
  <rfmt sheetId="1" sqref="L135" start="0" length="0">
    <dxf>
      <fill>
        <patternFill patternType="solid">
          <bgColor rgb="FF92D050"/>
        </patternFill>
      </fill>
    </dxf>
  </rfmt>
  <rfmt sheetId="1" sqref="M135" start="0" length="0">
    <dxf>
      <fill>
        <patternFill patternType="solid">
          <bgColor rgb="FF92D050"/>
        </patternFill>
      </fill>
    </dxf>
  </rfmt>
  <rfmt sheetId="1" sqref="N135" start="0" length="0">
    <dxf>
      <fill>
        <patternFill patternType="solid">
          <bgColor rgb="FF92D050"/>
        </patternFill>
      </fill>
    </dxf>
  </rfmt>
  <rfmt sheetId="1" sqref="O135" start="0" length="0">
    <dxf>
      <fill>
        <patternFill patternType="solid">
          <bgColor rgb="FF92D050"/>
        </patternFill>
      </fill>
    </dxf>
  </rfmt>
  <rfmt sheetId="1" sqref="P135" start="0" length="0">
    <dxf>
      <fill>
        <patternFill patternType="solid">
          <bgColor rgb="FF92D050"/>
        </patternFill>
      </fill>
    </dxf>
  </rfmt>
  <rfmt sheetId="1" sqref="Q135" start="0" length="0">
    <dxf>
      <fill>
        <patternFill patternType="solid">
          <bgColor rgb="FF92D050"/>
        </patternFill>
      </fill>
    </dxf>
  </rfmt>
  <rfmt sheetId="1" sqref="R135" start="0" length="0">
    <dxf>
      <fill>
        <patternFill patternType="solid">
          <bgColor rgb="FF92D050"/>
        </patternFill>
      </fill>
    </dxf>
  </rfmt>
  <rfmt sheetId="1" sqref="S135" start="0" length="0">
    <dxf>
      <fill>
        <patternFill patternType="solid">
          <bgColor rgb="FF92D050"/>
        </patternFill>
      </fill>
    </dxf>
  </rfmt>
  <rfmt sheetId="1" sqref="T135" start="0" length="0">
    <dxf>
      <fill>
        <patternFill patternType="solid">
          <bgColor rgb="FF92D050"/>
        </patternFill>
      </fill>
    </dxf>
  </rfmt>
  <rfmt sheetId="1" sqref="U135" start="0" length="0">
    <dxf>
      <fill>
        <patternFill patternType="solid">
          <bgColor rgb="FF92D050"/>
        </patternFill>
      </fill>
    </dxf>
  </rfmt>
  <rfmt sheetId="1" sqref="V135" start="0" length="0">
    <dxf>
      <fill>
        <patternFill patternType="solid">
          <bgColor rgb="FF92D050"/>
        </patternFill>
      </fill>
    </dxf>
  </rfmt>
  <rfmt sheetId="1" sqref="W135" start="0" length="0">
    <dxf>
      <fill>
        <patternFill patternType="solid">
          <bgColor rgb="FF92D050"/>
        </patternFill>
      </fill>
    </dxf>
  </rfmt>
  <rfmt sheetId="1" sqref="X135" start="0" length="0">
    <dxf>
      <fill>
        <patternFill patternType="solid">
          <bgColor rgb="FF92D050"/>
        </patternFill>
      </fill>
    </dxf>
  </rfmt>
  <rfmt sheetId="1" sqref="Y135" start="0" length="0">
    <dxf>
      <fill>
        <patternFill patternType="solid">
          <bgColor rgb="FF92D050"/>
        </patternFill>
      </fill>
    </dxf>
  </rfmt>
  <rfmt sheetId="1" sqref="Z135" start="0" length="0">
    <dxf>
      <fill>
        <patternFill patternType="solid">
          <bgColor rgb="FF92D050"/>
        </patternFill>
      </fill>
    </dxf>
  </rfmt>
  <rfmt sheetId="1" sqref="AA135" start="0" length="0">
    <dxf>
      <fill>
        <patternFill patternType="solid">
          <bgColor rgb="FF92D050"/>
        </patternFill>
      </fill>
    </dxf>
  </rfmt>
  <rfmt sheetId="1" sqref="AB135" start="0" length="0">
    <dxf>
      <fill>
        <patternFill patternType="solid">
          <bgColor rgb="FF92D050"/>
        </patternFill>
      </fill>
    </dxf>
  </rfmt>
  <rfmt sheetId="1" sqref="AC135" start="0" length="0">
    <dxf>
      <fill>
        <patternFill patternType="solid">
          <bgColor rgb="FF92D050"/>
        </patternFill>
      </fill>
    </dxf>
  </rfmt>
  <rfmt sheetId="1" sqref="AD135" start="0" length="0">
    <dxf>
      <fill>
        <patternFill patternType="solid">
          <bgColor rgb="FF92D050"/>
        </patternFill>
      </fill>
    </dxf>
  </rfmt>
  <rfmt sheetId="1" sqref="AE135" start="0" length="0">
    <dxf>
      <fill>
        <patternFill patternType="solid">
          <bgColor rgb="FF92D050"/>
        </patternFill>
      </fill>
    </dxf>
  </rfmt>
  <rfmt sheetId="1" sqref="AF135" start="0" length="0">
    <dxf>
      <fill>
        <patternFill patternType="solid">
          <bgColor rgb="FF92D050"/>
        </patternFill>
      </fill>
    </dxf>
  </rfmt>
  <rfmt sheetId="1" sqref="AG135" start="0" length="0">
    <dxf>
      <fill>
        <patternFill patternType="solid">
          <bgColor rgb="FF92D050"/>
        </patternFill>
      </fill>
    </dxf>
  </rfmt>
  <rfmt sheetId="1" sqref="AH135" start="0" length="0">
    <dxf>
      <fill>
        <patternFill patternType="solid">
          <bgColor rgb="FF92D050"/>
        </patternFill>
      </fill>
    </dxf>
  </rfmt>
  <rfmt sheetId="1" sqref="AI135" start="0" length="0">
    <dxf>
      <fill>
        <patternFill patternType="solid">
          <bgColor rgb="FF92D050"/>
        </patternFill>
      </fill>
    </dxf>
  </rfmt>
  <rfmt sheetId="1" sqref="AJ135" start="0" length="0">
    <dxf>
      <fill>
        <patternFill patternType="solid">
          <bgColor rgb="FF92D050"/>
        </patternFill>
      </fill>
    </dxf>
  </rfmt>
  <rfmt sheetId="1" sqref="AK135" start="0" length="0">
    <dxf>
      <fill>
        <patternFill patternType="solid">
          <bgColor rgb="FF92D050"/>
        </patternFill>
      </fill>
    </dxf>
  </rfmt>
  <rcc rId="4822" sId="1">
    <nc r="D135">
      <v>11</v>
    </nc>
  </rcc>
  <rcc rId="4823" sId="1">
    <nc r="E135" t="inlineStr">
      <is>
        <t>16/04 al 30/04/2026</t>
      </is>
    </nc>
  </rcc>
  <rcc rId="4824" sId="1" numFmtId="19">
    <nc r="F135">
      <v>46128</v>
    </nc>
  </rcc>
  <rcc rId="4825" sId="1" numFmtId="19">
    <nc r="G135">
      <v>46142</v>
    </nc>
  </rcc>
  <rcc rId="4826" sId="1">
    <nc r="M135">
      <f>+N135-H135</f>
    </nc>
  </rcc>
  <rcc rId="4827" sId="1">
    <nc r="N135">
      <f>1000+3000</f>
    </nc>
  </rcc>
  <rcc rId="4828" sId="1" numFmtId="34">
    <nc r="O135">
      <v>12</v>
    </nc>
  </rcc>
  <rcc rId="4829" sId="1">
    <nc r="Q135">
      <f>+P135+O135</f>
    </nc>
  </rcc>
  <rcc rId="4830" sId="1">
    <nc r="R135">
      <f>(N135/Q135)</f>
    </nc>
  </rcc>
  <rcc rId="4831" sId="1">
    <nc r="S135">
      <f>(('Costo por negocio'!$B$4-DATA!R135)*DATA!O135)+('Costo por negocio'!$C$4-DATA!R135)*DATA!P135</f>
    </nc>
  </rcc>
  <rcc rId="4832" sId="1" numFmtId="19">
    <nc r="T135">
      <v>46146</v>
    </nc>
  </rcc>
  <rcc rId="4833" sId="1">
    <nc r="U135" t="inlineStr">
      <is>
        <t>SI</t>
      </is>
    </nc>
  </rcc>
  <rcc rId="4834" sId="1">
    <nc r="V135" t="inlineStr">
      <is>
        <t>SI</t>
      </is>
    </nc>
  </rcc>
  <rcc rId="4835" sId="1">
    <nc r="W135" t="inlineStr">
      <is>
        <t>SI</t>
      </is>
    </nc>
  </rcc>
  <rcv guid="{D015136D-255F-4042-9389-EB535F138010}" action="delete"/>
  <rdn rId="0" localSheetId="1" customView="1" name="Z_D015136D_255F_4042_9389_EB535F138010_.wvu.FilterData" hidden="1" oldHidden="1">
    <formula>DATA!$A$1:$AY$132</formula>
    <oldFormula>DATA!$A$1:$AY$132</oldFormula>
  </rdn>
  <rcv guid="{D015136D-255F-4042-9389-EB535F138010}" action="add"/>
</revisions>
</file>

<file path=xl/revisions/revisionLog3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37" sId="1">
    <nc r="Y135" t="inlineStr">
      <is>
        <t>SBI 6680</t>
      </is>
    </nc>
  </rcc>
</revisions>
</file>

<file path=xl/revisions/revisionLog3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DATA!$A$1:$AK$135</formula>
    <oldFormula>DATA!$A$1:$AY$132</oldFormula>
  </rdn>
  <rcv guid="{D015136D-255F-4042-9389-EB535F138010}" action="add"/>
</revisions>
</file>

<file path=xl/revisions/revisionLog3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36" start="0" length="0">
    <dxf>
      <fill>
        <patternFill patternType="solid">
          <bgColor rgb="FF92D050"/>
        </patternFill>
      </fill>
    </dxf>
  </rfmt>
  <rcc rId="4839" sId="1" odxf="1" dxf="1">
    <nc r="B136" t="inlineStr">
      <is>
        <t>Agustin Buñevaz</t>
      </is>
    </nc>
    <ndxf>
      <fill>
        <patternFill patternType="solid">
          <bgColor rgb="FF92D050"/>
        </patternFill>
      </fill>
    </ndxf>
  </rcc>
  <rcc rId="4840" sId="1" odxf="1" dxf="1">
    <nc r="C136">
      <v>3152</v>
    </nc>
    <ndxf>
      <fill>
        <patternFill patternType="solid">
          <bgColor rgb="FF92D050"/>
        </patternFill>
      </fill>
    </ndxf>
  </rcc>
  <rfmt sheetId="1" sqref="D136" start="0" length="0">
    <dxf>
      <fill>
        <patternFill patternType="solid">
          <bgColor rgb="FF92D050"/>
        </patternFill>
      </fill>
    </dxf>
  </rfmt>
  <rfmt sheetId="1" sqref="E136" start="0" length="0">
    <dxf>
      <fill>
        <patternFill patternType="solid">
          <bgColor rgb="FF92D050"/>
        </patternFill>
      </fill>
    </dxf>
  </rfmt>
  <rfmt sheetId="1" sqref="F136" start="0" length="0">
    <dxf>
      <fill>
        <patternFill patternType="solid">
          <bgColor rgb="FF92D050"/>
        </patternFill>
      </fill>
    </dxf>
  </rfmt>
  <rfmt sheetId="1" sqref="G136" start="0" length="0">
    <dxf>
      <fill>
        <patternFill patternType="solid">
          <bgColor rgb="FF92D050"/>
        </patternFill>
      </fill>
    </dxf>
  </rfmt>
  <rfmt sheetId="1" sqref="H136" start="0" length="0">
    <dxf>
      <fill>
        <patternFill patternType="solid">
          <bgColor rgb="FF92D050"/>
        </patternFill>
      </fill>
    </dxf>
  </rfmt>
  <rfmt sheetId="1" sqref="I136" start="0" length="0">
    <dxf>
      <fill>
        <patternFill patternType="solid">
          <bgColor rgb="FF92D050"/>
        </patternFill>
      </fill>
    </dxf>
  </rfmt>
  <rcc rId="4841" sId="1" odxf="1" dxf="1">
    <nc r="J136" t="inlineStr">
      <is>
        <t>Canelones</t>
      </is>
    </nc>
    <ndxf>
      <fill>
        <patternFill patternType="solid">
          <bgColor rgb="FF92D050"/>
        </patternFill>
      </fill>
    </ndxf>
  </rcc>
  <rfmt sheetId="1" sqref="K136" start="0" length="0">
    <dxf>
      <fill>
        <patternFill patternType="solid">
          <bgColor rgb="FF92D050"/>
        </patternFill>
      </fill>
    </dxf>
  </rfmt>
  <rfmt sheetId="1" sqref="L136" start="0" length="0">
    <dxf>
      <fill>
        <patternFill patternType="solid">
          <bgColor rgb="FF92D050"/>
        </patternFill>
      </fill>
    </dxf>
  </rfmt>
  <rfmt sheetId="1" sqref="M136" start="0" length="0">
    <dxf>
      <fill>
        <patternFill patternType="solid">
          <bgColor rgb="FF92D050"/>
        </patternFill>
      </fill>
    </dxf>
  </rfmt>
  <rfmt sheetId="1" sqref="N136" start="0" length="0">
    <dxf>
      <fill>
        <patternFill patternType="solid">
          <bgColor rgb="FF92D050"/>
        </patternFill>
      </fill>
    </dxf>
  </rfmt>
  <rfmt sheetId="1" sqref="O136" start="0" length="0">
    <dxf>
      <fill>
        <patternFill patternType="solid">
          <bgColor rgb="FF92D050"/>
        </patternFill>
      </fill>
    </dxf>
  </rfmt>
  <rfmt sheetId="1" sqref="P136" start="0" length="0">
    <dxf>
      <fill>
        <patternFill patternType="solid">
          <bgColor rgb="FF92D050"/>
        </patternFill>
      </fill>
    </dxf>
  </rfmt>
  <rfmt sheetId="1" sqref="Q136" start="0" length="0">
    <dxf>
      <fill>
        <patternFill patternType="solid">
          <bgColor rgb="FF92D050"/>
        </patternFill>
      </fill>
    </dxf>
  </rfmt>
  <rfmt sheetId="1" sqref="R136" start="0" length="0">
    <dxf>
      <fill>
        <patternFill patternType="solid">
          <bgColor rgb="FF92D050"/>
        </patternFill>
      </fill>
    </dxf>
  </rfmt>
  <rfmt sheetId="1" sqref="S136" start="0" length="0">
    <dxf>
      <fill>
        <patternFill patternType="solid">
          <bgColor rgb="FF92D050"/>
        </patternFill>
      </fill>
    </dxf>
  </rfmt>
  <rfmt sheetId="1" sqref="T136" start="0" length="0">
    <dxf>
      <fill>
        <patternFill patternType="solid">
          <bgColor rgb="FF92D050"/>
        </patternFill>
      </fill>
    </dxf>
  </rfmt>
  <rfmt sheetId="1" sqref="U136" start="0" length="0">
    <dxf>
      <fill>
        <patternFill patternType="solid">
          <bgColor rgb="FF92D050"/>
        </patternFill>
      </fill>
    </dxf>
  </rfmt>
  <rfmt sheetId="1" sqref="V136" start="0" length="0">
    <dxf>
      <fill>
        <patternFill patternType="solid">
          <bgColor rgb="FF92D050"/>
        </patternFill>
      </fill>
    </dxf>
  </rfmt>
  <rfmt sheetId="1" sqref="W136" start="0" length="0">
    <dxf>
      <fill>
        <patternFill patternType="solid">
          <bgColor rgb="FF92D050"/>
        </patternFill>
      </fill>
    </dxf>
  </rfmt>
  <rfmt sheetId="1" sqref="X136" start="0" length="0">
    <dxf>
      <fill>
        <patternFill patternType="solid">
          <bgColor rgb="FF92D050"/>
        </patternFill>
      </fill>
    </dxf>
  </rfmt>
  <rfmt sheetId="1" sqref="Y136" start="0" length="0">
    <dxf>
      <fill>
        <patternFill patternType="solid">
          <bgColor rgb="FF92D050"/>
        </patternFill>
      </fill>
    </dxf>
  </rfmt>
  <rfmt sheetId="1" sqref="Z136" start="0" length="0">
    <dxf>
      <fill>
        <patternFill patternType="solid">
          <bgColor rgb="FF92D050"/>
        </patternFill>
      </fill>
    </dxf>
  </rfmt>
  <rfmt sheetId="1" sqref="AA136" start="0" length="0">
    <dxf>
      <fill>
        <patternFill patternType="solid">
          <bgColor rgb="FF92D050"/>
        </patternFill>
      </fill>
    </dxf>
  </rfmt>
  <rfmt sheetId="1" sqref="AB136" start="0" length="0">
    <dxf>
      <fill>
        <patternFill patternType="solid">
          <bgColor rgb="FF92D050"/>
        </patternFill>
      </fill>
    </dxf>
  </rfmt>
  <rfmt sheetId="1" sqref="AC136" start="0" length="0">
    <dxf>
      <fill>
        <patternFill patternType="solid">
          <bgColor rgb="FF92D050"/>
        </patternFill>
      </fill>
    </dxf>
  </rfmt>
  <rfmt sheetId="1" sqref="AD136" start="0" length="0">
    <dxf>
      <fill>
        <patternFill patternType="solid">
          <bgColor rgb="FF92D050"/>
        </patternFill>
      </fill>
    </dxf>
  </rfmt>
  <rfmt sheetId="1" sqref="AE136" start="0" length="0">
    <dxf>
      <fill>
        <patternFill patternType="solid">
          <bgColor rgb="FF92D050"/>
        </patternFill>
      </fill>
    </dxf>
  </rfmt>
  <rfmt sheetId="1" sqref="AF136" start="0" length="0">
    <dxf>
      <fill>
        <patternFill patternType="solid">
          <bgColor rgb="FF92D050"/>
        </patternFill>
      </fill>
    </dxf>
  </rfmt>
  <rfmt sheetId="1" sqref="AG136" start="0" length="0">
    <dxf>
      <fill>
        <patternFill patternType="solid">
          <bgColor rgb="FF92D050"/>
        </patternFill>
      </fill>
    </dxf>
  </rfmt>
  <rfmt sheetId="1" sqref="AH136" start="0" length="0">
    <dxf>
      <fill>
        <patternFill patternType="solid">
          <bgColor rgb="FF92D050"/>
        </patternFill>
      </fill>
    </dxf>
  </rfmt>
  <rfmt sheetId="1" sqref="AI136" start="0" length="0">
    <dxf>
      <fill>
        <patternFill patternType="solid">
          <bgColor rgb="FF92D050"/>
        </patternFill>
      </fill>
    </dxf>
  </rfmt>
  <rfmt sheetId="1" sqref="AJ136" start="0" length="0">
    <dxf>
      <fill>
        <patternFill patternType="solid">
          <bgColor rgb="FF92D050"/>
        </patternFill>
      </fill>
    </dxf>
  </rfmt>
  <rfmt sheetId="1" sqref="AK136" start="0" length="0">
    <dxf>
      <fill>
        <patternFill patternType="solid">
          <bgColor rgb="FF92D050"/>
        </patternFill>
      </fill>
    </dxf>
  </rfmt>
  <rcc rId="4842" sId="1">
    <nc r="A136">
      <v>135</v>
    </nc>
  </rcc>
  <rcc rId="4843" sId="1">
    <nc r="D136">
      <v>11</v>
    </nc>
  </rcc>
  <rcc rId="4844" sId="1">
    <nc r="E136" t="inlineStr">
      <is>
        <t>16/04 al 30/04/2026</t>
      </is>
    </nc>
  </rcc>
  <rcc rId="4845" sId="1" numFmtId="19">
    <nc r="F136">
      <v>46128</v>
    </nc>
  </rcc>
  <rcc rId="4846" sId="1" numFmtId="19">
    <nc r="G136">
      <v>46142</v>
    </nc>
  </rcc>
  <rcc rId="4847" sId="1">
    <nc r="K136" t="inlineStr">
      <is>
        <t>Propio</t>
      </is>
    </nc>
  </rcc>
  <rcc rId="4848" sId="1">
    <nc r="M136">
      <f>+N136-H136</f>
    </nc>
  </rcc>
  <rcc rId="4849" sId="1">
    <nc r="N136">
      <f>1112+1668+1224+2112</f>
    </nc>
  </rcc>
  <rcc rId="4850" sId="1" numFmtId="34">
    <nc r="O136">
      <v>22</v>
    </nc>
  </rcc>
  <rcc rId="4851" sId="1">
    <nc r="Q136">
      <f>+P136+O136</f>
    </nc>
  </rcc>
  <rcc rId="4852" sId="1">
    <nc r="R136">
      <f>(N136/Q136)</f>
    </nc>
  </rcc>
  <rcc rId="4853" sId="1">
    <nc r="S136">
      <f>(('Costo por negocio'!$B$4-DATA!R136)*DATA!O136)+('Costo por negocio'!$C$4-DATA!R136)*DATA!P136</f>
    </nc>
  </rcc>
  <rcc rId="4854" sId="1" numFmtId="19">
    <nc r="T136">
      <v>46146</v>
    </nc>
  </rcc>
  <rcc rId="4855" sId="1">
    <nc r="U136" t="inlineStr">
      <is>
        <t>SI</t>
      </is>
    </nc>
  </rcc>
  <rcc rId="4856" sId="1">
    <nc r="V136" t="inlineStr">
      <is>
        <t>SI</t>
      </is>
    </nc>
  </rcc>
  <rcc rId="4857" sId="1">
    <nc r="W136" t="inlineStr">
      <is>
        <t>SI</t>
      </is>
    </nc>
  </rcc>
  <rcc rId="4858" sId="1">
    <nc r="Y136" t="inlineStr">
      <is>
        <t>ABK 2846</t>
      </is>
    </nc>
  </rcc>
  <rcv guid="{D015136D-255F-4042-9389-EB535F138010}" action="delete"/>
  <rdn rId="0" localSheetId="1" customView="1" name="Z_D015136D_255F_4042_9389_EB535F138010_.wvu.FilterData" hidden="1" oldHidden="1">
    <formula>DATA!$A$1:$AK$135</formula>
    <oldFormula>DATA!$A$1:$AK$135</oldFormula>
  </rdn>
  <rcv guid="{D015136D-255F-4042-9389-EB535F138010}" action="add"/>
</revisions>
</file>

<file path=xl/revisions/revisionLog3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DATA!$A$1:$AK$136</formula>
    <oldFormula>DATA!$A$1:$AK$135</oldFormula>
  </rdn>
  <rcv guid="{D015136D-255F-4042-9389-EB535F138010}" action="add"/>
</revisions>
</file>

<file path=xl/revisions/revisionLog3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61" sId="1" odxf="1" dxf="1">
    <nc r="M124">
      <f>+N124-H124</f>
    </nc>
    <odxf>
      <fill>
        <patternFill patternType="none">
          <bgColor indexed="65"/>
        </patternFill>
      </fill>
    </odxf>
    <ndxf>
      <fill>
        <patternFill patternType="solid">
          <bgColor rgb="FF00B050"/>
        </patternFill>
      </fill>
    </ndxf>
  </rcc>
  <rfmt sheetId="1" sqref="N124" start="0" length="0">
    <dxf>
      <fill>
        <patternFill patternType="solid">
          <bgColor rgb="FF00B050"/>
        </patternFill>
      </fill>
    </dxf>
  </rfmt>
  <rfmt sheetId="1" sqref="O124" start="0" length="0">
    <dxf>
      <fill>
        <patternFill patternType="solid">
          <bgColor rgb="FF00B050"/>
        </patternFill>
      </fill>
    </dxf>
  </rfmt>
  <rfmt sheetId="1" sqref="P124" start="0" length="0">
    <dxf>
      <fill>
        <patternFill patternType="solid">
          <bgColor rgb="FF00B050"/>
        </patternFill>
      </fill>
    </dxf>
  </rfmt>
  <rcc rId="4862" sId="1" odxf="1" dxf="1">
    <nc r="Q124">
      <f>+P124+O124</f>
    </nc>
    <odxf>
      <fill>
        <patternFill patternType="none">
          <bgColor indexed="65"/>
        </patternFill>
      </fill>
    </odxf>
    <ndxf>
      <fill>
        <patternFill patternType="solid">
          <bgColor rgb="FF00B050"/>
        </patternFill>
      </fill>
    </ndxf>
  </rcc>
  <rcc rId="4863" sId="1" odxf="1" dxf="1">
    <nc r="R124">
      <f>(N124/Q124)</f>
    </nc>
    <odxf>
      <fill>
        <patternFill patternType="none">
          <bgColor indexed="65"/>
        </patternFill>
      </fill>
    </odxf>
    <ndxf>
      <fill>
        <patternFill patternType="solid">
          <bgColor rgb="FF00B050"/>
        </patternFill>
      </fill>
    </ndxf>
  </rcc>
  <rcc rId="4864" sId="1" odxf="1" dxf="1">
    <nc r="S124">
      <f>(('Costo por negocio'!$B$4-DATA!R124)*DATA!O124)+('Costo por negocio'!$C$4-DATA!R124)*DATA!P124</f>
    </nc>
    <odxf>
      <fill>
        <patternFill patternType="none">
          <bgColor indexed="65"/>
        </patternFill>
      </fill>
    </odxf>
    <ndxf>
      <fill>
        <patternFill patternType="solid">
          <bgColor rgb="FF00B050"/>
        </patternFill>
      </fill>
    </ndxf>
  </rcc>
  <rfmt sheetId="1" sqref="T124" start="0" length="0">
    <dxf>
      <fill>
        <patternFill patternType="solid">
          <bgColor rgb="FF00B050"/>
        </patternFill>
      </fill>
    </dxf>
  </rfmt>
  <rcc rId="4865" sId="1" odxf="1" dxf="1">
    <nc r="U124" t="inlineStr">
      <is>
        <t>SI</t>
      </is>
    </nc>
    <odxf>
      <fill>
        <patternFill patternType="none">
          <bgColor indexed="65"/>
        </patternFill>
      </fill>
    </odxf>
    <ndxf>
      <fill>
        <patternFill patternType="solid">
          <bgColor rgb="FF00B050"/>
        </patternFill>
      </fill>
    </ndxf>
  </rcc>
  <rcc rId="4866" sId="1" odxf="1" dxf="1">
    <nc r="V124" t="inlineStr">
      <is>
        <t>SI</t>
      </is>
    </nc>
    <odxf>
      <fill>
        <patternFill patternType="none">
          <bgColor indexed="65"/>
        </patternFill>
      </fill>
    </odxf>
    <ndxf>
      <fill>
        <patternFill patternType="solid">
          <bgColor rgb="FF00B050"/>
        </patternFill>
      </fill>
    </ndxf>
  </rcc>
  <rcc rId="4867" sId="1" odxf="1" dxf="1">
    <nc r="W124" t="inlineStr">
      <is>
        <t>SI</t>
      </is>
    </nc>
    <odxf>
      <fill>
        <patternFill patternType="none">
          <bgColor indexed="65"/>
        </patternFill>
      </fill>
    </odxf>
    <ndxf>
      <fill>
        <patternFill patternType="solid">
          <bgColor rgb="FF00B050"/>
        </patternFill>
      </fill>
    </ndxf>
  </rcc>
  <rfmt sheetId="1" sqref="X124" start="0" length="0">
    <dxf>
      <fill>
        <patternFill patternType="solid">
          <bgColor rgb="FF00B050"/>
        </patternFill>
      </fill>
    </dxf>
  </rfmt>
  <rfmt sheetId="1" sqref="Y124" start="0" length="0">
    <dxf>
      <fill>
        <patternFill patternType="solid">
          <bgColor rgb="FF00B050"/>
        </patternFill>
      </fill>
    </dxf>
  </rfmt>
  <rfmt sheetId="1" sqref="Z124" start="0" length="0">
    <dxf>
      <numFmt numFmtId="19" formatCode="d/m/yyyy"/>
      <fill>
        <patternFill patternType="solid">
          <bgColor rgb="FF00B050"/>
        </patternFill>
      </fill>
    </dxf>
  </rfmt>
  <rfmt sheetId="1" sqref="AA124" start="0" length="0">
    <dxf>
      <fill>
        <patternFill patternType="solid">
          <bgColor rgb="FF00B050"/>
        </patternFill>
      </fill>
    </dxf>
  </rfmt>
  <rfmt sheetId="1" sqref="AB124" start="0" length="0">
    <dxf>
      <fill>
        <patternFill patternType="solid">
          <bgColor rgb="FF00B050"/>
        </patternFill>
      </fill>
    </dxf>
  </rfmt>
  <rfmt sheetId="1" sqref="AC124" start="0" length="0">
    <dxf>
      <fill>
        <patternFill patternType="solid">
          <bgColor rgb="FF00B050"/>
        </patternFill>
      </fill>
    </dxf>
  </rfmt>
  <rfmt sheetId="1" sqref="AD124" start="0" length="0">
    <dxf>
      <fill>
        <patternFill patternType="solid">
          <bgColor rgb="FF00B050"/>
        </patternFill>
      </fill>
    </dxf>
  </rfmt>
  <rfmt sheetId="1" sqref="AE124" start="0" length="0">
    <dxf>
      <fill>
        <patternFill patternType="solid">
          <bgColor rgb="FF00B050"/>
        </patternFill>
      </fill>
    </dxf>
  </rfmt>
  <rfmt sheetId="1" sqref="AF124" start="0" length="0">
    <dxf>
      <fill>
        <patternFill patternType="solid">
          <bgColor rgb="FF00B050"/>
        </patternFill>
      </fill>
    </dxf>
  </rfmt>
  <rfmt sheetId="1" sqref="AG124" start="0" length="0">
    <dxf>
      <fill>
        <patternFill patternType="solid">
          <bgColor rgb="FF00B050"/>
        </patternFill>
      </fill>
    </dxf>
  </rfmt>
  <rcc rId="4868" sId="1" odxf="1" dxf="1">
    <nc r="AH124">
      <f>+AF124-AD124</f>
    </nc>
    <odxf>
      <fill>
        <patternFill patternType="none">
          <bgColor indexed="65"/>
        </patternFill>
      </fill>
    </odxf>
    <ndxf>
      <fill>
        <patternFill patternType="solid">
          <bgColor rgb="FF00B050"/>
        </patternFill>
      </fill>
    </ndxf>
  </rcc>
  <rcc rId="4869" sId="1" odxf="1" dxf="1">
    <nc r="AI124">
      <v>3</v>
    </nc>
    <odxf>
      <fill>
        <patternFill patternType="none">
          <bgColor indexed="65"/>
        </patternFill>
      </fill>
    </odxf>
    <ndxf>
      <fill>
        <patternFill patternType="solid">
          <bgColor rgb="FF00B050"/>
        </patternFill>
      </fill>
    </ndxf>
  </rcc>
  <rcc rId="4870" sId="1" odxf="1" dxf="1">
    <nc r="AJ124">
      <f>+AI124*5</f>
    </nc>
    <odxf>
      <fill>
        <patternFill patternType="none">
          <bgColor indexed="65"/>
        </patternFill>
      </fill>
    </odxf>
    <ndxf>
      <fill>
        <patternFill patternType="solid">
          <bgColor rgb="FF00B050"/>
        </patternFill>
      </fill>
    </ndxf>
  </rcc>
  <rcc rId="4871" sId="1" odxf="1" dxf="1">
    <nc r="AK124">
      <f>+Q124-AJ124</f>
    </nc>
    <odxf>
      <fill>
        <patternFill patternType="none">
          <bgColor indexed="65"/>
        </patternFill>
      </fill>
    </odxf>
    <ndxf>
      <fill>
        <patternFill patternType="solid">
          <bgColor rgb="FF00B050"/>
        </patternFill>
      </fill>
    </ndxf>
  </rcc>
  <rcc rId="4872" sId="1">
    <nc r="AM124">
      <f>+AH124/Q124</f>
    </nc>
  </rcc>
  <rcc rId="4873" sId="1">
    <nc r="AN124">
      <f>+Q124/AI124</f>
    </nc>
  </rcc>
  <rcc rId="4874" sId="1">
    <nc r="AR124">
      <f>+AH124/11</f>
    </nc>
  </rcc>
  <rcc rId="4875" sId="1">
    <nc r="AS124">
      <f>+AR124-AQ124</f>
    </nc>
  </rcc>
  <rcc rId="4876" sId="1">
    <nc r="AT124">
      <f>+AH124/AQ124</f>
    </nc>
  </rcc>
  <rfmt sheetId="1" sqref="A124:M124">
    <dxf>
      <fill>
        <patternFill>
          <bgColor rgb="FF00B050"/>
        </patternFill>
      </fill>
    </dxf>
  </rfmt>
  <rcc rId="4877" sId="1" numFmtId="34">
    <nc r="N124">
      <v>2400.1</v>
    </nc>
  </rcc>
  <rcc rId="4878" sId="1" numFmtId="34">
    <nc r="O124">
      <v>12</v>
    </nc>
  </rcc>
  <rcc rId="4879" sId="1" numFmtId="19">
    <nc r="T124">
      <v>46146</v>
    </nc>
  </rcc>
  <rcc rId="4880" sId="1">
    <nc r="Y124" t="inlineStr">
      <is>
        <t>BEC 5473</t>
      </is>
    </nc>
  </rcc>
  <rcc rId="4881" sId="1" numFmtId="19">
    <nc r="Z124">
      <v>46146</v>
    </nc>
  </rcc>
  <rcc rId="4882" sId="1" numFmtId="34">
    <nc r="AD124">
      <v>92136</v>
    </nc>
  </rcc>
  <rcc rId="4883" sId="1" numFmtId="27">
    <nc r="AE124">
      <v>46139.65625</v>
    </nc>
  </rcc>
  <rcc rId="4884" sId="1" numFmtId="34">
    <nc r="AF124">
      <v>92468</v>
    </nc>
  </rcc>
  <rcc rId="4885" sId="1" numFmtId="27">
    <nc r="AG124">
      <v>46142.649305555555</v>
    </nc>
  </rcc>
  <rcc rId="4886" sId="1">
    <nc r="AQ124">
      <f>+N124/82.27</f>
    </nc>
  </rcc>
  <rcc rId="4887" sId="1">
    <oc r="AQ125">
      <f>+N125/78.54</f>
    </oc>
    <nc r="AQ125">
      <f>+N125/82.27</f>
    </nc>
  </rcc>
  <rcc rId="4888" sId="1">
    <oc r="AQ126">
      <f>+N126/78.54</f>
    </oc>
    <nc r="AQ126">
      <f>+N126/82.27</f>
    </nc>
  </rcc>
  <rcc rId="4889" sId="1">
    <oc r="AQ127">
      <f>+N127/78.54</f>
    </oc>
    <nc r="AQ127">
      <f>+N127/82.27</f>
    </nc>
  </rcc>
  <rcc rId="4890" sId="1">
    <oc r="AQ128">
      <f>+N128/78.54</f>
    </oc>
    <nc r="AQ128">
      <f>+N128/82.27</f>
    </nc>
  </rcc>
  <rcc rId="4891" sId="1">
    <oc r="AQ121">
      <f>+N121/78.54</f>
    </oc>
    <nc r="AQ121">
      <f>+N121/82.27</f>
    </nc>
  </rcc>
  <rcc rId="4892" sId="1">
    <oc r="AQ105">
      <f>+N105/78.54</f>
    </oc>
    <nc r="AQ105">
      <f>+N105/82.27</f>
    </nc>
  </rcc>
  <rcc rId="4893" sId="1">
    <oc r="AQ106">
      <f>+N106/78.54</f>
    </oc>
    <nc r="AQ106">
      <f>+N106/82.27</f>
    </nc>
  </rcc>
  <rcc rId="4894" sId="1">
    <oc r="AQ107">
      <f>+N107/78.54</f>
    </oc>
    <nc r="AQ107">
      <f>+N107/82.27</f>
    </nc>
  </rcc>
  <rcc rId="4895" sId="1">
    <oc r="AQ108">
      <f>+N108/78.54</f>
    </oc>
    <nc r="AQ108">
      <f>+N108/82.27</f>
    </nc>
  </rcc>
  <rcc rId="4896" sId="1">
    <oc r="AQ109">
      <f>+N109/78.54</f>
    </oc>
    <nc r="AQ109">
      <f>+N109/82.27</f>
    </nc>
  </rcc>
  <rcc rId="4897" sId="1">
    <oc r="AQ110">
      <f>+N110/78.54</f>
    </oc>
    <nc r="AQ110">
      <f>+N110/82.27</f>
    </nc>
  </rcc>
  <rcc rId="4898" sId="1">
    <oc r="AQ111">
      <f>+N111/78.54</f>
    </oc>
    <nc r="AQ111">
      <f>+N111/82.27</f>
    </nc>
  </rcc>
  <rcc rId="4899" sId="1">
    <oc r="AQ113">
      <f>+N113/78.54</f>
    </oc>
    <nc r="AQ113">
      <f>+N113/82.27</f>
    </nc>
  </rcc>
  <rcc rId="4900" sId="1">
    <oc r="AQ114">
      <f>+N114/78.54</f>
    </oc>
    <nc r="AQ114">
      <f>+N114/82.27</f>
    </nc>
  </rcc>
  <rcc rId="4901" sId="1">
    <oc r="AQ97">
      <f>+N97/82.27</f>
    </oc>
    <nc r="AQ97">
      <f>+N97/82.27</f>
    </nc>
  </rcc>
  <rcc rId="4902" sId="1">
    <oc r="AQ98">
      <f>+N98/82.27</f>
    </oc>
    <nc r="AQ98">
      <f>+N98/82.27</f>
    </nc>
  </rcc>
  <rcc rId="4903" sId="1">
    <oc r="AQ99">
      <f>+N99/82.27</f>
    </oc>
    <nc r="AQ99">
      <f>+N99/82.27</f>
    </nc>
  </rcc>
  <rcc rId="4904" sId="1">
    <oc r="AQ100">
      <f>+N100/82.27</f>
    </oc>
    <nc r="AQ100">
      <f>+N100/82.27</f>
    </nc>
  </rcc>
  <rcc rId="4905" sId="1">
    <oc r="AQ96">
      <f>+N96/82.27</f>
    </oc>
    <nc r="AQ96">
      <f>+N96/78.54</f>
    </nc>
  </rcc>
  <rfmt sheetId="1" sqref="A137" start="0" length="0">
    <dxf>
      <fill>
        <patternFill patternType="solid">
          <bgColor rgb="FF92D050"/>
        </patternFill>
      </fill>
    </dxf>
  </rfmt>
  <rfmt sheetId="1" sqref="B137" start="0" length="0">
    <dxf>
      <fill>
        <patternFill patternType="solid">
          <bgColor rgb="FF92D050"/>
        </patternFill>
      </fill>
    </dxf>
  </rfmt>
  <rfmt sheetId="1" sqref="C137" start="0" length="0">
    <dxf>
      <fill>
        <patternFill patternType="solid">
          <bgColor rgb="FF92D050"/>
        </patternFill>
      </fill>
    </dxf>
  </rfmt>
  <rcc rId="4906" sId="1" odxf="1" dxf="1">
    <nc r="D137">
      <v>11</v>
    </nc>
    <odxf>
      <fill>
        <patternFill patternType="none">
          <bgColor indexed="65"/>
        </patternFill>
      </fill>
    </odxf>
    <ndxf>
      <fill>
        <patternFill patternType="solid">
          <bgColor rgb="FF92D050"/>
        </patternFill>
      </fill>
    </ndxf>
  </rcc>
  <rcc rId="4907" sId="1" odxf="1" dxf="1">
    <nc r="E137" t="inlineStr">
      <is>
        <t>16/04 al 30/04/2026</t>
      </is>
    </nc>
    <odxf>
      <fill>
        <patternFill patternType="none">
          <bgColor indexed="65"/>
        </patternFill>
      </fill>
    </odxf>
    <ndxf>
      <fill>
        <patternFill patternType="solid">
          <bgColor rgb="FF92D050"/>
        </patternFill>
      </fill>
    </ndxf>
  </rcc>
  <rcc rId="4908" sId="1" odxf="1" dxf="1" numFmtId="19">
    <nc r="F137">
      <v>46128</v>
    </nc>
    <odxf>
      <fill>
        <patternFill patternType="none">
          <bgColor indexed="65"/>
        </patternFill>
      </fill>
    </odxf>
    <ndxf>
      <fill>
        <patternFill patternType="solid">
          <bgColor rgb="FF92D050"/>
        </patternFill>
      </fill>
    </ndxf>
  </rcc>
  <rcc rId="4909" sId="1" odxf="1" dxf="1" numFmtId="19">
    <nc r="G137">
      <v>46142</v>
    </nc>
    <odxf>
      <fill>
        <patternFill patternType="none">
          <bgColor indexed="65"/>
        </patternFill>
      </fill>
    </odxf>
    <ndxf>
      <fill>
        <patternFill patternType="solid">
          <bgColor rgb="FF92D050"/>
        </patternFill>
      </fill>
    </ndxf>
  </rcc>
  <rfmt sheetId="1" sqref="H137" start="0" length="0">
    <dxf>
      <fill>
        <patternFill patternType="solid">
          <bgColor rgb="FF92D050"/>
        </patternFill>
      </fill>
    </dxf>
  </rfmt>
  <rfmt sheetId="1" sqref="I137" start="0" length="0">
    <dxf>
      <fill>
        <patternFill patternType="solid">
          <bgColor rgb="FF92D050"/>
        </patternFill>
      </fill>
    </dxf>
  </rfmt>
  <rfmt sheetId="1" sqref="J137" start="0" length="0">
    <dxf>
      <fill>
        <patternFill patternType="solid">
          <bgColor rgb="FF92D050"/>
        </patternFill>
      </fill>
    </dxf>
  </rfmt>
  <rcc rId="4910" sId="1" odxf="1" dxf="1">
    <nc r="K137" t="inlineStr">
      <is>
        <t>Propio</t>
      </is>
    </nc>
    <odxf>
      <fill>
        <patternFill patternType="none">
          <bgColor indexed="65"/>
        </patternFill>
      </fill>
    </odxf>
    <ndxf>
      <fill>
        <patternFill patternType="solid">
          <bgColor rgb="FF92D050"/>
        </patternFill>
      </fill>
    </ndxf>
  </rcc>
  <rfmt sheetId="1" sqref="L137" start="0" length="0">
    <dxf>
      <fill>
        <patternFill patternType="solid">
          <bgColor rgb="FF92D050"/>
        </patternFill>
      </fill>
    </dxf>
  </rfmt>
  <rcc rId="4911" sId="1" odxf="1" dxf="1">
    <nc r="M137">
      <f>+N137-H137</f>
    </nc>
    <odxf>
      <fill>
        <patternFill patternType="none">
          <bgColor indexed="65"/>
        </patternFill>
      </fill>
    </odxf>
    <ndxf>
      <fill>
        <patternFill patternType="solid">
          <bgColor rgb="FF92D050"/>
        </patternFill>
      </fill>
    </ndxf>
  </rcc>
  <rfmt sheetId="1" sqref="N137" start="0" length="0">
    <dxf>
      <fill>
        <patternFill patternType="solid">
          <bgColor rgb="FF92D050"/>
        </patternFill>
      </fill>
    </dxf>
  </rfmt>
  <rfmt sheetId="1" sqref="O137" start="0" length="0">
    <dxf>
      <fill>
        <patternFill patternType="solid">
          <bgColor rgb="FF92D050"/>
        </patternFill>
      </fill>
    </dxf>
  </rfmt>
  <rfmt sheetId="1" sqref="P137" start="0" length="0">
    <dxf>
      <fill>
        <patternFill patternType="solid">
          <bgColor rgb="FF92D050"/>
        </patternFill>
      </fill>
    </dxf>
  </rfmt>
  <rcc rId="4912" sId="1" odxf="1" dxf="1">
    <nc r="Q137">
      <f>+P137+O137</f>
    </nc>
    <odxf>
      <fill>
        <patternFill patternType="none">
          <bgColor indexed="65"/>
        </patternFill>
      </fill>
    </odxf>
    <ndxf>
      <fill>
        <patternFill patternType="solid">
          <bgColor rgb="FF92D050"/>
        </patternFill>
      </fill>
    </ndxf>
  </rcc>
  <rcc rId="4913" sId="1" odxf="1" dxf="1">
    <nc r="R137">
      <f>(N137/Q137)</f>
    </nc>
    <odxf>
      <fill>
        <patternFill patternType="none">
          <bgColor indexed="65"/>
        </patternFill>
      </fill>
    </odxf>
    <ndxf>
      <fill>
        <patternFill patternType="solid">
          <bgColor rgb="FF92D050"/>
        </patternFill>
      </fill>
    </ndxf>
  </rcc>
  <rcc rId="4914" sId="1" odxf="1" dxf="1">
    <nc r="S137">
      <f>(('Costo por negocio'!$B$4-DATA!R137)*DATA!O137)+('Costo por negocio'!$C$4-DATA!R137)*DATA!P137</f>
    </nc>
    <odxf>
      <fill>
        <patternFill patternType="none">
          <bgColor indexed="65"/>
        </patternFill>
      </fill>
    </odxf>
    <ndxf>
      <fill>
        <patternFill patternType="solid">
          <bgColor rgb="FF92D050"/>
        </patternFill>
      </fill>
    </ndxf>
  </rcc>
  <rcc rId="4915" sId="1" odxf="1" dxf="1" numFmtId="19">
    <nc r="T137">
      <v>46146</v>
    </nc>
    <odxf>
      <fill>
        <patternFill patternType="none">
          <bgColor indexed="65"/>
        </patternFill>
      </fill>
    </odxf>
    <ndxf>
      <fill>
        <patternFill patternType="solid">
          <bgColor rgb="FF92D050"/>
        </patternFill>
      </fill>
    </ndxf>
  </rcc>
  <rcc rId="4916" sId="1" odxf="1" dxf="1">
    <nc r="U137" t="inlineStr">
      <is>
        <t>SI</t>
      </is>
    </nc>
    <odxf>
      <fill>
        <patternFill patternType="none">
          <bgColor indexed="65"/>
        </patternFill>
      </fill>
    </odxf>
    <ndxf>
      <fill>
        <patternFill patternType="solid">
          <bgColor rgb="FF92D050"/>
        </patternFill>
      </fill>
    </ndxf>
  </rcc>
  <rcc rId="4917" sId="1" odxf="1" dxf="1">
    <nc r="V137" t="inlineStr">
      <is>
        <t>SI</t>
      </is>
    </nc>
    <odxf>
      <fill>
        <patternFill patternType="none">
          <bgColor indexed="65"/>
        </patternFill>
      </fill>
    </odxf>
    <ndxf>
      <fill>
        <patternFill patternType="solid">
          <bgColor rgb="FF92D050"/>
        </patternFill>
      </fill>
    </ndxf>
  </rcc>
  <rcc rId="4918" sId="1" odxf="1" dxf="1">
    <nc r="W137" t="inlineStr">
      <is>
        <t>SI</t>
      </is>
    </nc>
    <odxf>
      <fill>
        <patternFill patternType="none">
          <bgColor indexed="65"/>
        </patternFill>
      </fill>
    </odxf>
    <ndxf>
      <fill>
        <patternFill patternType="solid">
          <bgColor rgb="FF92D050"/>
        </patternFill>
      </fill>
    </ndxf>
  </rcc>
  <rfmt sheetId="1" sqref="X137" start="0" length="0">
    <dxf>
      <fill>
        <patternFill patternType="solid">
          <bgColor rgb="FF92D050"/>
        </patternFill>
      </fill>
    </dxf>
  </rfmt>
  <rfmt sheetId="1" sqref="Y137" start="0" length="0">
    <dxf>
      <fill>
        <patternFill patternType="solid">
          <bgColor rgb="FF92D050"/>
        </patternFill>
      </fill>
    </dxf>
  </rfmt>
  <rfmt sheetId="1" sqref="Z137" start="0" length="0">
    <dxf>
      <fill>
        <patternFill patternType="solid">
          <bgColor rgb="FF92D050"/>
        </patternFill>
      </fill>
    </dxf>
  </rfmt>
  <rfmt sheetId="1" sqref="AA137" start="0" length="0">
    <dxf>
      <fill>
        <patternFill patternType="solid">
          <bgColor rgb="FF92D050"/>
        </patternFill>
      </fill>
    </dxf>
  </rfmt>
  <rfmt sheetId="1" sqref="AB137" start="0" length="0">
    <dxf>
      <fill>
        <patternFill patternType="solid">
          <bgColor rgb="FF92D050"/>
        </patternFill>
      </fill>
    </dxf>
  </rfmt>
  <rfmt sheetId="1" sqref="AC137" start="0" length="0">
    <dxf>
      <fill>
        <patternFill patternType="solid">
          <bgColor rgb="FF92D050"/>
        </patternFill>
      </fill>
    </dxf>
  </rfmt>
  <rfmt sheetId="1" sqref="AD137" start="0" length="0">
    <dxf>
      <fill>
        <patternFill patternType="solid">
          <bgColor rgb="FF92D050"/>
        </patternFill>
      </fill>
    </dxf>
  </rfmt>
  <rfmt sheetId="1" sqref="AE137" start="0" length="0">
    <dxf>
      <fill>
        <patternFill patternType="solid">
          <bgColor rgb="FF92D050"/>
        </patternFill>
      </fill>
    </dxf>
  </rfmt>
  <rfmt sheetId="1" sqref="AF137" start="0" length="0">
    <dxf>
      <fill>
        <patternFill patternType="solid">
          <bgColor rgb="FF92D050"/>
        </patternFill>
      </fill>
    </dxf>
  </rfmt>
  <rfmt sheetId="1" sqref="AG137" start="0" length="0">
    <dxf>
      <fill>
        <patternFill patternType="solid">
          <bgColor rgb="FF92D050"/>
        </patternFill>
      </fill>
    </dxf>
  </rfmt>
  <rfmt sheetId="1" sqref="AH137" start="0" length="0">
    <dxf>
      <fill>
        <patternFill patternType="solid">
          <bgColor rgb="FF92D050"/>
        </patternFill>
      </fill>
    </dxf>
  </rfmt>
  <rfmt sheetId="1" sqref="AI137" start="0" length="0">
    <dxf>
      <fill>
        <patternFill patternType="solid">
          <bgColor rgb="FF92D050"/>
        </patternFill>
      </fill>
    </dxf>
  </rfmt>
  <rfmt sheetId="1" sqref="AJ137" start="0" length="0">
    <dxf>
      <fill>
        <patternFill patternType="solid">
          <bgColor rgb="FF92D050"/>
        </patternFill>
      </fill>
    </dxf>
  </rfmt>
  <rfmt sheetId="1" sqref="AK137" start="0" length="0">
    <dxf>
      <fill>
        <patternFill patternType="solid">
          <bgColor rgb="FF92D050"/>
        </patternFill>
      </fill>
    </dxf>
  </rfmt>
  <rcc rId="4919" sId="1">
    <nc r="A137">
      <v>136</v>
    </nc>
  </rcc>
  <rcc rId="4920" sId="1">
    <nc r="B137" t="inlineStr">
      <is>
        <t>Luis Amicone</t>
      </is>
    </nc>
  </rcc>
  <rcc rId="4921" sId="1">
    <nc r="C137">
      <v>3075</v>
    </nc>
  </rcc>
  <rcc rId="4922" sId="1">
    <nc r="J137" t="inlineStr">
      <is>
        <t>Montevideo</t>
      </is>
    </nc>
  </rcc>
  <rcc rId="4923" sId="1">
    <nc r="N137">
      <f>1000+2000</f>
    </nc>
  </rcc>
  <rcc rId="4924" sId="1" numFmtId="34">
    <nc r="O137">
      <v>8</v>
    </nc>
  </rcc>
  <rcc rId="4925" sId="1">
    <nc r="Y137" t="inlineStr">
      <is>
        <t>SDA 5511</t>
      </is>
    </nc>
  </rcc>
  <rcc rId="4926" sId="1" odxf="1" dxf="1">
    <nc r="M123">
      <f>+N123-H123</f>
    </nc>
    <odxf>
      <fill>
        <patternFill patternType="none">
          <bgColor indexed="65"/>
        </patternFill>
      </fill>
    </odxf>
    <ndxf>
      <fill>
        <patternFill patternType="solid">
          <bgColor rgb="FF00B050"/>
        </patternFill>
      </fill>
    </ndxf>
  </rcc>
  <rfmt sheetId="1" sqref="N123" start="0" length="0">
    <dxf>
      <fill>
        <patternFill patternType="solid">
          <bgColor rgb="FF00B050"/>
        </patternFill>
      </fill>
    </dxf>
  </rfmt>
  <rfmt sheetId="1" sqref="O123" start="0" length="0">
    <dxf>
      <fill>
        <patternFill patternType="solid">
          <bgColor rgb="FF00B050"/>
        </patternFill>
      </fill>
    </dxf>
  </rfmt>
  <rfmt sheetId="1" sqref="P123" start="0" length="0">
    <dxf>
      <fill>
        <patternFill patternType="solid">
          <bgColor rgb="FF00B050"/>
        </patternFill>
      </fill>
    </dxf>
  </rfmt>
  <rcc rId="4927" sId="1" odxf="1" dxf="1">
    <nc r="Q123">
      <f>+P123+O123</f>
    </nc>
    <odxf>
      <fill>
        <patternFill patternType="none">
          <bgColor indexed="65"/>
        </patternFill>
      </fill>
    </odxf>
    <ndxf>
      <fill>
        <patternFill patternType="solid">
          <bgColor rgb="FF00B050"/>
        </patternFill>
      </fill>
    </ndxf>
  </rcc>
  <rcc rId="4928" sId="1" odxf="1" dxf="1">
    <nc r="R123">
      <f>(N123/Q123)</f>
    </nc>
    <odxf>
      <fill>
        <patternFill patternType="none">
          <bgColor indexed="65"/>
        </patternFill>
      </fill>
    </odxf>
    <ndxf>
      <fill>
        <patternFill patternType="solid">
          <bgColor rgb="FF00B050"/>
        </patternFill>
      </fill>
    </ndxf>
  </rcc>
  <rcc rId="4929" sId="1" odxf="1" dxf="1">
    <nc r="S123">
      <f>(('Costo por negocio'!$B$4-DATA!R123)*DATA!O123)+('Costo por negocio'!$C$4-DATA!R123)*DATA!P123</f>
    </nc>
    <odxf>
      <fill>
        <patternFill patternType="none">
          <bgColor indexed="65"/>
        </patternFill>
      </fill>
    </odxf>
    <ndxf>
      <fill>
        <patternFill patternType="solid">
          <bgColor rgb="FF00B050"/>
        </patternFill>
      </fill>
    </ndxf>
  </rcc>
  <rcc rId="4930" sId="1" odxf="1" dxf="1" numFmtId="19">
    <nc r="T123">
      <v>46146</v>
    </nc>
    <odxf>
      <fill>
        <patternFill patternType="none">
          <bgColor indexed="65"/>
        </patternFill>
      </fill>
    </odxf>
    <ndxf>
      <fill>
        <patternFill patternType="solid">
          <bgColor rgb="FF00B050"/>
        </patternFill>
      </fill>
    </ndxf>
  </rcc>
  <rcc rId="4931" sId="1" odxf="1" dxf="1">
    <nc r="U123" t="inlineStr">
      <is>
        <t>SI</t>
      </is>
    </nc>
    <odxf>
      <fill>
        <patternFill patternType="none">
          <bgColor indexed="65"/>
        </patternFill>
      </fill>
    </odxf>
    <ndxf>
      <fill>
        <patternFill patternType="solid">
          <bgColor rgb="FF00B050"/>
        </patternFill>
      </fill>
    </ndxf>
  </rcc>
  <rcc rId="4932" sId="1" odxf="1" dxf="1">
    <nc r="V123" t="inlineStr">
      <is>
        <t>SI</t>
      </is>
    </nc>
    <odxf>
      <fill>
        <patternFill patternType="none">
          <bgColor indexed="65"/>
        </patternFill>
      </fill>
    </odxf>
    <ndxf>
      <fill>
        <patternFill patternType="solid">
          <bgColor rgb="FF00B050"/>
        </patternFill>
      </fill>
    </ndxf>
  </rcc>
  <rcc rId="4933" sId="1" odxf="1" dxf="1">
    <nc r="W123" t="inlineStr">
      <is>
        <t>SI</t>
      </is>
    </nc>
    <odxf>
      <fill>
        <patternFill patternType="none">
          <bgColor indexed="65"/>
        </patternFill>
      </fill>
    </odxf>
    <ndxf>
      <fill>
        <patternFill patternType="solid">
          <bgColor rgb="FF00B050"/>
        </patternFill>
      </fill>
    </ndxf>
  </rcc>
  <rfmt sheetId="1" sqref="X123" start="0" length="0">
    <dxf>
      <fill>
        <patternFill patternType="solid">
          <bgColor rgb="FF00B050"/>
        </patternFill>
      </fill>
    </dxf>
  </rfmt>
  <rfmt sheetId="1" sqref="Y123" start="0" length="0">
    <dxf>
      <fill>
        <patternFill patternType="solid">
          <bgColor rgb="FF00B050"/>
        </patternFill>
      </fill>
    </dxf>
  </rfmt>
  <rcc rId="4934" sId="1" odxf="1" dxf="1" numFmtId="19">
    <nc r="Z123">
      <v>46146</v>
    </nc>
    <odxf>
      <numFmt numFmtId="0" formatCode="General"/>
      <fill>
        <patternFill patternType="none">
          <bgColor indexed="65"/>
        </patternFill>
      </fill>
    </odxf>
    <ndxf>
      <numFmt numFmtId="19" formatCode="d/m/yyyy"/>
      <fill>
        <patternFill patternType="solid">
          <bgColor rgb="FF00B050"/>
        </patternFill>
      </fill>
    </ndxf>
  </rcc>
  <rfmt sheetId="1" sqref="AA123" start="0" length="0">
    <dxf>
      <fill>
        <patternFill patternType="solid">
          <bgColor rgb="FF00B050"/>
        </patternFill>
      </fill>
    </dxf>
  </rfmt>
  <rfmt sheetId="1" sqref="AB123" start="0" length="0">
    <dxf>
      <fill>
        <patternFill patternType="solid">
          <bgColor rgb="FF00B050"/>
        </patternFill>
      </fill>
    </dxf>
  </rfmt>
  <rfmt sheetId="1" sqref="AC123" start="0" length="0">
    <dxf>
      <fill>
        <patternFill patternType="solid">
          <bgColor rgb="FF00B050"/>
        </patternFill>
      </fill>
    </dxf>
  </rfmt>
  <rfmt sheetId="1" sqref="AD123" start="0" length="0">
    <dxf>
      <fill>
        <patternFill patternType="solid">
          <bgColor rgb="FF00B050"/>
        </patternFill>
      </fill>
    </dxf>
  </rfmt>
  <rfmt sheetId="1" sqref="AE123" start="0" length="0">
    <dxf>
      <fill>
        <patternFill patternType="solid">
          <bgColor rgb="FF00B050"/>
        </patternFill>
      </fill>
    </dxf>
  </rfmt>
  <rfmt sheetId="1" sqref="AF123" start="0" length="0">
    <dxf>
      <fill>
        <patternFill patternType="solid">
          <bgColor rgb="FF00B050"/>
        </patternFill>
      </fill>
    </dxf>
  </rfmt>
  <rfmt sheetId="1" sqref="AG123" start="0" length="0">
    <dxf>
      <fill>
        <patternFill patternType="solid">
          <bgColor rgb="FF00B050"/>
        </patternFill>
      </fill>
    </dxf>
  </rfmt>
  <rcc rId="4935" sId="1" odxf="1" dxf="1">
    <nc r="AH123">
      <f>+AF123-AD123</f>
    </nc>
    <odxf>
      <fill>
        <patternFill patternType="none">
          <bgColor indexed="65"/>
        </patternFill>
      </fill>
    </odxf>
    <ndxf>
      <fill>
        <patternFill patternType="solid">
          <bgColor rgb="FF00B050"/>
        </patternFill>
      </fill>
    </ndxf>
  </rcc>
  <rcc rId="4936" sId="1" odxf="1" dxf="1">
    <nc r="AI123">
      <v>3</v>
    </nc>
    <odxf>
      <fill>
        <patternFill patternType="none">
          <bgColor indexed="65"/>
        </patternFill>
      </fill>
    </odxf>
    <ndxf>
      <fill>
        <patternFill patternType="solid">
          <bgColor rgb="FF00B050"/>
        </patternFill>
      </fill>
    </ndxf>
  </rcc>
  <rcc rId="4937" sId="1" odxf="1" dxf="1">
    <nc r="AJ123">
      <f>+AI123*5</f>
    </nc>
    <odxf>
      <fill>
        <patternFill patternType="none">
          <bgColor indexed="65"/>
        </patternFill>
      </fill>
    </odxf>
    <ndxf>
      <fill>
        <patternFill patternType="solid">
          <bgColor rgb="FF00B050"/>
        </patternFill>
      </fill>
    </ndxf>
  </rcc>
  <rcc rId="4938" sId="1" odxf="1" dxf="1">
    <nc r="AK123">
      <f>+Q123-AJ123</f>
    </nc>
    <odxf>
      <fill>
        <patternFill patternType="none">
          <bgColor indexed="65"/>
        </patternFill>
      </fill>
    </odxf>
    <ndxf>
      <fill>
        <patternFill patternType="solid">
          <bgColor rgb="FF00B050"/>
        </patternFill>
      </fill>
    </ndxf>
  </rcc>
  <rcc rId="4939" sId="1">
    <nc r="AM123">
      <f>+AH123/Q123</f>
    </nc>
  </rcc>
  <rcc rId="4940" sId="1">
    <nc r="AN123">
      <f>+Q123/AI123</f>
    </nc>
  </rcc>
  <rcc rId="4941" sId="1">
    <nc r="AQ123">
      <f>+N123/82.27</f>
    </nc>
  </rcc>
  <rcc rId="4942" sId="1">
    <nc r="AR123">
      <f>+AH123/11</f>
    </nc>
  </rcc>
  <rcc rId="4943" sId="1">
    <nc r="AS123">
      <f>+AR123-AQ123</f>
    </nc>
  </rcc>
  <rcc rId="4944" sId="1">
    <nc r="AT123">
      <f>+AH123/AQ123</f>
    </nc>
  </rcc>
  <rfmt sheetId="1" sqref="A123:L123">
    <dxf>
      <fill>
        <patternFill patternType="solid">
          <bgColor rgb="FF00B050"/>
        </patternFill>
      </fill>
    </dxf>
  </rfmt>
  <rcc rId="4945" sId="1" numFmtId="34">
    <nc r="N123">
      <f>1346.4+2531+2720</f>
    </nc>
  </rcc>
  <rcc rId="4946" sId="1" numFmtId="34">
    <nc r="O123">
      <v>14</v>
    </nc>
  </rcc>
  <rcc rId="4947" sId="1" numFmtId="34">
    <nc r="P123">
      <v>23</v>
    </nc>
  </rcc>
  <rfmt sheetId="1" sqref="A123:AK123">
    <dxf>
      <fill>
        <patternFill>
          <bgColor rgb="FFFFFF00"/>
        </patternFill>
      </fill>
    </dxf>
  </rfmt>
  <rcc rId="4948" sId="1">
    <nc r="Y123" t="inlineStr">
      <is>
        <t>BEB 9257</t>
      </is>
    </nc>
  </rcc>
  <rcc rId="4949" sId="1" numFmtId="34">
    <nc r="AD123">
      <v>90019</v>
    </nc>
  </rcc>
  <rcc rId="4950" sId="1" numFmtId="27">
    <nc r="AE123">
      <v>46139.385416666664</v>
    </nc>
  </rcc>
  <rcc rId="4951" sId="1" numFmtId="34">
    <nc r="AF123">
      <v>91284</v>
    </nc>
  </rcc>
  <rcc rId="4952" sId="1" numFmtId="27">
    <nc r="AG123">
      <v>46142.698611111111</v>
    </nc>
  </rcc>
  <rfmt sheetId="1" sqref="A123:AK123">
    <dxf>
      <fill>
        <patternFill>
          <bgColor rgb="FF00B050"/>
        </patternFill>
      </fill>
    </dxf>
  </rfmt>
  <rcc rId="4953" sId="1" odxf="1" dxf="1">
    <nc r="M122">
      <f>+N122-H122</f>
    </nc>
    <odxf>
      <fill>
        <patternFill patternType="none">
          <bgColor indexed="65"/>
        </patternFill>
      </fill>
    </odxf>
    <ndxf>
      <fill>
        <patternFill patternType="solid">
          <bgColor rgb="FF00B050"/>
        </patternFill>
      </fill>
    </ndxf>
  </rcc>
  <rfmt sheetId="1" sqref="N122" start="0" length="0">
    <dxf>
      <fill>
        <patternFill patternType="solid">
          <bgColor rgb="FF00B050"/>
        </patternFill>
      </fill>
    </dxf>
  </rfmt>
  <rfmt sheetId="1" sqref="O122" start="0" length="0">
    <dxf>
      <fill>
        <patternFill patternType="solid">
          <bgColor rgb="FF00B050"/>
        </patternFill>
      </fill>
    </dxf>
  </rfmt>
  <rfmt sheetId="1" sqref="P122" start="0" length="0">
    <dxf>
      <fill>
        <patternFill patternType="solid">
          <bgColor rgb="FF00B050"/>
        </patternFill>
      </fill>
    </dxf>
  </rfmt>
  <rcc rId="4954" sId="1" odxf="1" dxf="1">
    <nc r="Q122">
      <f>+P122+O122</f>
    </nc>
    <odxf>
      <fill>
        <patternFill patternType="none">
          <bgColor indexed="65"/>
        </patternFill>
      </fill>
    </odxf>
    <ndxf>
      <fill>
        <patternFill patternType="solid">
          <bgColor rgb="FF00B050"/>
        </patternFill>
      </fill>
    </ndxf>
  </rcc>
  <rcc rId="4955" sId="1" odxf="1" dxf="1">
    <nc r="R122">
      <f>(N122/Q122)</f>
    </nc>
    <odxf>
      <fill>
        <patternFill patternType="none">
          <bgColor indexed="65"/>
        </patternFill>
      </fill>
    </odxf>
    <ndxf>
      <fill>
        <patternFill patternType="solid">
          <bgColor rgb="FF00B050"/>
        </patternFill>
      </fill>
    </ndxf>
  </rcc>
  <rcc rId="4956" sId="1" odxf="1" dxf="1">
    <nc r="S122">
      <f>(('Costo por negocio'!$B$4-DATA!R122)*DATA!O122)+('Costo por negocio'!$C$4-DATA!R122)*DATA!P122</f>
    </nc>
    <odxf>
      <fill>
        <patternFill patternType="none">
          <bgColor indexed="65"/>
        </patternFill>
      </fill>
    </odxf>
    <ndxf>
      <fill>
        <patternFill patternType="solid">
          <bgColor rgb="FF00B050"/>
        </patternFill>
      </fill>
    </ndxf>
  </rcc>
  <rcc rId="4957" sId="1" odxf="1" dxf="1" numFmtId="19">
    <nc r="T122">
      <v>46146</v>
    </nc>
    <odxf>
      <fill>
        <patternFill patternType="none">
          <bgColor indexed="65"/>
        </patternFill>
      </fill>
    </odxf>
    <ndxf>
      <fill>
        <patternFill patternType="solid">
          <bgColor rgb="FF00B050"/>
        </patternFill>
      </fill>
    </ndxf>
  </rcc>
  <rcc rId="4958" sId="1" odxf="1" dxf="1">
    <nc r="U122" t="inlineStr">
      <is>
        <t>SI</t>
      </is>
    </nc>
    <odxf>
      <fill>
        <patternFill patternType="none">
          <bgColor indexed="65"/>
        </patternFill>
      </fill>
    </odxf>
    <ndxf>
      <fill>
        <patternFill patternType="solid">
          <bgColor rgb="FF00B050"/>
        </patternFill>
      </fill>
    </ndxf>
  </rcc>
  <rcc rId="4959" sId="1" odxf="1" dxf="1">
    <nc r="V122" t="inlineStr">
      <is>
        <t>SI</t>
      </is>
    </nc>
    <odxf>
      <fill>
        <patternFill patternType="none">
          <bgColor indexed="65"/>
        </patternFill>
      </fill>
    </odxf>
    <ndxf>
      <fill>
        <patternFill patternType="solid">
          <bgColor rgb="FF00B050"/>
        </patternFill>
      </fill>
    </ndxf>
  </rcc>
  <rcc rId="4960" sId="1" odxf="1" dxf="1">
    <nc r="W122" t="inlineStr">
      <is>
        <t>SI</t>
      </is>
    </nc>
    <odxf>
      <fill>
        <patternFill patternType="none">
          <bgColor indexed="65"/>
        </patternFill>
      </fill>
    </odxf>
    <ndxf>
      <fill>
        <patternFill patternType="solid">
          <bgColor rgb="FF00B050"/>
        </patternFill>
      </fill>
    </ndxf>
  </rcc>
  <rfmt sheetId="1" sqref="X122" start="0" length="0">
    <dxf>
      <fill>
        <patternFill patternType="solid">
          <bgColor rgb="FF00B050"/>
        </patternFill>
      </fill>
    </dxf>
  </rfmt>
  <rfmt sheetId="1" sqref="Y122" start="0" length="0">
    <dxf>
      <fill>
        <patternFill patternType="solid">
          <bgColor rgb="FF00B050"/>
        </patternFill>
      </fill>
    </dxf>
  </rfmt>
  <rcc rId="4961" sId="1" odxf="1" dxf="1" numFmtId="19">
    <nc r="Z122">
      <v>46146</v>
    </nc>
    <odxf>
      <numFmt numFmtId="0" formatCode="General"/>
      <fill>
        <patternFill patternType="none">
          <bgColor indexed="65"/>
        </patternFill>
      </fill>
    </odxf>
    <ndxf>
      <numFmt numFmtId="19" formatCode="d/m/yyyy"/>
      <fill>
        <patternFill patternType="solid">
          <bgColor rgb="FF00B050"/>
        </patternFill>
      </fill>
    </ndxf>
  </rcc>
  <rfmt sheetId="1" sqref="AA122" start="0" length="0">
    <dxf>
      <fill>
        <patternFill patternType="solid">
          <bgColor rgb="FF00B050"/>
        </patternFill>
      </fill>
    </dxf>
  </rfmt>
  <rfmt sheetId="1" sqref="AB122" start="0" length="0">
    <dxf>
      <fill>
        <patternFill patternType="solid">
          <bgColor rgb="FF00B050"/>
        </patternFill>
      </fill>
    </dxf>
  </rfmt>
  <rfmt sheetId="1" sqref="AC122" start="0" length="0">
    <dxf>
      <fill>
        <patternFill patternType="solid">
          <bgColor rgb="FF00B050"/>
        </patternFill>
      </fill>
    </dxf>
  </rfmt>
  <rfmt sheetId="1" sqref="AD122" start="0" length="0">
    <dxf>
      <fill>
        <patternFill patternType="solid">
          <bgColor rgb="FF00B050"/>
        </patternFill>
      </fill>
    </dxf>
  </rfmt>
  <rfmt sheetId="1" sqref="AE122" start="0" length="0">
    <dxf>
      <fill>
        <patternFill patternType="solid">
          <bgColor rgb="FF00B050"/>
        </patternFill>
      </fill>
    </dxf>
  </rfmt>
  <rfmt sheetId="1" sqref="AF122" start="0" length="0">
    <dxf>
      <fill>
        <patternFill patternType="solid">
          <bgColor rgb="FF00B050"/>
        </patternFill>
      </fill>
    </dxf>
  </rfmt>
  <rfmt sheetId="1" sqref="AG122" start="0" length="0">
    <dxf>
      <fill>
        <patternFill patternType="solid">
          <bgColor rgb="FF00B050"/>
        </patternFill>
      </fill>
    </dxf>
  </rfmt>
  <rcc rId="4962" sId="1" odxf="1" dxf="1">
    <nc r="AH122">
      <f>+AF122-AD122</f>
    </nc>
    <odxf>
      <fill>
        <patternFill patternType="none">
          <bgColor indexed="65"/>
        </patternFill>
      </fill>
    </odxf>
    <ndxf>
      <fill>
        <patternFill patternType="solid">
          <bgColor rgb="FF00B050"/>
        </patternFill>
      </fill>
    </ndxf>
  </rcc>
  <rcc rId="4963" sId="1" odxf="1" dxf="1">
    <nc r="AI122">
      <v>3</v>
    </nc>
    <odxf>
      <fill>
        <patternFill patternType="none">
          <bgColor indexed="65"/>
        </patternFill>
      </fill>
    </odxf>
    <ndxf>
      <fill>
        <patternFill patternType="solid">
          <bgColor rgb="FF00B050"/>
        </patternFill>
      </fill>
    </ndxf>
  </rcc>
  <rcc rId="4964" sId="1" odxf="1" dxf="1">
    <nc r="AJ122">
      <f>+AI122*5</f>
    </nc>
    <odxf>
      <fill>
        <patternFill patternType="none">
          <bgColor indexed="65"/>
        </patternFill>
      </fill>
    </odxf>
    <ndxf>
      <fill>
        <patternFill patternType="solid">
          <bgColor rgb="FF00B050"/>
        </patternFill>
      </fill>
    </ndxf>
  </rcc>
  <rcc rId="4965" sId="1" odxf="1" dxf="1">
    <nc r="AK122">
      <f>+Q122-AJ122</f>
    </nc>
    <odxf>
      <fill>
        <patternFill patternType="none">
          <bgColor indexed="65"/>
        </patternFill>
      </fill>
    </odxf>
    <ndxf>
      <fill>
        <patternFill patternType="solid">
          <bgColor rgb="FF00B050"/>
        </patternFill>
      </fill>
    </ndxf>
  </rcc>
  <rcc rId="4966" sId="1">
    <nc r="AM122">
      <f>+AH122/Q122</f>
    </nc>
  </rcc>
  <rcc rId="4967" sId="1">
    <nc r="AN122">
      <f>+Q122/AI122</f>
    </nc>
  </rcc>
  <rcc rId="4968" sId="1">
    <nc r="AQ122">
      <f>+N122/82.27</f>
    </nc>
  </rcc>
  <rcc rId="4969" sId="1">
    <nc r="AR122">
      <f>+AH122/11</f>
    </nc>
  </rcc>
  <rcc rId="4970" sId="1">
    <nc r="AS122">
      <f>+AR122-AQ122</f>
    </nc>
  </rcc>
  <rcc rId="4971" sId="1">
    <nc r="AT122">
      <f>+AH122/AQ122</f>
    </nc>
  </rcc>
  <rfmt sheetId="1" sqref="A122:AK122">
    <dxf>
      <fill>
        <patternFill>
          <bgColor rgb="FF00B050"/>
        </patternFill>
      </fill>
    </dxf>
  </rfmt>
  <rcc rId="4972" sId="1">
    <nc r="N122">
      <f>2730.5+425</f>
    </nc>
  </rcc>
  <rcc rId="4973" sId="1" numFmtId="34">
    <nc r="O122">
      <v>27</v>
    </nc>
  </rcc>
  <rcc rId="4974" sId="1">
    <nc r="Y122" t="inlineStr">
      <is>
        <t>BEC 5947</t>
      </is>
    </nc>
  </rcc>
  <rcc rId="4975" sId="1" numFmtId="34">
    <nc r="AD122">
      <v>81462</v>
    </nc>
  </rcc>
  <rcc rId="4976" sId="1" numFmtId="27">
    <nc r="AE122">
      <v>46140.375</v>
    </nc>
  </rcc>
  <rcc rId="4977" sId="1" numFmtId="34">
    <nc r="AF122">
      <v>82040</v>
    </nc>
  </rcc>
  <rcc rId="4978" sId="1" numFmtId="27">
    <nc r="AG122">
      <v>46142.726388888892</v>
    </nc>
  </rcc>
  <rcv guid="{D41D3FB0-5142-496B-B92F-3F303994F17B}" action="delete"/>
  <rdn rId="0" localSheetId="1" customView="1" name="Z_D41D3FB0_5142_496B_B92F_3F303994F17B_.wvu.FilterData" hidden="1" oldHidden="1">
    <formula>DATA!$A$1:$AK$136</formula>
    <oldFormula>DATA!$A$1:$AK$132</oldFormula>
  </rdn>
  <rcv guid="{D41D3FB0-5142-496B-B92F-3F303994F17B}" action="add"/>
</revisions>
</file>

<file path=xl/revisions/revisionLog3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37:AK137">
    <dxf>
      <fill>
        <patternFill>
          <bgColor rgb="FF00B050"/>
        </patternFill>
      </fill>
    </dxf>
  </rfmt>
</revisions>
</file>

<file path=xl/revisions/revisionLog3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DATA!$A$1:$AK$137</formula>
    <oldFormula>DATA!$A$1:$AK$136</oldFormula>
  </rdn>
  <rcv guid="{D015136D-255F-4042-9389-EB535F138010}" action="add"/>
</revisions>
</file>

<file path=xl/revisions/revisionLog3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38" start="0" length="0">
    <dxf>
      <fill>
        <patternFill patternType="solid">
          <bgColor rgb="FF00B050"/>
        </patternFill>
      </fill>
    </dxf>
  </rfmt>
  <rcc rId="4981" sId="1" odxf="1" dxf="1">
    <nc r="B138" t="inlineStr">
      <is>
        <t>Gabriela Falero</t>
      </is>
    </nc>
    <odxf>
      <fill>
        <patternFill patternType="none">
          <bgColor indexed="65"/>
        </patternFill>
      </fill>
    </odxf>
    <ndxf>
      <fill>
        <patternFill patternType="solid">
          <bgColor rgb="FF00B050"/>
        </patternFill>
      </fill>
    </ndxf>
  </rcc>
  <rcc rId="4982" sId="1" odxf="1" dxf="1">
    <nc r="C138">
      <v>2030</v>
    </nc>
    <odxf>
      <fill>
        <patternFill patternType="none">
          <bgColor indexed="65"/>
        </patternFill>
      </fill>
    </odxf>
    <ndxf>
      <fill>
        <patternFill patternType="solid">
          <bgColor rgb="FF00B050"/>
        </patternFill>
      </fill>
    </ndxf>
  </rcc>
  <rfmt sheetId="1" sqref="D138" start="0" length="0">
    <dxf>
      <fill>
        <patternFill patternType="solid">
          <bgColor rgb="FF00B050"/>
        </patternFill>
      </fill>
    </dxf>
  </rfmt>
  <rfmt sheetId="1" sqref="E138" start="0" length="0">
    <dxf>
      <fill>
        <patternFill patternType="solid">
          <bgColor rgb="FF00B050"/>
        </patternFill>
      </fill>
    </dxf>
  </rfmt>
  <rfmt sheetId="1" sqref="F138" start="0" length="0">
    <dxf>
      <fill>
        <patternFill patternType="solid">
          <bgColor rgb="FF00B050"/>
        </patternFill>
      </fill>
    </dxf>
  </rfmt>
  <rfmt sheetId="1" sqref="G138" start="0" length="0">
    <dxf>
      <fill>
        <patternFill patternType="solid">
          <bgColor rgb="FF00B050"/>
        </patternFill>
      </fill>
    </dxf>
  </rfmt>
  <rfmt sheetId="1" sqref="H138" start="0" length="0">
    <dxf>
      <fill>
        <patternFill patternType="solid">
          <bgColor rgb="FF00B050"/>
        </patternFill>
      </fill>
    </dxf>
  </rfmt>
  <rfmt sheetId="1" sqref="I138" start="0" length="0">
    <dxf>
      <fill>
        <patternFill patternType="solid">
          <bgColor rgb="FF00B050"/>
        </patternFill>
      </fill>
    </dxf>
  </rfmt>
  <rfmt sheetId="1" sqref="J138" start="0" length="0">
    <dxf>
      <fill>
        <patternFill patternType="solid">
          <bgColor rgb="FF00B050"/>
        </patternFill>
      </fill>
    </dxf>
  </rfmt>
  <rcc rId="4983" sId="1" odxf="1" dxf="1">
    <nc r="K138" t="inlineStr">
      <is>
        <t>Alquiler</t>
      </is>
    </nc>
    <odxf>
      <fill>
        <patternFill patternType="none">
          <bgColor indexed="65"/>
        </patternFill>
      </fill>
    </odxf>
    <ndxf>
      <fill>
        <patternFill patternType="solid">
          <bgColor rgb="FF00B050"/>
        </patternFill>
      </fill>
    </ndxf>
  </rcc>
  <rfmt sheetId="1" sqref="L138" start="0" length="0">
    <dxf>
      <fill>
        <patternFill patternType="solid">
          <bgColor rgb="FF00B050"/>
        </patternFill>
      </fill>
    </dxf>
  </rfmt>
  <rcc rId="4984" sId="1" odxf="1" dxf="1">
    <nc r="M138">
      <f>+N138-H138</f>
    </nc>
    <odxf>
      <fill>
        <patternFill patternType="none">
          <bgColor indexed="65"/>
        </patternFill>
      </fill>
    </odxf>
    <ndxf>
      <fill>
        <patternFill patternType="solid">
          <bgColor rgb="FF00B050"/>
        </patternFill>
      </fill>
    </ndxf>
  </rcc>
  <rfmt sheetId="1" sqref="N138" start="0" length="0">
    <dxf>
      <fill>
        <patternFill patternType="solid">
          <bgColor rgb="FF00B050"/>
        </patternFill>
      </fill>
    </dxf>
  </rfmt>
  <rfmt sheetId="1" sqref="O138" start="0" length="0">
    <dxf>
      <fill>
        <patternFill patternType="solid">
          <bgColor rgb="FF00B050"/>
        </patternFill>
      </fill>
    </dxf>
  </rfmt>
  <rfmt sheetId="1" sqref="P138" start="0" length="0">
    <dxf>
      <fill>
        <patternFill patternType="solid">
          <bgColor rgb="FF00B050"/>
        </patternFill>
      </fill>
    </dxf>
  </rfmt>
  <rcc rId="4985" sId="1" odxf="1" dxf="1">
    <nc r="Q138">
      <f>+P138+O138</f>
    </nc>
    <odxf>
      <fill>
        <patternFill patternType="none">
          <bgColor indexed="65"/>
        </patternFill>
      </fill>
    </odxf>
    <ndxf>
      <fill>
        <patternFill patternType="solid">
          <bgColor rgb="FF00B050"/>
        </patternFill>
      </fill>
    </ndxf>
  </rcc>
  <rcc rId="4986" sId="1" odxf="1" dxf="1">
    <nc r="R138">
      <f>(N138/Q138)</f>
    </nc>
    <odxf>
      <fill>
        <patternFill patternType="none">
          <bgColor indexed="65"/>
        </patternFill>
      </fill>
    </odxf>
    <ndxf>
      <fill>
        <patternFill patternType="solid">
          <bgColor rgb="FF00B050"/>
        </patternFill>
      </fill>
    </ndxf>
  </rcc>
  <rcc rId="4987" sId="1" odxf="1" dxf="1">
    <nc r="S138">
      <f>(('Costo por negocio'!$B$4-DATA!R138)*DATA!O138)+('Costo por negocio'!$C$4-DATA!R138)*DATA!P138</f>
    </nc>
    <odxf>
      <fill>
        <patternFill patternType="none">
          <bgColor indexed="65"/>
        </patternFill>
      </fill>
    </odxf>
    <ndxf>
      <fill>
        <patternFill patternType="solid">
          <bgColor rgb="FF00B050"/>
        </patternFill>
      </fill>
    </ndxf>
  </rcc>
  <rfmt sheetId="1" sqref="T138" start="0" length="0">
    <dxf>
      <fill>
        <patternFill patternType="solid">
          <bgColor rgb="FF00B050"/>
        </patternFill>
      </fill>
    </dxf>
  </rfmt>
  <rcc rId="4988" sId="1" odxf="1" dxf="1">
    <nc r="U138" t="inlineStr">
      <is>
        <t>SI</t>
      </is>
    </nc>
    <odxf>
      <fill>
        <patternFill patternType="none">
          <bgColor indexed="65"/>
        </patternFill>
      </fill>
    </odxf>
    <ndxf>
      <fill>
        <patternFill patternType="solid">
          <bgColor rgb="FF00B050"/>
        </patternFill>
      </fill>
    </ndxf>
  </rcc>
  <rcc rId="4989" sId="1" odxf="1" dxf="1">
    <nc r="V138" t="inlineStr">
      <is>
        <t>SI</t>
      </is>
    </nc>
    <odxf>
      <fill>
        <patternFill patternType="none">
          <bgColor indexed="65"/>
        </patternFill>
      </fill>
    </odxf>
    <ndxf>
      <fill>
        <patternFill patternType="solid">
          <bgColor rgb="FF00B050"/>
        </patternFill>
      </fill>
    </ndxf>
  </rcc>
  <rcc rId="4990" sId="1" odxf="1" dxf="1">
    <nc r="W138" t="inlineStr">
      <is>
        <t>SI</t>
      </is>
    </nc>
    <odxf>
      <fill>
        <patternFill patternType="none">
          <bgColor indexed="65"/>
        </patternFill>
      </fill>
    </odxf>
    <ndxf>
      <fill>
        <patternFill patternType="solid">
          <bgColor rgb="FF00B050"/>
        </patternFill>
      </fill>
    </ndxf>
  </rcc>
  <rfmt sheetId="1" sqref="X138" start="0" length="0">
    <dxf>
      <fill>
        <patternFill patternType="solid">
          <bgColor rgb="FF00B050"/>
        </patternFill>
      </fill>
    </dxf>
  </rfmt>
  <rcc rId="4991" sId="1" odxf="1" dxf="1">
    <nc r="Y138" t="inlineStr">
      <is>
        <t>BEC 2019</t>
      </is>
    </nc>
    <odxf>
      <fill>
        <patternFill patternType="none">
          <bgColor indexed="65"/>
        </patternFill>
      </fill>
    </odxf>
    <ndxf>
      <fill>
        <patternFill patternType="solid">
          <bgColor rgb="FF00B050"/>
        </patternFill>
      </fill>
    </ndxf>
  </rcc>
  <rcc rId="4992" sId="1" odxf="1" dxf="1" numFmtId="19">
    <nc r="Z138">
      <v>46136</v>
    </nc>
    <odxf>
      <numFmt numFmtId="0" formatCode="General"/>
      <fill>
        <patternFill patternType="none">
          <bgColor indexed="65"/>
        </patternFill>
      </fill>
    </odxf>
    <ndxf>
      <numFmt numFmtId="19" formatCode="d/m/yyyy"/>
      <fill>
        <patternFill patternType="solid">
          <bgColor rgb="FF00B050"/>
        </patternFill>
      </fill>
    </ndxf>
  </rcc>
  <rfmt sheetId="1" sqref="AA138" start="0" length="0">
    <dxf>
      <fill>
        <patternFill patternType="solid">
          <bgColor rgb="FF00B050"/>
        </patternFill>
      </fill>
    </dxf>
  </rfmt>
  <rfmt sheetId="1" sqref="AB138" start="0" length="0">
    <dxf>
      <fill>
        <patternFill patternType="solid">
          <bgColor rgb="FF00B050"/>
        </patternFill>
      </fill>
    </dxf>
  </rfmt>
  <rfmt sheetId="1" sqref="AC138" start="0" length="0">
    <dxf>
      <fill>
        <patternFill patternType="solid">
          <bgColor rgb="FF00B050"/>
        </patternFill>
      </fill>
    </dxf>
  </rfmt>
  <rfmt sheetId="1" sqref="AD138" start="0" length="0">
    <dxf>
      <fill>
        <patternFill patternType="solid">
          <bgColor rgb="FF00B050"/>
        </patternFill>
      </fill>
    </dxf>
  </rfmt>
  <rfmt sheetId="1" sqref="AE138" start="0" length="0">
    <dxf>
      <fill>
        <patternFill patternType="solid">
          <bgColor rgb="FF00B050"/>
        </patternFill>
      </fill>
    </dxf>
  </rfmt>
  <rfmt sheetId="1" sqref="AF138" start="0" length="0">
    <dxf>
      <fill>
        <patternFill patternType="solid">
          <bgColor rgb="FF00B050"/>
        </patternFill>
      </fill>
    </dxf>
  </rfmt>
  <rfmt sheetId="1" sqref="AG138" start="0" length="0">
    <dxf>
      <fill>
        <patternFill patternType="solid">
          <bgColor rgb="FF00B050"/>
        </patternFill>
      </fill>
    </dxf>
  </rfmt>
  <rcc rId="4993" sId="1" odxf="1" dxf="1">
    <nc r="AH138">
      <f>+AF138-AD138</f>
    </nc>
    <odxf>
      <fill>
        <patternFill patternType="none">
          <bgColor indexed="65"/>
        </patternFill>
      </fill>
    </odxf>
    <ndxf>
      <fill>
        <patternFill patternType="solid">
          <bgColor rgb="FF00B050"/>
        </patternFill>
      </fill>
    </ndxf>
  </rcc>
  <rfmt sheetId="1" sqref="AI138" start="0" length="0">
    <dxf>
      <fill>
        <patternFill patternType="solid">
          <bgColor rgb="FF00B050"/>
        </patternFill>
      </fill>
    </dxf>
  </rfmt>
  <rcc rId="4994" sId="1" odxf="1" dxf="1">
    <nc r="AJ138">
      <f>+AI138*5</f>
    </nc>
    <odxf>
      <fill>
        <patternFill patternType="none">
          <bgColor indexed="65"/>
        </patternFill>
      </fill>
    </odxf>
    <ndxf>
      <fill>
        <patternFill patternType="solid">
          <bgColor rgb="FF00B050"/>
        </patternFill>
      </fill>
    </ndxf>
  </rcc>
  <rcc rId="4995" sId="1" odxf="1" dxf="1">
    <nc r="AK138">
      <f>+Q138-AJ138</f>
    </nc>
    <odxf>
      <fill>
        <patternFill patternType="none">
          <bgColor indexed="65"/>
        </patternFill>
      </fill>
    </odxf>
    <ndxf>
      <fill>
        <patternFill patternType="solid">
          <bgColor rgb="FF00B050"/>
        </patternFill>
      </fill>
    </ndxf>
  </rcc>
  <rcc rId="4996" sId="1">
    <nc r="AM138">
      <f>+AH138/Q138</f>
    </nc>
  </rcc>
  <rcc rId="4997" sId="1">
    <nc r="AN138">
      <f>+Q138/AI138</f>
    </nc>
  </rcc>
  <rcc rId="4998" sId="1">
    <nc r="AQ138">
      <f>+N138/82.27</f>
    </nc>
  </rcc>
  <rcc rId="4999" sId="1">
    <nc r="AR138">
      <f>+AH138/11</f>
    </nc>
  </rcc>
  <rcc rId="5000" sId="1">
    <nc r="AS138">
      <f>+AR138-AQ138</f>
    </nc>
  </rcc>
  <rcc rId="5001" sId="1">
    <nc r="AT138">
      <f>+AH138/AQ138</f>
    </nc>
  </rcc>
  <rcc rId="5002" sId="1">
    <nc r="AY138">
      <v>1</v>
    </nc>
  </rcc>
  <rcc rId="5003" sId="1">
    <nc r="A138">
      <v>137</v>
    </nc>
  </rcc>
  <rcc rId="5004" sId="1">
    <nc r="D138">
      <v>2</v>
    </nc>
  </rcc>
  <rcc rId="5005" sId="1">
    <nc r="E138" t="inlineStr">
      <is>
        <t>28/04 al 29/04/2026</t>
      </is>
    </nc>
  </rcc>
  <rcc rId="5006" sId="1" numFmtId="19">
    <nc r="F138">
      <v>46140</v>
    </nc>
  </rcc>
  <rcc rId="5007" sId="1" numFmtId="19">
    <nc r="G138">
      <v>46141</v>
    </nc>
  </rcc>
  <rcc rId="5008" sId="1">
    <nc r="I138">
      <v>2</v>
    </nc>
  </rcc>
  <rcc rId="5009" sId="1">
    <nc r="J138" t="inlineStr">
      <is>
        <t>Montevideo, Rocha</t>
      </is>
    </nc>
  </rcc>
  <rcc rId="5010" sId="1" numFmtId="34">
    <nc r="N138">
      <v>3199</v>
    </nc>
  </rcc>
  <rcc rId="5011" sId="1" numFmtId="34">
    <nc r="O138">
      <v>14</v>
    </nc>
  </rcc>
  <rcc rId="5012" sId="1" numFmtId="19">
    <nc r="T138">
      <v>46146</v>
    </nc>
  </rcc>
  <rcc rId="5013" sId="1">
    <nc r="AI138">
      <v>2</v>
    </nc>
  </rcc>
  <rcc rId="5014" sId="1" numFmtId="34">
    <nc r="AD138">
      <v>134799</v>
    </nc>
  </rcc>
  <rcc rId="5015" sId="1" numFmtId="27">
    <nc r="AE138">
      <v>46139.708333333336</v>
    </nc>
  </rcc>
  <rcc rId="5016" sId="1" numFmtId="34">
    <nc r="AF138">
      <v>135207</v>
    </nc>
  </rcc>
  <rcc rId="5017" sId="1" numFmtId="27">
    <nc r="AG138">
      <v>46142.399305555555</v>
    </nc>
  </rcc>
  <rcc rId="5018" sId="1">
    <nc r="AU138" t="inlineStr">
      <is>
        <t>Dory Garcia</t>
      </is>
    </nc>
  </rcc>
</revisions>
</file>

<file path=xl/revisions/revisionLog3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33:AK136">
    <dxf>
      <fill>
        <patternFill>
          <bgColor rgb="FF00B050"/>
        </patternFill>
      </fill>
    </dxf>
  </rfmt>
  <rcc rId="5019" sId="1" odxf="1" dxf="1" numFmtId="19">
    <nc r="Z133">
      <v>46147</v>
    </nc>
    <odxf>
      <numFmt numFmtId="0" formatCode="General"/>
    </odxf>
    <ndxf>
      <numFmt numFmtId="19" formatCode="d/m/yyyy"/>
    </ndxf>
  </rcc>
  <rcc rId="5020" sId="1" odxf="1" dxf="1" numFmtId="19">
    <nc r="Z134">
      <v>46147</v>
    </nc>
    <odxf>
      <numFmt numFmtId="0" formatCode="General"/>
    </odxf>
    <ndxf>
      <numFmt numFmtId="19" formatCode="d/m/yyyy"/>
    </ndxf>
  </rcc>
  <rcc rId="5021" sId="1" odxf="1" dxf="1" numFmtId="19">
    <nc r="Z135">
      <v>46147</v>
    </nc>
    <odxf>
      <numFmt numFmtId="0" formatCode="General"/>
    </odxf>
    <ndxf>
      <numFmt numFmtId="19" formatCode="d/m/yyyy"/>
    </ndxf>
  </rcc>
  <rcc rId="5022" sId="1" odxf="1" dxf="1" numFmtId="19">
    <nc r="Z136">
      <v>46147</v>
    </nc>
    <odxf>
      <numFmt numFmtId="0" formatCode="General"/>
    </odxf>
    <ndxf>
      <numFmt numFmtId="19" formatCode="d/m/yyyy"/>
    </ndxf>
  </rcc>
  <rcc rId="5023" sId="1" odxf="1" dxf="1" numFmtId="19">
    <nc r="Z137">
      <v>46147</v>
    </nc>
    <odxf>
      <numFmt numFmtId="0" formatCode="General"/>
    </odxf>
    <ndxf>
      <numFmt numFmtId="19" formatCode="d/m/yyyy"/>
    </ndxf>
  </rcc>
</revisions>
</file>

<file path=xl/revisions/revisionLog3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24" sId="1">
    <nc r="B139" t="inlineStr">
      <is>
        <t>Lucia Santamaría</t>
      </is>
    </nc>
  </rcc>
  <rcc rId="5025" sId="1">
    <nc r="C139">
      <v>3065</v>
    </nc>
  </rcc>
  <rcc rId="5026" sId="1">
    <nc r="J139" t="inlineStr">
      <is>
        <t>Montevideo</t>
      </is>
    </nc>
  </rcc>
  <rcc rId="5027" sId="1">
    <nc r="K139" t="inlineStr">
      <is>
        <t>Propio</t>
      </is>
    </nc>
  </rcc>
  <rcc rId="5028" sId="1">
    <nc r="A139">
      <v>138</v>
    </nc>
  </rcc>
  <rcc rId="5029" sId="1">
    <nc r="E139" t="inlineStr">
      <is>
        <t>01/05 al 05/05/2026</t>
      </is>
    </nc>
  </rcc>
  <rcc rId="5030" sId="1" numFmtId="19">
    <nc r="F139">
      <v>46143</v>
    </nc>
  </rcc>
  <rcc rId="5031" sId="1" numFmtId="19">
    <nc r="G139">
      <v>46147</v>
    </nc>
  </rcc>
  <rcc rId="5032" sId="1">
    <nc r="D139">
      <v>2</v>
    </nc>
  </rcc>
  <rcc rId="5033" sId="1">
    <nc r="M139">
      <f>+N139-H139</f>
    </nc>
  </rcc>
  <rcc rId="5034" sId="1" numFmtId="34">
    <nc r="N139">
      <v>2000</v>
    </nc>
  </rcc>
  <rcc rId="5035" sId="1" numFmtId="34">
    <nc r="O139">
      <v>7</v>
    </nc>
  </rcc>
  <rcc rId="5036" sId="1">
    <nc r="Q139">
      <f>+P139+O139</f>
    </nc>
  </rcc>
  <rcc rId="5037" sId="1">
    <nc r="R139">
      <f>(N139/Q139)</f>
    </nc>
  </rcc>
  <rcc rId="5038" sId="1">
    <nc r="U139" t="inlineStr">
      <is>
        <t>SI</t>
      </is>
    </nc>
  </rcc>
  <rcc rId="5039" sId="1">
    <nc r="V139" t="inlineStr">
      <is>
        <t>SI</t>
      </is>
    </nc>
  </rcc>
  <rcc rId="5040" sId="1">
    <nc r="W139" t="inlineStr">
      <is>
        <t>SI</t>
      </is>
    </nc>
  </rcc>
  <rcc rId="5041" sId="1" numFmtId="19">
    <nc r="T139">
      <v>46147</v>
    </nc>
  </rcc>
  <rcc rId="5042" sId="1">
    <nc r="S139">
      <f>(('Costo por negocio'!$B$5-DATA!R139)*DATA!O139)+('Costo por negocio'!$C$5-DATA!R139)*DATA!P139</f>
    </nc>
  </rcc>
  <rcc rId="5043" sId="1">
    <nc r="Y139" t="inlineStr">
      <is>
        <t>SBI 6680</t>
      </is>
    </nc>
  </rcc>
  <rfmt sheetId="1" sqref="A139:AK139">
    <dxf>
      <fill>
        <patternFill patternType="solid">
          <bgColor rgb="FF92D050"/>
        </patternFill>
      </fill>
    </dxf>
  </rfmt>
  <rcv guid="{D015136D-255F-4042-9389-EB535F138010}" action="delete"/>
  <rdn rId="0" localSheetId="1" customView="1" name="Z_D015136D_255F_4042_9389_EB535F138010_.wvu.FilterData" hidden="1" oldHidden="1">
    <formula>DATA!$A$1:$AK$138</formula>
    <oldFormula>DATA!$A$1:$AK$137</oldFormula>
  </rdn>
  <rcv guid="{D015136D-255F-4042-9389-EB535F138010}" action="add"/>
</revisions>
</file>

<file path=xl/revisions/revisionLog3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39:AK139">
    <dxf>
      <fill>
        <patternFill>
          <bgColor rgb="FF00B050"/>
        </patternFill>
      </fill>
    </dxf>
  </rfmt>
  <rcc rId="5045" sId="1" odxf="1" dxf="1" numFmtId="19">
    <nc r="Z139">
      <v>46147</v>
    </nc>
    <odxf>
      <numFmt numFmtId="0" formatCode="General"/>
    </odxf>
    <ndxf>
      <numFmt numFmtId="19" formatCode="d/m/yyyy"/>
    </ndxf>
  </rcc>
</revisions>
</file>

<file path=xl/revisions/revisionLog3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46" sId="1" numFmtId="34">
    <nc r="P138">
      <v>14</v>
    </nc>
  </rcc>
  <rcc rId="5047" sId="1" numFmtId="34">
    <oc r="O138">
      <v>14</v>
    </oc>
    <nc r="O138"/>
  </rcc>
  <rcc rId="5048" sId="1">
    <oc r="J138" t="inlineStr">
      <is>
        <t>Montevideo, Rocha</t>
      </is>
    </oc>
    <nc r="J138" t="inlineStr">
      <is>
        <t>Montevideo, Florida</t>
      </is>
    </nc>
  </rcc>
  <rcv guid="{D015136D-255F-4042-9389-EB535F138010}" action="delete"/>
  <rdn rId="0" localSheetId="1" customView="1" name="Z_D015136D_255F_4042_9389_EB535F138010_.wvu.FilterData" hidden="1" oldHidden="1">
    <formula>DATA!$A$1:$AK$139</formula>
    <oldFormula>DATA!$A$1:$AK$138</oldFormula>
  </rdn>
  <rcv guid="{D015136D-255F-4042-9389-EB535F138010}" action="add"/>
</revisions>
</file>

<file path=xl/revisions/revisionLog3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50" sId="1">
    <nc r="B140" t="inlineStr">
      <is>
        <t>Ricardo Cardona</t>
      </is>
    </nc>
  </rcc>
  <rcc rId="5051" sId="1">
    <nc r="C140">
      <v>1512</v>
    </nc>
  </rcc>
  <rcc rId="5052" sId="1">
    <nc r="D140">
      <v>3</v>
    </nc>
  </rcc>
  <rcc rId="5053" sId="1">
    <nc r="I140">
      <v>15</v>
    </nc>
  </rcc>
  <rcc rId="5054" sId="1">
    <nc r="K140" t="inlineStr">
      <is>
        <t>Alquiler</t>
      </is>
    </nc>
  </rcc>
  <rcc rId="5055" sId="1">
    <nc r="A140">
      <v>139</v>
    </nc>
  </rcc>
  <rfmt sheetId="1" sqref="A140">
    <dxf>
      <fill>
        <patternFill patternType="solid">
          <bgColor rgb="FFFFFF00"/>
        </patternFill>
      </fill>
    </dxf>
  </rfmt>
  <rcc rId="5056" sId="1">
    <nc r="E140" t="inlineStr">
      <is>
        <t>12/05 al 14/05/2026</t>
      </is>
    </nc>
  </rcc>
  <rcc rId="5057" sId="1" numFmtId="19">
    <nc r="F140">
      <v>46154</v>
    </nc>
  </rcc>
  <rcc rId="5058" sId="1" numFmtId="19">
    <nc r="G140">
      <v>46156</v>
    </nc>
  </rcc>
  <rcc rId="5059" sId="1">
    <nc r="J140" t="inlineStr">
      <is>
        <t>Montevideo, Río Negro</t>
      </is>
    </nc>
  </rcc>
  <rcc rId="5060" sId="1" numFmtId="34">
    <nc r="H140">
      <v>6500</v>
    </nc>
  </rcc>
  <rcv guid="{D015136D-255F-4042-9389-EB535F138010}" action="delete"/>
  <rdn rId="0" localSheetId="1" customView="1" name="Z_D015136D_255F_4042_9389_EB535F138010_.wvu.FilterData" hidden="1" oldHidden="1">
    <formula>DATA!$A$1:$AK$139</formula>
    <oldFormula>DATA!$A$1:$AK$139</oldFormula>
  </rdn>
  <rcv guid="{D015136D-255F-4042-9389-EB535F138010}" action="add"/>
</revisions>
</file>

<file path=xl/revisions/revisionLog3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41" start="0" length="0">
    <dxf>
      <fill>
        <patternFill patternType="solid">
          <bgColor rgb="FFFFFF00"/>
        </patternFill>
      </fill>
    </dxf>
  </rfmt>
  <rcc rId="5062" sId="1">
    <nc r="B141" t="inlineStr">
      <is>
        <t>Ignacio Ceroni</t>
      </is>
    </nc>
  </rcc>
  <rcc rId="5063" sId="1">
    <nc r="C141">
      <v>3007</v>
    </nc>
  </rcc>
  <rcc rId="5064" sId="1">
    <nc r="D141">
      <v>4</v>
    </nc>
  </rcc>
  <rcc rId="5065" sId="1">
    <nc r="I141">
      <v>20</v>
    </nc>
  </rcc>
  <rcc rId="5066" sId="1">
    <nc r="J141" t="inlineStr">
      <is>
        <t>Montevideo, Maldonado</t>
      </is>
    </nc>
  </rcc>
  <rcc rId="5067" sId="1">
    <nc r="K141" t="inlineStr">
      <is>
        <t>Alquiler</t>
      </is>
    </nc>
  </rcc>
  <rcc rId="5068" sId="1">
    <nc r="E141" t="inlineStr">
      <is>
        <t>11/05 al 14/05/2026</t>
      </is>
    </nc>
  </rcc>
  <rcc rId="5069" sId="1" numFmtId="19">
    <nc r="F141">
      <v>46153</v>
    </nc>
  </rcc>
  <rcc rId="5070" sId="1" numFmtId="19">
    <nc r="G141">
      <v>46156</v>
    </nc>
  </rcc>
  <rcc rId="5071" sId="1" numFmtId="34">
    <nc r="H141">
      <v>5000</v>
    </nc>
  </rcc>
  <rcv guid="{D015136D-255F-4042-9389-EB535F138010}" action="delete"/>
  <rdn rId="0" localSheetId="1" customView="1" name="Z_D015136D_255F_4042_9389_EB535F138010_.wvu.FilterData" hidden="1" oldHidden="1">
    <formula>DATA!$A$1:$AK$140</formula>
    <oldFormula>DATA!$A$1:$AK$139</oldFormula>
  </rdn>
  <rcv guid="{D015136D-255F-4042-9389-EB535F138010}" action="add"/>
</revisions>
</file>

<file path=xl/revisions/revisionLog3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73" sId="1">
    <nc r="A141">
      <v>140</v>
    </nc>
  </rcc>
</revisions>
</file>

<file path=xl/revisions/revisionLog3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40:A141">
    <dxf>
      <fill>
        <patternFill patternType="none">
          <bgColor auto="1"/>
        </patternFill>
      </fill>
    </dxf>
  </rfmt>
  <rcv guid="{D015136D-255F-4042-9389-EB535F138010}" action="delete"/>
  <rdn rId="0" localSheetId="1" customView="1" name="Z_D015136D_255F_4042_9389_EB535F138010_.wvu.FilterData" hidden="1" oldHidden="1">
    <formula>DATA!$A$1:$AK$140</formula>
    <oldFormula>DATA!$A$1:$AK$140</oldFormula>
  </rdn>
  <rcv guid="{D015136D-255F-4042-9389-EB535F138010}" action="add"/>
</revisions>
</file>

<file path=xl/revisions/revisionLog3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75" sId="1">
    <nc r="M130">
      <f>+N130-H130</f>
    </nc>
  </rcc>
  <rcc rId="5076" sId="1">
    <nc r="N130">
      <f>2100.2+1339.3+1459.9</f>
    </nc>
  </rcc>
  <rcc rId="5077" sId="1" numFmtId="34">
    <nc r="P130">
      <v>9</v>
    </nc>
  </rcc>
  <rcc rId="5078" sId="1">
    <nc r="Q130">
      <f>+P130+O130</f>
    </nc>
  </rcc>
  <rcc rId="5079" sId="1">
    <nc r="R130">
      <f>(N130/Q130)</f>
    </nc>
  </rcc>
  <rcc rId="5080" sId="1">
    <nc r="S130">
      <f>(('Costo por negocio'!$B$5-DATA!R130)*DATA!O130)+('Costo por negocio'!$C$5-DATA!R130)*DATA!P130</f>
    </nc>
  </rcc>
  <rcc rId="5081" sId="1" numFmtId="19">
    <nc r="T130">
      <v>46147</v>
    </nc>
  </rcc>
  <rcc rId="5082" sId="1">
    <nc r="U130" t="inlineStr">
      <is>
        <t>SI</t>
      </is>
    </nc>
  </rcc>
  <rcc rId="5083" sId="1">
    <nc r="V130" t="inlineStr">
      <is>
        <t>SI</t>
      </is>
    </nc>
  </rcc>
  <rcc rId="5084" sId="1">
    <nc r="W130" t="inlineStr">
      <is>
        <t>SI</t>
      </is>
    </nc>
  </rcc>
  <rcc rId="5085" sId="1">
    <nc r="Y130" t="inlineStr">
      <is>
        <t>BED 8556</t>
      </is>
    </nc>
  </rcc>
  <rcc rId="5086" sId="1" numFmtId="34">
    <nc r="AD130">
      <v>31702</v>
    </nc>
  </rcc>
  <rcc rId="5087" sId="1" numFmtId="27">
    <nc r="AE130">
      <v>46146.708333333336</v>
    </nc>
  </rcc>
  <rcc rId="5088" sId="1" numFmtId="34">
    <nc r="AF130">
      <v>32332</v>
    </nc>
  </rcc>
  <rcc rId="5089" sId="1" numFmtId="27">
    <nc r="AG130">
      <v>46150.383333333331</v>
    </nc>
  </rcc>
  <rcc rId="5090" sId="1">
    <nc r="AH130">
      <f>+AF130-AD130</f>
    </nc>
  </rcc>
  <rcc rId="5091" sId="1">
    <nc r="AI130">
      <v>3</v>
    </nc>
  </rcc>
  <rcc rId="5092" sId="1">
    <nc r="AJ130">
      <f>+AI130*5</f>
    </nc>
  </rcc>
  <rcc rId="5093" sId="1">
    <nc r="AK130">
      <f>+Q130-AJ130</f>
    </nc>
  </rcc>
  <rcc rId="5094" sId="1">
    <nc r="AM130">
      <f>+AH130/Q130</f>
    </nc>
  </rcc>
  <rcc rId="5095" sId="1">
    <nc r="AN130">
      <f>+Q130/AI130</f>
    </nc>
  </rcc>
  <rcc rId="5096" sId="1">
    <nc r="AQ130">
      <f>+N130/82.27</f>
    </nc>
  </rcc>
  <rcc rId="5097" sId="1">
    <nc r="AR130">
      <f>+AH130/11</f>
    </nc>
  </rcc>
  <rcc rId="5098" sId="1">
    <nc r="AS130">
      <f>+AR130-AQ130</f>
    </nc>
  </rcc>
  <rcc rId="5099" sId="1">
    <nc r="AT130">
      <f>+AH130/AQ130</f>
    </nc>
  </rcc>
  <rfmt sheetId="1" sqref="A130:AK130">
    <dxf>
      <fill>
        <patternFill patternType="solid">
          <bgColor rgb="FF92D050"/>
        </patternFill>
      </fill>
    </dxf>
  </rfmt>
  <rcv guid="{D015136D-255F-4042-9389-EB535F138010}" action="delete"/>
  <rdn rId="0" localSheetId="1" customView="1" name="Z_D015136D_255F_4042_9389_EB535F138010_.wvu.FilterData" hidden="1" oldHidden="1">
    <formula>DATA!$A$1:$AK$140</formula>
    <oldFormula>DATA!$A$1:$AK$140</oldFormula>
  </rdn>
  <rcv guid="{D015136D-255F-4042-9389-EB535F138010}" action="add"/>
</revisions>
</file>

<file path=xl/revisions/revisionLog3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01" sId="1">
    <nc r="M131">
      <f>+N131-H131</f>
    </nc>
  </rcc>
  <rcc rId="5102" sId="1">
    <nc r="N131">
      <f>3380.5+1030</f>
    </nc>
  </rcc>
  <rcc rId="5103" sId="1">
    <nc r="O131">
      <f>6+11</f>
    </nc>
  </rcc>
  <rcc rId="5104" sId="1" numFmtId="34">
    <nc r="P131">
      <v>14</v>
    </nc>
  </rcc>
  <rcc rId="5105" sId="1">
    <nc r="Q131">
      <f>+P131+O131</f>
    </nc>
  </rcc>
  <rcc rId="5106" sId="1">
    <nc r="R131">
      <f>(N131/Q131)</f>
    </nc>
  </rcc>
  <rcc rId="5107" sId="1">
    <nc r="S131">
      <f>(('Costo por negocio'!$B$5-DATA!R131)*DATA!O131)+('Costo por negocio'!$C$5-DATA!R131)*DATA!P131</f>
    </nc>
  </rcc>
  <rcc rId="5108" sId="1">
    <nc r="U131" t="inlineStr">
      <is>
        <t>SI</t>
      </is>
    </nc>
  </rcc>
  <rcc rId="5109" sId="1">
    <nc r="V131" t="inlineStr">
      <is>
        <t>SI</t>
      </is>
    </nc>
  </rcc>
  <rcc rId="5110" sId="1">
    <nc r="W131" t="inlineStr">
      <is>
        <t>SI</t>
      </is>
    </nc>
  </rcc>
  <rcc rId="5111" sId="1" numFmtId="19">
    <oc r="T130">
      <v>46147</v>
    </oc>
    <nc r="T130">
      <v>46150</v>
    </nc>
  </rcc>
  <rcc rId="5112" sId="1" numFmtId="19">
    <nc r="T131">
      <v>46150</v>
    </nc>
  </rcc>
  <rcc rId="5113" sId="1">
    <nc r="Y131" t="inlineStr">
      <is>
        <t>BED 5485</t>
      </is>
    </nc>
  </rcc>
  <rcc rId="5114" sId="1" numFmtId="34">
    <nc r="AD131">
      <v>57210</v>
    </nc>
  </rcc>
  <rcc rId="5115" sId="1" numFmtId="27">
    <nc r="AE131">
      <v>46146.375</v>
    </nc>
  </rcc>
  <rcc rId="5116" sId="1" numFmtId="34">
    <nc r="AF131">
      <v>57911</v>
    </nc>
  </rcc>
  <rcc rId="5117" sId="1">
    <nc r="AH131">
      <f>+AF131-AD131</f>
    </nc>
  </rcc>
  <rcc rId="5118" sId="1" numFmtId="27">
    <nc r="AG131">
      <v>46150.375</v>
    </nc>
  </rcc>
  <rcc rId="5119" sId="1">
    <nc r="AJ131">
      <f>+AI131*5</f>
    </nc>
  </rcc>
  <rcc rId="5120" sId="1">
    <nc r="AK131">
      <f>+Q131-AJ131</f>
    </nc>
  </rcc>
  <rcc rId="5121" sId="1">
    <nc r="AM131">
      <f>+AH131/Q131</f>
    </nc>
  </rcc>
  <rcc rId="5122" sId="1">
    <nc r="AN131">
      <f>+Q131/AI131</f>
    </nc>
  </rcc>
  <rcc rId="5123" sId="1">
    <nc r="AQ131">
      <f>+N131/82.27</f>
    </nc>
  </rcc>
  <rcc rId="5124" sId="1">
    <nc r="AR131">
      <f>+AH131/11</f>
    </nc>
  </rcc>
  <rcc rId="5125" sId="1">
    <nc r="AS131">
      <f>+AR131-AQ131</f>
    </nc>
  </rcc>
  <rcc rId="5126" sId="1">
    <nc r="AT131">
      <f>+AH131/AQ131</f>
    </nc>
  </rcc>
  <rcc rId="5127" sId="1">
    <nc r="AI131">
      <v>4</v>
    </nc>
  </rcc>
  <rfmt sheetId="1" sqref="A131:AK131">
    <dxf>
      <fill>
        <patternFill patternType="solid">
          <bgColor rgb="FF92D050"/>
        </patternFill>
      </fill>
    </dxf>
  </rfmt>
  <rcv guid="{D015136D-255F-4042-9389-EB535F138010}" action="delete"/>
  <rdn rId="0" localSheetId="1" customView="1" name="Z_D015136D_255F_4042_9389_EB535F138010_.wvu.FilterData" hidden="1" oldHidden="1">
    <formula>DATA!$A$1:$AK$140</formula>
    <oldFormula>DATA!$A$1:$AK$140</oldFormula>
  </rdn>
  <rcv guid="{D015136D-255F-4042-9389-EB535F138010}" action="add"/>
</revisions>
</file>

<file path=xl/revisions/revisionLog3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29" sId="1">
    <nc r="M129">
      <f>+N129-H129</f>
    </nc>
  </rcc>
  <rcc rId="5130" sId="1">
    <nc r="N129">
      <f>2909.4+622.4</f>
    </nc>
  </rcc>
  <rcc rId="5131" sId="1" numFmtId="34">
    <nc r="O129">
      <v>13</v>
    </nc>
  </rcc>
  <rcc rId="5132" sId="1">
    <nc r="Q129">
      <f>+P129+O129</f>
    </nc>
  </rcc>
  <rcc rId="5133" sId="1">
    <nc r="R129">
      <f>(N129/Q129)</f>
    </nc>
  </rcc>
  <rcc rId="5134" sId="1">
    <nc r="S129">
      <f>(('Costo por negocio'!$B$5-DATA!R129)*DATA!O129)+('Costo por negocio'!$C$5-DATA!R129)*DATA!P129</f>
    </nc>
  </rcc>
  <rcc rId="5135" sId="1" numFmtId="19">
    <nc r="T129">
      <v>46150</v>
    </nc>
  </rcc>
  <rcc rId="5136" sId="1">
    <nc r="U129" t="inlineStr">
      <is>
        <t>SI</t>
      </is>
    </nc>
  </rcc>
  <rcc rId="5137" sId="1">
    <nc r="V129" t="inlineStr">
      <is>
        <t>SI</t>
      </is>
    </nc>
  </rcc>
  <rcc rId="5138" sId="1">
    <nc r="W129" t="inlineStr">
      <is>
        <t>SI</t>
      </is>
    </nc>
  </rcc>
  <rcc rId="5139" sId="1">
    <nc r="Y129" t="inlineStr">
      <is>
        <t>BEC 5473</t>
      </is>
    </nc>
  </rcc>
  <rcc rId="5140" sId="1" numFmtId="34">
    <nc r="AD129">
      <v>92966</v>
    </nc>
  </rcc>
  <rcc rId="5141" sId="1" numFmtId="27">
    <nc r="AE129">
      <v>46147.375</v>
    </nc>
  </rcc>
  <rcc rId="5142" sId="1" numFmtId="34">
    <nc r="AF129">
      <v>93644</v>
    </nc>
  </rcc>
  <rcc rId="5143" sId="1">
    <nc r="AH129">
      <f>+AF129-AD129</f>
    </nc>
  </rcc>
  <rcc rId="5144" sId="1" numFmtId="27">
    <nc r="AG129">
      <v>46150.381944444445</v>
    </nc>
  </rcc>
  <rcc rId="5145" sId="1">
    <nc r="AI129">
      <v>3</v>
    </nc>
  </rcc>
  <rcc rId="5146" sId="1">
    <nc r="AJ129">
      <f>+AI129*5</f>
    </nc>
  </rcc>
  <rcc rId="5147" sId="1">
    <nc r="AK129">
      <f>+Q129-AJ129</f>
    </nc>
  </rcc>
  <rcc rId="5148" sId="1">
    <nc r="AM129">
      <f>+AH129/Q129</f>
    </nc>
  </rcc>
  <rcc rId="5149" sId="1">
    <nc r="AN129">
      <f>+Q129/AI129</f>
    </nc>
  </rcc>
  <rcc rId="5150" sId="1">
    <nc r="AQ129">
      <f>+N129/82.27</f>
    </nc>
  </rcc>
  <rcc rId="5151" sId="1">
    <nc r="AR129">
      <f>+AH129/11</f>
    </nc>
  </rcc>
  <rcc rId="5152" sId="1">
    <nc r="AS129">
      <f>+AR129-AQ129</f>
    </nc>
  </rcc>
  <rcc rId="5153" sId="1">
    <nc r="AT129">
      <f>+AH129/AQ129</f>
    </nc>
  </rcc>
  <rfmt sheetId="1" sqref="A129:AK129">
    <dxf>
      <fill>
        <patternFill patternType="solid">
          <bgColor rgb="FF92D050"/>
        </patternFill>
      </fill>
    </dxf>
  </rfmt>
  <rcv guid="{D015136D-255F-4042-9389-EB535F138010}" action="delete"/>
  <rdn rId="0" localSheetId="1" customView="1" name="Z_D015136D_255F_4042_9389_EB535F138010_.wvu.FilterData" hidden="1" oldHidden="1">
    <formula>DATA!$A$1:$AK$140</formula>
    <oldFormula>DATA!$A$1:$AK$140</oldFormula>
  </rdn>
  <rcv guid="{D015136D-255F-4042-9389-EB535F138010}" action="add"/>
</revisions>
</file>

<file path=xl/revisions/revisionLog3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015136D-255F-4042-9389-EB535F138010}" action="delete"/>
  <rdn rId="0" localSheetId="1" customView="1" name="Z_D015136D_255F_4042_9389_EB535F138010_.wvu.FilterData" hidden="1" oldHidden="1">
    <formula>DATA!$A$1:$AK$140</formula>
    <oldFormula>DATA!$A$1:$AK$140</oldFormula>
  </rdn>
  <rcv guid="{D015136D-255F-4042-9389-EB535F138010}" action="add"/>
</revisions>
</file>

<file path=xl/revisions/revisionLog3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29:AK131">
    <dxf>
      <fill>
        <patternFill>
          <bgColor rgb="FF00B050"/>
        </patternFill>
      </fill>
    </dxf>
  </rfmt>
  <rcc rId="5156" sId="1" odxf="1" dxf="1" numFmtId="19">
    <nc r="Z129">
      <v>46150</v>
    </nc>
    <odxf>
      <numFmt numFmtId="0" formatCode="General"/>
    </odxf>
    <ndxf>
      <numFmt numFmtId="19" formatCode="d/m/yyyy"/>
    </ndxf>
  </rcc>
  <rcc rId="5157" sId="1" odxf="1" dxf="1" numFmtId="19">
    <nc r="Z130">
      <v>46150</v>
    </nc>
    <odxf>
      <numFmt numFmtId="0" formatCode="General"/>
    </odxf>
    <ndxf>
      <numFmt numFmtId="19" formatCode="d/m/yyyy"/>
    </ndxf>
  </rcc>
  <rcc rId="5158" sId="1" odxf="1" dxf="1" numFmtId="19">
    <nc r="Z131">
      <v>46150</v>
    </nc>
    <odxf>
      <numFmt numFmtId="0" formatCode="General"/>
    </odxf>
    <ndxf>
      <numFmt numFmtId="19" formatCode="d/m/yyyy"/>
    </ndxf>
  </rcc>
  <rcv guid="{D41D3FB0-5142-496B-B92F-3F303994F17B}" action="delete"/>
  <rdn rId="0" localSheetId="1" customView="1" name="Z_D41D3FB0_5142_496B_B92F_3F303994F17B_.wvu.FilterData" hidden="1" oldHidden="1">
    <formula>DATA!$A$1:$AK$140</formula>
    <oldFormula>DATA!$A$1:$AK$136</oldFormula>
  </rdn>
  <rcv guid="{D41D3FB0-5142-496B-B92F-3F303994F17B}"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5">
  <userInfo guid="{27A45547-FEAE-47C5-B253-9C172F95AE1E}" name="Ronald Pinto" id="-1531449762" dateTime="2026-01-08T11:27:39"/>
  <userInfo guid="{E26B8578-144F-4DDA-B454-FE5FEA071D6C}" name="Ronald Pinto" id="-1531455540" dateTime="2026-01-09T13:16:27"/>
  <userInfo guid="{D6F719F5-820E-4BBB-A544-DEE7C9E3D425}" name="Ronald Pinto" id="-1531466918" dateTime="2026-01-15T09:54:28"/>
  <userInfo guid="{BCA7BF7C-8E30-4E1A-B0ED-44D7925B815F}" name="Ronald Pinto" id="-1531498682" dateTime="2026-01-27T09:52:48"/>
  <userInfo guid="{D72D4A8E-9458-4F45-95B4-5FFAC0A37C59}" name="Ronald Pinto" id="-1531499743" dateTime="2026-01-28T10:20:32"/>
  <userInfo guid="{D82354D4-CCC5-40FD-9EBB-80170ED38F24}" name="Ronald Pinto" id="-1531496054" dateTime="2026-02-03T12:52:06"/>
  <userInfo guid="{846B3C0C-5607-4D3C-B08D-7DD470485902}" name="Ronald Pinto" id="-1531472635" dateTime="2026-02-20T09:32:56"/>
  <userInfo guid="{2B8DF311-1093-40D4-A421-81D37266F1CB}" name="Ronald Pinto" id="-1531489761" dateTime="2026-02-23T17:16:53"/>
  <userInfo guid="{84D56B54-DDC1-4A40-893B-864EEA61D204}" name="Ronald Pinto" id="-1531498485" dateTime="2026-03-20T12:37:12"/>
  <userInfo guid="{6198A67C-E417-42B7-9910-0F47A2CD87C3}" name="Ronald Pinto" id="-1531447292" dateTime="2026-03-24T17:08:41"/>
  <userInfo guid="{8806C195-844E-4DF8-90F4-4ED3765E4BD8}" name="Ronald Pinto" id="-1531476622" dateTime="2026-03-26T11:28:48"/>
  <userInfo guid="{8724E08C-2310-485C-9B86-F8E8F9069F41}" name="Ronald Pinto" id="-1531505337" dateTime="2026-04-01T16:39:12"/>
  <userInfo guid="{0BFD59F5-AC68-4F84-94B0-77911E186486}" name="Ronald Pinto" id="-1531459680" dateTime="2026-04-07T10:20:14"/>
  <userInfo guid="{5B95676C-4D52-495F-A460-2D2CCAEB92C9}" name="Ronald Pinto" id="-1531473687" dateTime="2026-04-14T09:32:04"/>
  <userInfo guid="{1DB08FBF-1C5B-49E9-8CE2-09F3CDB2D047}" name="Ronald Pinto" id="-1531506585" dateTime="2026-05-08T17:07:55"/>
</user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679"/>
  <sheetViews>
    <sheetView tabSelected="1" zoomScale="130" zoomScaleNormal="130" workbookViewId="0">
      <pane ySplit="1" topLeftCell="A123" activePane="bottomLeft" state="frozen"/>
      <selection pane="bottomLeft" activeCell="A132" sqref="A132"/>
    </sheetView>
  </sheetViews>
  <sheetFormatPr baseColWidth="10" defaultRowHeight="15" x14ac:dyDescent="0.25"/>
  <cols>
    <col min="1" max="1" width="12.7109375" style="24" bestFit="1" customWidth="1"/>
    <col min="2" max="2" width="17.7109375" bestFit="1" customWidth="1"/>
    <col min="3" max="3" width="9.28515625" bestFit="1" customWidth="1"/>
    <col min="4" max="4" width="12.140625" bestFit="1" customWidth="1"/>
    <col min="5" max="5" width="18.140625" bestFit="1" customWidth="1"/>
    <col min="10" max="10" width="33.140625" bestFit="1" customWidth="1"/>
    <col min="11" max="11" width="7.85546875" bestFit="1" customWidth="1"/>
    <col min="13" max="13" width="11" style="26"/>
    <col min="14" max="14" width="12.42578125" style="26" customWidth="1"/>
    <col min="18" max="19" width="11" style="26"/>
    <col min="20" max="20" width="13.85546875" bestFit="1" customWidth="1"/>
    <col min="24" max="24" width="19.85546875" customWidth="1"/>
    <col min="31" max="31" width="16.28515625" bestFit="1" customWidth="1"/>
    <col min="33" max="33" width="15.42578125" bestFit="1" customWidth="1"/>
    <col min="36" max="36" width="14.28515625" bestFit="1" customWidth="1"/>
    <col min="37" max="37" width="14" bestFit="1" customWidth="1"/>
  </cols>
  <sheetData>
    <row r="1" spans="1:51" s="7" customFormat="1" ht="74.25" customHeight="1" x14ac:dyDescent="0.25">
      <c r="A1" s="37" t="s">
        <v>12</v>
      </c>
      <c r="B1" s="37" t="s">
        <v>13</v>
      </c>
      <c r="C1" s="37" t="s">
        <v>14</v>
      </c>
      <c r="D1" s="37" t="s">
        <v>15</v>
      </c>
      <c r="E1" s="37" t="s">
        <v>16</v>
      </c>
      <c r="F1" s="37" t="s">
        <v>17</v>
      </c>
      <c r="G1" s="37" t="s">
        <v>18</v>
      </c>
      <c r="H1" s="35" t="s">
        <v>19</v>
      </c>
      <c r="I1" s="35" t="s">
        <v>20</v>
      </c>
      <c r="J1" s="37" t="s">
        <v>21</v>
      </c>
      <c r="K1" s="37" t="s">
        <v>22</v>
      </c>
      <c r="L1" s="37" t="s">
        <v>23</v>
      </c>
      <c r="M1" s="36" t="s">
        <v>24</v>
      </c>
      <c r="N1" s="36" t="s">
        <v>25</v>
      </c>
      <c r="O1" s="37" t="s">
        <v>26</v>
      </c>
      <c r="P1" s="37" t="s">
        <v>27</v>
      </c>
      <c r="Q1" s="37" t="s">
        <v>28</v>
      </c>
      <c r="R1" s="38" t="s">
        <v>29</v>
      </c>
      <c r="S1" s="36" t="s">
        <v>30</v>
      </c>
      <c r="T1" s="37" t="s">
        <v>31</v>
      </c>
      <c r="U1" s="37" t="s">
        <v>32</v>
      </c>
      <c r="V1" s="37" t="s">
        <v>33</v>
      </c>
      <c r="W1" s="37" t="s">
        <v>34</v>
      </c>
      <c r="X1" s="37" t="s">
        <v>35</v>
      </c>
      <c r="Y1" s="37" t="s">
        <v>36</v>
      </c>
      <c r="Z1" s="37" t="s">
        <v>37</v>
      </c>
      <c r="AA1" s="39" t="s">
        <v>38</v>
      </c>
      <c r="AB1" s="40" t="s">
        <v>39</v>
      </c>
      <c r="AC1" s="37" t="s">
        <v>40</v>
      </c>
      <c r="AD1" s="37" t="s">
        <v>41</v>
      </c>
      <c r="AE1" s="37" t="s">
        <v>42</v>
      </c>
      <c r="AF1" s="37" t="s">
        <v>43</v>
      </c>
      <c r="AG1" s="37" t="s">
        <v>44</v>
      </c>
      <c r="AH1" s="37" t="s">
        <v>45</v>
      </c>
      <c r="AI1" s="41" t="s">
        <v>46</v>
      </c>
      <c r="AJ1" s="41" t="s">
        <v>47</v>
      </c>
      <c r="AK1" s="41" t="s">
        <v>48</v>
      </c>
      <c r="AL1" s="8"/>
      <c r="AM1" s="35" t="s">
        <v>49</v>
      </c>
      <c r="AN1" s="36" t="s">
        <v>50</v>
      </c>
      <c r="AO1" s="35" t="s">
        <v>51</v>
      </c>
      <c r="AP1" s="35" t="s">
        <v>52</v>
      </c>
      <c r="AQ1" s="35" t="s">
        <v>53</v>
      </c>
      <c r="AR1" s="35" t="s">
        <v>54</v>
      </c>
      <c r="AS1" s="35" t="s">
        <v>55</v>
      </c>
      <c r="AT1" s="35" t="s">
        <v>56</v>
      </c>
      <c r="AU1" s="35" t="s">
        <v>57</v>
      </c>
      <c r="AV1" s="35" t="s">
        <v>58</v>
      </c>
      <c r="AW1" s="35" t="s">
        <v>59</v>
      </c>
      <c r="AX1" s="35" t="s">
        <v>60</v>
      </c>
      <c r="AY1" s="35" t="s">
        <v>61</v>
      </c>
    </row>
    <row r="2" spans="1:51" s="11" customFormat="1" x14ac:dyDescent="0.25">
      <c r="A2" s="28">
        <v>1</v>
      </c>
      <c r="B2" s="29" t="s">
        <v>0</v>
      </c>
      <c r="C2" s="29">
        <v>3007</v>
      </c>
      <c r="D2" s="29">
        <v>4</v>
      </c>
      <c r="E2" s="29" t="s">
        <v>1</v>
      </c>
      <c r="F2" s="30">
        <v>46027</v>
      </c>
      <c r="G2" s="30">
        <v>46030</v>
      </c>
      <c r="H2" s="31">
        <v>5000</v>
      </c>
      <c r="I2" s="29">
        <v>15</v>
      </c>
      <c r="J2" s="29" t="s">
        <v>2</v>
      </c>
      <c r="K2" s="29" t="s">
        <v>3</v>
      </c>
      <c r="L2" s="32"/>
      <c r="M2" s="32">
        <f t="shared" ref="M2:M5" si="0">+N2-H2</f>
        <v>58.899999999999636</v>
      </c>
      <c r="N2" s="32">
        <f>2458.9+2000+600</f>
        <v>5058.8999999999996</v>
      </c>
      <c r="O2" s="31"/>
      <c r="P2" s="31">
        <f>20+6</f>
        <v>26</v>
      </c>
      <c r="Q2" s="31">
        <f t="shared" ref="Q2:Q11" si="1">+P2+O2</f>
        <v>26</v>
      </c>
      <c r="R2" s="32">
        <f t="shared" ref="R2:R11" si="2">(N2/Q2)</f>
        <v>194.57307692307691</v>
      </c>
      <c r="S2" s="32">
        <f>(('Costo por negocio'!$B$2-DATA!R2)*DATA!O2)+('Costo por negocio'!$C$2-DATA!R2)*DATA!P2</f>
        <v>5133.1000000000004</v>
      </c>
      <c r="T2" s="30">
        <v>46031</v>
      </c>
      <c r="U2" s="29" t="s">
        <v>81</v>
      </c>
      <c r="V2" s="29" t="s">
        <v>81</v>
      </c>
      <c r="W2" s="29" t="s">
        <v>81</v>
      </c>
      <c r="X2" s="29"/>
      <c r="Y2" s="29" t="s">
        <v>84</v>
      </c>
      <c r="Z2" s="29"/>
      <c r="AA2" s="29">
        <v>94621</v>
      </c>
      <c r="AB2" s="29"/>
      <c r="AC2" s="29">
        <v>148</v>
      </c>
      <c r="AD2" s="31">
        <v>72534</v>
      </c>
      <c r="AE2" s="33">
        <v>46027.375</v>
      </c>
      <c r="AF2" s="31">
        <v>73864</v>
      </c>
      <c r="AG2" s="33">
        <v>46031.388888888891</v>
      </c>
      <c r="AH2" s="31">
        <f t="shared" ref="AH2:AH5" si="3">+AF2-AD2</f>
        <v>1330</v>
      </c>
      <c r="AI2" s="29">
        <v>3</v>
      </c>
      <c r="AJ2" s="29">
        <f t="shared" ref="AJ2:AJ29" si="4">+AI2*5</f>
        <v>15</v>
      </c>
      <c r="AK2" s="29">
        <f t="shared" ref="AK2:AK29" si="5">+Q2-AJ2</f>
        <v>11</v>
      </c>
      <c r="AM2" s="43">
        <f t="shared" ref="AM2" si="6">+AH2/Q2</f>
        <v>51.153846153846153</v>
      </c>
      <c r="AN2" s="43">
        <f t="shared" ref="AN2" si="7">+Q2/AI2</f>
        <v>8.6666666666666661</v>
      </c>
      <c r="AQ2" s="34">
        <f t="shared" ref="AQ2" si="8">+N2/78.54</f>
        <v>64.411764705882348</v>
      </c>
      <c r="AR2" s="34">
        <f t="shared" ref="AR2" si="9">+AH2/11</f>
        <v>120.90909090909091</v>
      </c>
      <c r="AS2" s="34">
        <f t="shared" ref="AS2" si="10">+AR2-AQ2</f>
        <v>56.497326203208559</v>
      </c>
      <c r="AT2" s="34">
        <f t="shared" ref="AT2" si="11">+AH2/AQ2</f>
        <v>20.648401826484019</v>
      </c>
    </row>
    <row r="3" spans="1:51" s="11" customFormat="1" x14ac:dyDescent="0.25">
      <c r="A3" s="28">
        <v>2</v>
      </c>
      <c r="B3" s="29" t="s">
        <v>4</v>
      </c>
      <c r="C3" s="29">
        <v>2005</v>
      </c>
      <c r="D3" s="29">
        <v>3</v>
      </c>
      <c r="E3" s="29" t="s">
        <v>5</v>
      </c>
      <c r="F3" s="30">
        <v>46029</v>
      </c>
      <c r="G3" s="30">
        <v>46031</v>
      </c>
      <c r="H3" s="31">
        <v>5000</v>
      </c>
      <c r="I3" s="29">
        <v>15</v>
      </c>
      <c r="J3" s="29" t="s">
        <v>6</v>
      </c>
      <c r="K3" s="29" t="s">
        <v>3</v>
      </c>
      <c r="L3" s="32"/>
      <c r="M3" s="32">
        <f t="shared" si="0"/>
        <v>-930.30000000000018</v>
      </c>
      <c r="N3" s="32">
        <v>4069.7</v>
      </c>
      <c r="O3" s="31">
        <v>7</v>
      </c>
      <c r="P3" s="31">
        <v>9</v>
      </c>
      <c r="Q3" s="31">
        <f t="shared" si="1"/>
        <v>16</v>
      </c>
      <c r="R3" s="32">
        <f t="shared" si="2"/>
        <v>254.35624999999999</v>
      </c>
      <c r="S3" s="32">
        <f>(('Costo por negocio'!$B$2-DATA!R3)*DATA!O3)+('Costo por negocio'!$C$2-DATA!R3)*DATA!P3</f>
        <v>1299.3000000000002</v>
      </c>
      <c r="T3" s="30">
        <v>46034</v>
      </c>
      <c r="U3" s="29" t="s">
        <v>81</v>
      </c>
      <c r="V3" s="29" t="s">
        <v>81</v>
      </c>
      <c r="W3" s="29" t="s">
        <v>81</v>
      </c>
      <c r="X3" s="29"/>
      <c r="Y3" s="29" t="s">
        <v>95</v>
      </c>
      <c r="Z3" s="29"/>
      <c r="AA3" s="29">
        <v>94630</v>
      </c>
      <c r="AB3" s="29"/>
      <c r="AC3" s="29">
        <v>111</v>
      </c>
      <c r="AD3" s="31">
        <v>121499</v>
      </c>
      <c r="AE3" s="33">
        <v>46029.397916666669</v>
      </c>
      <c r="AF3" s="31">
        <v>122071</v>
      </c>
      <c r="AG3" s="33">
        <v>46032.376388888886</v>
      </c>
      <c r="AH3" s="31">
        <f t="shared" si="3"/>
        <v>572</v>
      </c>
      <c r="AI3" s="29">
        <v>3</v>
      </c>
      <c r="AJ3" s="29">
        <f t="shared" si="4"/>
        <v>15</v>
      </c>
      <c r="AK3" s="29">
        <f t="shared" si="5"/>
        <v>1</v>
      </c>
      <c r="AM3" s="43">
        <f t="shared" ref="AM3" si="12">+AH3/Q3</f>
        <v>35.75</v>
      </c>
      <c r="AN3" s="43">
        <f t="shared" ref="AN3" si="13">+Q3/AI3</f>
        <v>5.333333333333333</v>
      </c>
      <c r="AQ3" s="34">
        <f t="shared" ref="AQ3" si="14">+N3/78.54</f>
        <v>51.816908581614456</v>
      </c>
      <c r="AR3" s="34">
        <f t="shared" ref="AR3" si="15">+AH3/11</f>
        <v>52</v>
      </c>
      <c r="AS3" s="34">
        <f t="shared" ref="AS3" si="16">+AR3-AQ3</f>
        <v>0.1830914183855441</v>
      </c>
      <c r="AT3" s="34">
        <f t="shared" ref="AT3" si="17">+AH3/AQ3</f>
        <v>11.038867729808096</v>
      </c>
    </row>
    <row r="4" spans="1:51" s="11" customFormat="1" x14ac:dyDescent="0.25">
      <c r="A4" s="28">
        <v>3</v>
      </c>
      <c r="B4" s="29" t="s">
        <v>7</v>
      </c>
      <c r="C4" s="29">
        <v>3154</v>
      </c>
      <c r="D4" s="29">
        <v>3</v>
      </c>
      <c r="E4" s="29" t="s">
        <v>5</v>
      </c>
      <c r="F4" s="30">
        <v>46029</v>
      </c>
      <c r="G4" s="30">
        <v>46031</v>
      </c>
      <c r="H4" s="31">
        <v>5000</v>
      </c>
      <c r="I4" s="29">
        <v>15</v>
      </c>
      <c r="J4" s="29" t="s">
        <v>8</v>
      </c>
      <c r="K4" s="29" t="s">
        <v>3</v>
      </c>
      <c r="L4" s="32"/>
      <c r="M4" s="32">
        <f t="shared" si="0"/>
        <v>-2333</v>
      </c>
      <c r="N4" s="32">
        <f>1500+1167</f>
        <v>2667</v>
      </c>
      <c r="O4" s="31"/>
      <c r="P4" s="31">
        <f>8+7</f>
        <v>15</v>
      </c>
      <c r="Q4" s="31">
        <f t="shared" si="1"/>
        <v>15</v>
      </c>
      <c r="R4" s="32">
        <f t="shared" si="2"/>
        <v>177.8</v>
      </c>
      <c r="S4" s="32">
        <f>(('Costo por negocio'!$B$2-DATA!R4)*DATA!O4)+('Costo por negocio'!$C$2-DATA!R4)*DATA!P4</f>
        <v>3213</v>
      </c>
      <c r="T4" s="30">
        <v>46034</v>
      </c>
      <c r="U4" s="29" t="s">
        <v>81</v>
      </c>
      <c r="V4" s="29" t="s">
        <v>81</v>
      </c>
      <c r="W4" s="29" t="s">
        <v>81</v>
      </c>
      <c r="X4" s="29"/>
      <c r="Y4" s="29" t="s">
        <v>90</v>
      </c>
      <c r="Z4" s="29"/>
      <c r="AA4" s="29">
        <v>94624</v>
      </c>
      <c r="AB4" s="29"/>
      <c r="AC4" s="29">
        <v>111</v>
      </c>
      <c r="AD4" s="31">
        <v>68806</v>
      </c>
      <c r="AE4" s="33">
        <v>46029.375</v>
      </c>
      <c r="AF4" s="31">
        <v>69300</v>
      </c>
      <c r="AG4" s="33">
        <v>46031.506249999999</v>
      </c>
      <c r="AH4" s="31">
        <f t="shared" si="3"/>
        <v>494</v>
      </c>
      <c r="AI4" s="29">
        <v>2</v>
      </c>
      <c r="AJ4" s="29">
        <f t="shared" si="4"/>
        <v>10</v>
      </c>
      <c r="AK4" s="29">
        <f t="shared" si="5"/>
        <v>5</v>
      </c>
      <c r="AM4" s="43">
        <f t="shared" ref="AM4" si="18">+AH4/Q4</f>
        <v>32.93333333333333</v>
      </c>
      <c r="AN4" s="43">
        <f t="shared" ref="AN4" si="19">+Q4/AI4</f>
        <v>7.5</v>
      </c>
      <c r="AQ4" s="34">
        <f t="shared" ref="AQ4" si="20">+N4/78.54</f>
        <v>33.957219251336895</v>
      </c>
      <c r="AR4" s="34">
        <f t="shared" ref="AR4" si="21">+AH4/11</f>
        <v>44.909090909090907</v>
      </c>
      <c r="AS4" s="34">
        <f t="shared" ref="AS4" si="22">+AR4-AQ4</f>
        <v>10.951871657754012</v>
      </c>
      <c r="AT4" s="34">
        <f t="shared" ref="AT4" si="23">+AH4/AQ4</f>
        <v>14.547716535433073</v>
      </c>
    </row>
    <row r="5" spans="1:51" s="11" customFormat="1" x14ac:dyDescent="0.25">
      <c r="A5" s="28">
        <v>4</v>
      </c>
      <c r="B5" s="29" t="s">
        <v>9</v>
      </c>
      <c r="C5" s="29">
        <v>1618</v>
      </c>
      <c r="D5" s="29">
        <v>3</v>
      </c>
      <c r="E5" s="29" t="s">
        <v>5</v>
      </c>
      <c r="F5" s="30">
        <v>46029</v>
      </c>
      <c r="G5" s="30">
        <v>46031</v>
      </c>
      <c r="H5" s="31">
        <v>4000</v>
      </c>
      <c r="I5" s="29">
        <v>15</v>
      </c>
      <c r="J5" s="29" t="s">
        <v>10</v>
      </c>
      <c r="K5" s="29" t="s">
        <v>3</v>
      </c>
      <c r="L5" s="32"/>
      <c r="M5" s="32">
        <f t="shared" si="0"/>
        <v>-2125.5</v>
      </c>
      <c r="N5" s="32">
        <v>1874.5</v>
      </c>
      <c r="O5" s="31">
        <v>5</v>
      </c>
      <c r="P5" s="31"/>
      <c r="Q5" s="31">
        <f t="shared" si="1"/>
        <v>5</v>
      </c>
      <c r="R5" s="32">
        <f t="shared" si="2"/>
        <v>374.9</v>
      </c>
      <c r="S5" s="32">
        <f>(('Costo por negocio'!$B$2-DATA!R5)*DATA!O5)+('Costo por negocio'!$C$2-DATA!R5)*DATA!P5</f>
        <v>-559.49999999999989</v>
      </c>
      <c r="T5" s="30">
        <v>46038</v>
      </c>
      <c r="U5" s="29" t="s">
        <v>81</v>
      </c>
      <c r="V5" s="29" t="s">
        <v>81</v>
      </c>
      <c r="W5" s="29" t="s">
        <v>81</v>
      </c>
      <c r="X5" s="29"/>
      <c r="Y5" s="29" t="s">
        <v>109</v>
      </c>
      <c r="Z5" s="29"/>
      <c r="AA5" s="29">
        <v>93044</v>
      </c>
      <c r="AB5" s="29"/>
      <c r="AC5" s="29">
        <v>111</v>
      </c>
      <c r="AD5" s="31">
        <v>134524</v>
      </c>
      <c r="AE5" s="33">
        <v>46029.375</v>
      </c>
      <c r="AF5" s="31">
        <v>134856</v>
      </c>
      <c r="AG5" s="33">
        <v>46032.375</v>
      </c>
      <c r="AH5" s="31">
        <f t="shared" si="3"/>
        <v>332</v>
      </c>
      <c r="AI5" s="29">
        <v>3</v>
      </c>
      <c r="AJ5" s="29">
        <f t="shared" si="4"/>
        <v>15</v>
      </c>
      <c r="AK5" s="29">
        <f t="shared" si="5"/>
        <v>-10</v>
      </c>
      <c r="AM5" s="43">
        <f t="shared" ref="AM5" si="24">+AH5/Q5</f>
        <v>66.400000000000006</v>
      </c>
      <c r="AN5" s="43">
        <f t="shared" ref="AN5" si="25">+Q5/AI5</f>
        <v>1.6666666666666667</v>
      </c>
      <c r="AQ5" s="34">
        <f t="shared" ref="AQ5" si="26">+N5/78.54</f>
        <v>23.866819455054749</v>
      </c>
      <c r="AR5" s="34">
        <f t="shared" ref="AR5" si="27">+AH5/11</f>
        <v>30.181818181818183</v>
      </c>
      <c r="AS5" s="34">
        <f t="shared" ref="AS5" si="28">+AR5-AQ5</f>
        <v>6.3149987267634344</v>
      </c>
      <c r="AT5" s="34">
        <f t="shared" ref="AT5" si="29">+AH5/AQ5</f>
        <v>13.91052547345959</v>
      </c>
    </row>
    <row r="6" spans="1:51" s="11" customFormat="1" x14ac:dyDescent="0.25">
      <c r="A6" s="28">
        <v>5</v>
      </c>
      <c r="B6" s="29" t="s">
        <v>11</v>
      </c>
      <c r="C6" s="29">
        <v>1512</v>
      </c>
      <c r="D6" s="29">
        <v>2</v>
      </c>
      <c r="E6" s="29" t="s">
        <v>74</v>
      </c>
      <c r="F6" s="30">
        <v>46029</v>
      </c>
      <c r="G6" s="30">
        <v>46030</v>
      </c>
      <c r="H6" s="31">
        <v>6000</v>
      </c>
      <c r="I6" s="29">
        <v>10</v>
      </c>
      <c r="J6" s="29" t="s">
        <v>76</v>
      </c>
      <c r="K6" s="29" t="s">
        <v>3</v>
      </c>
      <c r="L6" s="32"/>
      <c r="M6" s="32">
        <f>+N6-H6</f>
        <v>-2101.5</v>
      </c>
      <c r="N6" s="32">
        <f>2098+1000.5+800</f>
        <v>3898.5</v>
      </c>
      <c r="O6" s="31"/>
      <c r="P6" s="31">
        <v>8</v>
      </c>
      <c r="Q6" s="31">
        <f t="shared" ref="Q6" si="30">+P6+O6</f>
        <v>8</v>
      </c>
      <c r="R6" s="32">
        <f t="shared" ref="R6" si="31">(N6/Q6)</f>
        <v>487.3125</v>
      </c>
      <c r="S6" s="32">
        <f>(('Costo por negocio'!$B$2-DATA!R6)*DATA!O6)+('Costo por negocio'!$C$2-DATA!R6)*DATA!P6</f>
        <v>-762.5</v>
      </c>
      <c r="T6" s="30">
        <v>46031</v>
      </c>
      <c r="U6" s="29" t="s">
        <v>81</v>
      </c>
      <c r="V6" s="29" t="s">
        <v>81</v>
      </c>
      <c r="W6" s="29" t="s">
        <v>81</v>
      </c>
      <c r="X6" s="29"/>
      <c r="Y6" s="29" t="s">
        <v>82</v>
      </c>
      <c r="Z6" s="29"/>
      <c r="AA6" s="29">
        <v>94619</v>
      </c>
      <c r="AB6" s="29"/>
      <c r="AC6" s="29">
        <v>74</v>
      </c>
      <c r="AD6" s="31">
        <v>80882</v>
      </c>
      <c r="AE6" s="33">
        <v>46029.399305555555</v>
      </c>
      <c r="AF6" s="31">
        <v>81499</v>
      </c>
      <c r="AG6" s="33">
        <v>46031.377083333333</v>
      </c>
      <c r="AH6" s="31">
        <f>+AF6-AD6</f>
        <v>617</v>
      </c>
      <c r="AI6" s="29">
        <v>2</v>
      </c>
      <c r="AJ6" s="29">
        <f t="shared" ref="AJ6" si="32">+AI6*5</f>
        <v>10</v>
      </c>
      <c r="AK6" s="29">
        <f t="shared" ref="AK6" si="33">+Q6-AJ6</f>
        <v>-2</v>
      </c>
      <c r="AM6" s="43">
        <f t="shared" ref="AM6" si="34">+AH6/Q6</f>
        <v>77.125</v>
      </c>
      <c r="AN6" s="43">
        <f t="shared" ref="AN6" si="35">+Q6/AI6</f>
        <v>4</v>
      </c>
      <c r="AQ6" s="34">
        <f t="shared" ref="AQ6" si="36">+N6/78.54</f>
        <v>49.637127578304046</v>
      </c>
      <c r="AR6" s="34">
        <f t="shared" ref="AR6" si="37">+AH6/11</f>
        <v>56.090909090909093</v>
      </c>
      <c r="AS6" s="34">
        <f t="shared" ref="AS6" si="38">+AR6-AQ6</f>
        <v>6.4537815126050475</v>
      </c>
      <c r="AT6" s="34">
        <f t="shared" ref="AT6" si="39">+AH6/AQ6</f>
        <v>12.430211619853791</v>
      </c>
    </row>
    <row r="7" spans="1:51" s="11" customFormat="1" x14ac:dyDescent="0.25">
      <c r="A7" s="28">
        <v>6</v>
      </c>
      <c r="B7" s="29" t="s">
        <v>66</v>
      </c>
      <c r="C7" s="29">
        <v>3075</v>
      </c>
      <c r="D7" s="29">
        <v>3</v>
      </c>
      <c r="E7" s="29" t="s">
        <v>5</v>
      </c>
      <c r="F7" s="30">
        <v>46029</v>
      </c>
      <c r="G7" s="30">
        <v>46031</v>
      </c>
      <c r="H7" s="31">
        <v>7000</v>
      </c>
      <c r="I7" s="29">
        <v>15</v>
      </c>
      <c r="J7" s="29" t="s">
        <v>80</v>
      </c>
      <c r="K7" s="29" t="s">
        <v>3</v>
      </c>
      <c r="L7" s="32"/>
      <c r="M7" s="32">
        <f>+N7-H7</f>
        <v>-1984.8999999999996</v>
      </c>
      <c r="N7" s="32">
        <f>3020.1+1995</f>
        <v>5015.1000000000004</v>
      </c>
      <c r="O7" s="31"/>
      <c r="P7" s="31">
        <v>20</v>
      </c>
      <c r="Q7" s="31">
        <f t="shared" si="1"/>
        <v>20</v>
      </c>
      <c r="R7" s="32">
        <f t="shared" si="2"/>
        <v>250.75500000000002</v>
      </c>
      <c r="S7" s="32">
        <f>(('Costo por negocio'!$B$2-DATA!R7)*DATA!O7)+('Costo por negocio'!$C$2-DATA!R7)*DATA!P7</f>
        <v>2824.8999999999996</v>
      </c>
      <c r="T7" s="30">
        <v>46031</v>
      </c>
      <c r="U7" s="29" t="s">
        <v>81</v>
      </c>
      <c r="V7" s="29" t="s">
        <v>81</v>
      </c>
      <c r="W7" s="29" t="s">
        <v>81</v>
      </c>
      <c r="X7" s="29"/>
      <c r="Y7" s="29" t="s">
        <v>83</v>
      </c>
      <c r="Z7" s="29"/>
      <c r="AA7" s="29">
        <v>94618</v>
      </c>
      <c r="AB7" s="29"/>
      <c r="AC7" s="29">
        <v>74</v>
      </c>
      <c r="AD7" s="31">
        <v>108671</v>
      </c>
      <c r="AE7" s="33">
        <v>46029.420138888891</v>
      </c>
      <c r="AF7" s="31">
        <v>109436</v>
      </c>
      <c r="AG7" s="33">
        <v>46031.378472222219</v>
      </c>
      <c r="AH7" s="31">
        <f t="shared" ref="AH7:AH29" si="40">+AF7-AD7</f>
        <v>765</v>
      </c>
      <c r="AI7" s="29">
        <v>2</v>
      </c>
      <c r="AJ7" s="29">
        <f t="shared" si="4"/>
        <v>10</v>
      </c>
      <c r="AK7" s="29">
        <f t="shared" si="5"/>
        <v>10</v>
      </c>
      <c r="AM7" s="43">
        <f t="shared" ref="AM7" si="41">+AH7/Q7</f>
        <v>38.25</v>
      </c>
      <c r="AN7" s="43">
        <f t="shared" ref="AN7" si="42">+Q7/AI7</f>
        <v>10</v>
      </c>
      <c r="AQ7" s="34">
        <f t="shared" ref="AQ7" si="43">+N7/78.54</f>
        <v>63.85408708938121</v>
      </c>
      <c r="AR7" s="34">
        <f t="shared" ref="AR7" si="44">+AH7/11</f>
        <v>69.545454545454547</v>
      </c>
      <c r="AS7" s="34">
        <f t="shared" ref="AS7" si="45">+AR7-AQ7</f>
        <v>5.6913674560733369</v>
      </c>
      <c r="AT7" s="34">
        <f t="shared" ref="AT7" si="46">+AH7/AQ7</f>
        <v>11.98043907399653</v>
      </c>
    </row>
    <row r="8" spans="1:51" s="11" customFormat="1" x14ac:dyDescent="0.25">
      <c r="A8" s="28">
        <v>7</v>
      </c>
      <c r="B8" s="29" t="s">
        <v>11</v>
      </c>
      <c r="C8" s="29">
        <v>1512</v>
      </c>
      <c r="D8" s="29">
        <v>3</v>
      </c>
      <c r="E8" s="29" t="s">
        <v>75</v>
      </c>
      <c r="F8" s="30">
        <v>46035</v>
      </c>
      <c r="G8" s="30">
        <v>46037</v>
      </c>
      <c r="H8" s="31">
        <v>7000</v>
      </c>
      <c r="I8" s="29">
        <v>15</v>
      </c>
      <c r="J8" s="29" t="s">
        <v>10</v>
      </c>
      <c r="K8" s="29" t="s">
        <v>3</v>
      </c>
      <c r="L8" s="32"/>
      <c r="M8" s="32">
        <f t="shared" ref="M8:M12" si="47">+N8-H8</f>
        <v>-2020.1000000000004</v>
      </c>
      <c r="N8" s="32">
        <f>2158.9+1406.8+1414.2</f>
        <v>4979.8999999999996</v>
      </c>
      <c r="O8" s="31"/>
      <c r="P8" s="31">
        <f>3+3</f>
        <v>6</v>
      </c>
      <c r="Q8" s="31">
        <f t="shared" si="1"/>
        <v>6</v>
      </c>
      <c r="R8" s="32">
        <f t="shared" si="2"/>
        <v>829.98333333333323</v>
      </c>
      <c r="S8" s="32">
        <f>(('Costo por negocio'!$B$2-DATA!R8)*DATA!O8)+('Costo por negocio'!$C$2-DATA!R8)*DATA!P8</f>
        <v>-2627.8999999999996</v>
      </c>
      <c r="T8" s="30">
        <v>46038</v>
      </c>
      <c r="U8" s="29" t="s">
        <v>81</v>
      </c>
      <c r="V8" s="29" t="s">
        <v>81</v>
      </c>
      <c r="W8" s="29" t="s">
        <v>81</v>
      </c>
      <c r="X8" s="29"/>
      <c r="Y8" s="29" t="s">
        <v>108</v>
      </c>
      <c r="Z8" s="29"/>
      <c r="AA8" s="29">
        <v>94661</v>
      </c>
      <c r="AB8" s="29"/>
      <c r="AC8" s="29">
        <v>148</v>
      </c>
      <c r="AD8" s="31">
        <v>65254</v>
      </c>
      <c r="AE8" s="33">
        <v>46034.684027777781</v>
      </c>
      <c r="AF8" s="31">
        <v>66076</v>
      </c>
      <c r="AG8" s="33">
        <v>46038.384027777778</v>
      </c>
      <c r="AH8" s="31">
        <f t="shared" si="40"/>
        <v>822</v>
      </c>
      <c r="AI8" s="29">
        <v>3</v>
      </c>
      <c r="AJ8" s="29">
        <f t="shared" si="4"/>
        <v>15</v>
      </c>
      <c r="AK8" s="29">
        <f t="shared" si="5"/>
        <v>-9</v>
      </c>
      <c r="AM8" s="43">
        <f t="shared" ref="AM8" si="48">+AH8/Q8</f>
        <v>137</v>
      </c>
      <c r="AN8" s="43">
        <f t="shared" ref="AN8" si="49">+Q8/AI8</f>
        <v>2</v>
      </c>
      <c r="AQ8" s="34">
        <f t="shared" ref="AQ8" si="50">+N8/78.54</f>
        <v>63.405907817672514</v>
      </c>
      <c r="AR8" s="34">
        <f t="shared" ref="AR8" si="51">+AH8/11</f>
        <v>74.727272727272734</v>
      </c>
      <c r="AS8" s="34">
        <f t="shared" ref="AS8" si="52">+AR8-AQ8</f>
        <v>11.32136490960022</v>
      </c>
      <c r="AT8" s="34">
        <f t="shared" ref="AT8" si="53">+AH8/AQ8</f>
        <v>12.964091648426677</v>
      </c>
    </row>
    <row r="9" spans="1:51" s="11" customFormat="1" x14ac:dyDescent="0.25">
      <c r="A9" s="28">
        <v>8</v>
      </c>
      <c r="B9" s="29" t="s">
        <v>0</v>
      </c>
      <c r="C9" s="29">
        <v>3007</v>
      </c>
      <c r="D9" s="29">
        <v>4</v>
      </c>
      <c r="E9" s="29" t="s">
        <v>77</v>
      </c>
      <c r="F9" s="30">
        <v>46034</v>
      </c>
      <c r="G9" s="30">
        <v>46037</v>
      </c>
      <c r="H9" s="31">
        <v>4000</v>
      </c>
      <c r="I9" s="29">
        <f>5*4</f>
        <v>20</v>
      </c>
      <c r="J9" s="29" t="s">
        <v>2</v>
      </c>
      <c r="K9" s="29" t="s">
        <v>3</v>
      </c>
      <c r="L9" s="32"/>
      <c r="M9" s="32">
        <f t="shared" si="47"/>
        <v>405</v>
      </c>
      <c r="N9" s="32">
        <f>3005+1400</f>
        <v>4405</v>
      </c>
      <c r="O9" s="31">
        <f>11+10</f>
        <v>21</v>
      </c>
      <c r="P9" s="31">
        <v>9</v>
      </c>
      <c r="Q9" s="31">
        <f t="shared" si="1"/>
        <v>30</v>
      </c>
      <c r="R9" s="32">
        <f t="shared" si="2"/>
        <v>146.83333333333334</v>
      </c>
      <c r="S9" s="32">
        <f>(('Costo por negocio'!$B$2-DATA!R9)*DATA!O9)+('Costo por negocio'!$C$2-DATA!R9)*DATA!P9</f>
        <v>4646</v>
      </c>
      <c r="T9" s="30">
        <v>46038</v>
      </c>
      <c r="U9" s="29" t="s">
        <v>81</v>
      </c>
      <c r="V9" s="29" t="s">
        <v>81</v>
      </c>
      <c r="W9" s="29" t="s">
        <v>81</v>
      </c>
      <c r="X9" s="29"/>
      <c r="Y9" s="29" t="s">
        <v>110</v>
      </c>
      <c r="Z9" s="29"/>
      <c r="AA9" s="29">
        <v>94662</v>
      </c>
      <c r="AB9" s="29"/>
      <c r="AC9" s="29">
        <v>148</v>
      </c>
      <c r="AD9" s="31">
        <v>81576</v>
      </c>
      <c r="AE9" s="33">
        <v>46034.375</v>
      </c>
      <c r="AF9" s="31">
        <v>82324</v>
      </c>
      <c r="AG9" s="33">
        <v>46038.375</v>
      </c>
      <c r="AH9" s="31">
        <f t="shared" si="40"/>
        <v>748</v>
      </c>
      <c r="AI9" s="29">
        <v>4</v>
      </c>
      <c r="AJ9" s="29">
        <f t="shared" si="4"/>
        <v>20</v>
      </c>
      <c r="AK9" s="29">
        <f t="shared" si="5"/>
        <v>10</v>
      </c>
      <c r="AM9" s="43">
        <f t="shared" ref="AM9" si="54">+AH9/Q9</f>
        <v>24.933333333333334</v>
      </c>
      <c r="AN9" s="43">
        <f t="shared" ref="AN9" si="55">+Q9/AI9</f>
        <v>7.5</v>
      </c>
      <c r="AQ9" s="34">
        <f t="shared" ref="AQ9" si="56">+N9/78.54</f>
        <v>56.086070791953141</v>
      </c>
      <c r="AR9" s="34">
        <f t="shared" ref="AR9" si="57">+AH9/11</f>
        <v>68</v>
      </c>
      <c r="AS9" s="34">
        <f t="shared" ref="AS9" si="58">+AR9-AQ9</f>
        <v>11.913929208046859</v>
      </c>
      <c r="AT9" s="34">
        <f t="shared" ref="AT9" si="59">+AH9/AQ9</f>
        <v>13.336644721906925</v>
      </c>
    </row>
    <row r="10" spans="1:51" s="11" customFormat="1" x14ac:dyDescent="0.25">
      <c r="A10" s="28">
        <v>9</v>
      </c>
      <c r="B10" s="29" t="s">
        <v>4</v>
      </c>
      <c r="C10" s="29">
        <v>2005</v>
      </c>
      <c r="D10" s="29">
        <v>3</v>
      </c>
      <c r="E10" s="29" t="s">
        <v>75</v>
      </c>
      <c r="F10" s="30">
        <v>46035</v>
      </c>
      <c r="G10" s="30">
        <v>46037</v>
      </c>
      <c r="H10" s="31">
        <f>18*263</f>
        <v>4734</v>
      </c>
      <c r="I10" s="29">
        <v>15</v>
      </c>
      <c r="J10" s="29" t="s">
        <v>78</v>
      </c>
      <c r="K10" s="29" t="s">
        <v>3</v>
      </c>
      <c r="L10" s="32"/>
      <c r="M10" s="32">
        <f t="shared" si="47"/>
        <v>-915.09999999999991</v>
      </c>
      <c r="N10" s="32">
        <f>2318.9+1500</f>
        <v>3818.9</v>
      </c>
      <c r="O10" s="31">
        <v>10</v>
      </c>
      <c r="P10" s="31">
        <v>7</v>
      </c>
      <c r="Q10" s="31">
        <f t="shared" si="1"/>
        <v>17</v>
      </c>
      <c r="R10" s="32">
        <f t="shared" si="2"/>
        <v>224.64117647058825</v>
      </c>
      <c r="S10" s="32">
        <f>(('Costo por negocio'!$B$2-DATA!R10)*DATA!O10)+('Costo por negocio'!$C$2-DATA!R10)*DATA!P10</f>
        <v>1555.1</v>
      </c>
      <c r="T10" s="30">
        <v>46038</v>
      </c>
      <c r="U10" s="29" t="s">
        <v>81</v>
      </c>
      <c r="V10" s="29" t="s">
        <v>81</v>
      </c>
      <c r="W10" s="29" t="s">
        <v>81</v>
      </c>
      <c r="X10" s="29"/>
      <c r="Y10" s="29" t="s">
        <v>106</v>
      </c>
      <c r="Z10" s="29"/>
      <c r="AA10" s="29">
        <v>94659</v>
      </c>
      <c r="AB10" s="29"/>
      <c r="AC10" s="29">
        <v>111</v>
      </c>
      <c r="AD10" s="31">
        <v>78912</v>
      </c>
      <c r="AE10" s="33">
        <v>46035.381944444445</v>
      </c>
      <c r="AF10" s="31">
        <v>79558</v>
      </c>
      <c r="AG10" s="33">
        <v>46038.376388888886</v>
      </c>
      <c r="AH10" s="31">
        <f t="shared" si="40"/>
        <v>646</v>
      </c>
      <c r="AI10" s="29">
        <v>3</v>
      </c>
      <c r="AJ10" s="29">
        <f t="shared" si="4"/>
        <v>15</v>
      </c>
      <c r="AK10" s="29">
        <f t="shared" si="5"/>
        <v>2</v>
      </c>
      <c r="AM10" s="43">
        <f t="shared" ref="AM10" si="60">+AH10/Q10</f>
        <v>38</v>
      </c>
      <c r="AN10" s="43">
        <f t="shared" ref="AN10" si="61">+Q10/AI10</f>
        <v>5.666666666666667</v>
      </c>
      <c r="AQ10" s="34">
        <f t="shared" ref="AQ10" si="62">+N10/78.54</f>
        <v>48.62363127069009</v>
      </c>
      <c r="AR10" s="34">
        <f t="shared" ref="AR10" si="63">+AH10/11</f>
        <v>58.727272727272727</v>
      </c>
      <c r="AS10" s="34">
        <f t="shared" ref="AS10" si="64">+AR10-AQ10</f>
        <v>10.103641456582636</v>
      </c>
      <c r="AT10" s="34">
        <f t="shared" ref="AT10" si="65">+AH10/AQ10</f>
        <v>13.285721019141638</v>
      </c>
    </row>
    <row r="11" spans="1:51" s="11" customFormat="1" x14ac:dyDescent="0.25">
      <c r="A11" s="28">
        <v>10</v>
      </c>
      <c r="B11" s="29" t="s">
        <v>66</v>
      </c>
      <c r="C11" s="29">
        <v>3075</v>
      </c>
      <c r="D11" s="29">
        <v>3</v>
      </c>
      <c r="E11" s="29" t="s">
        <v>75</v>
      </c>
      <c r="F11" s="30">
        <v>46035</v>
      </c>
      <c r="G11" s="30">
        <v>46037</v>
      </c>
      <c r="H11" s="31">
        <v>8000</v>
      </c>
      <c r="I11" s="29">
        <v>15</v>
      </c>
      <c r="J11" s="29" t="s">
        <v>79</v>
      </c>
      <c r="K11" s="29" t="s">
        <v>3</v>
      </c>
      <c r="L11" s="32"/>
      <c r="M11" s="32">
        <f t="shared" si="47"/>
        <v>229.54999999999927</v>
      </c>
      <c r="N11" s="32">
        <f>2200.7+2479.5+2745+804.35</f>
        <v>8229.5499999999993</v>
      </c>
      <c r="O11" s="31"/>
      <c r="P11" s="31">
        <f>20+5</f>
        <v>25</v>
      </c>
      <c r="Q11" s="31">
        <f t="shared" si="1"/>
        <v>25</v>
      </c>
      <c r="R11" s="32">
        <f t="shared" si="2"/>
        <v>329.18199999999996</v>
      </c>
      <c r="S11" s="32">
        <f>(('Costo por negocio'!$B$2-DATA!R11)*DATA!O11)+('Costo por negocio'!$C$2-DATA!R11)*DATA!P11</f>
        <v>1570.450000000001</v>
      </c>
      <c r="T11" s="30">
        <v>46038</v>
      </c>
      <c r="U11" s="29" t="s">
        <v>81</v>
      </c>
      <c r="V11" s="29" t="s">
        <v>81</v>
      </c>
      <c r="W11" s="29" t="s">
        <v>81</v>
      </c>
      <c r="X11" s="29"/>
      <c r="Y11" s="29" t="s">
        <v>107</v>
      </c>
      <c r="Z11" s="29"/>
      <c r="AA11" s="29">
        <v>94660</v>
      </c>
      <c r="AB11" s="29"/>
      <c r="AC11" s="29">
        <v>148</v>
      </c>
      <c r="AD11" s="31">
        <v>21718</v>
      </c>
      <c r="AE11" s="33">
        <v>46034.680555555555</v>
      </c>
      <c r="AF11" s="31">
        <v>23015</v>
      </c>
      <c r="AG11" s="33">
        <v>46038.381249999999</v>
      </c>
      <c r="AH11" s="31">
        <f t="shared" si="40"/>
        <v>1297</v>
      </c>
      <c r="AI11" s="29">
        <v>3</v>
      </c>
      <c r="AJ11" s="29">
        <f t="shared" si="4"/>
        <v>15</v>
      </c>
      <c r="AK11" s="29">
        <f t="shared" si="5"/>
        <v>10</v>
      </c>
      <c r="AM11" s="43">
        <f t="shared" ref="AM11" si="66">+AH11/Q11</f>
        <v>51.88</v>
      </c>
      <c r="AN11" s="43">
        <f t="shared" ref="AN11" si="67">+Q11/AI11</f>
        <v>8.3333333333333339</v>
      </c>
      <c r="AQ11" s="34">
        <f t="shared" ref="AQ11" si="68">+N11/78.54</f>
        <v>104.78163992869874</v>
      </c>
      <c r="AR11" s="34">
        <f t="shared" ref="AR11" si="69">+AH11/11</f>
        <v>117.90909090909091</v>
      </c>
      <c r="AS11" s="34">
        <f t="shared" ref="AS11" si="70">+AR11-AQ11</f>
        <v>13.127450980392169</v>
      </c>
      <c r="AT11" s="34">
        <f t="shared" ref="AT11" si="71">+AH11/AQ11</f>
        <v>12.378122740611579</v>
      </c>
    </row>
    <row r="12" spans="1:51" s="11" customFormat="1" x14ac:dyDescent="0.25">
      <c r="A12" s="28">
        <v>11</v>
      </c>
      <c r="B12" s="29" t="s">
        <v>0</v>
      </c>
      <c r="C12" s="29">
        <v>3007</v>
      </c>
      <c r="D12" s="29">
        <v>8</v>
      </c>
      <c r="E12" s="29" t="s">
        <v>85</v>
      </c>
      <c r="F12" s="30">
        <v>46023</v>
      </c>
      <c r="G12" s="30">
        <v>46036</v>
      </c>
      <c r="H12" s="31"/>
      <c r="I12" s="29"/>
      <c r="J12" s="29" t="s">
        <v>86</v>
      </c>
      <c r="K12" s="29" t="s">
        <v>87</v>
      </c>
      <c r="L12" s="32"/>
      <c r="M12" s="32">
        <f t="shared" si="47"/>
        <v>3100</v>
      </c>
      <c r="N12" s="32">
        <v>3100</v>
      </c>
      <c r="O12" s="31">
        <v>16</v>
      </c>
      <c r="P12" s="31"/>
      <c r="Q12" s="31">
        <f t="shared" ref="Q12:Q31" si="72">+P12+O12</f>
        <v>16</v>
      </c>
      <c r="R12" s="32">
        <f t="shared" ref="R12:R31" si="73">(N12/Q12)</f>
        <v>193.75</v>
      </c>
      <c r="S12" s="32">
        <f>(('Costo por negocio'!$B$2-DATA!R12)*DATA!O12)+('Costo por negocio'!$C$2-DATA!R12)*DATA!P12</f>
        <v>1108</v>
      </c>
      <c r="T12" s="30">
        <v>46031</v>
      </c>
      <c r="U12" s="29" t="s">
        <v>81</v>
      </c>
      <c r="V12" s="29" t="s">
        <v>81</v>
      </c>
      <c r="W12" s="29" t="s">
        <v>81</v>
      </c>
      <c r="X12" s="29"/>
      <c r="Y12" s="29" t="s">
        <v>88</v>
      </c>
      <c r="Z12" s="29"/>
      <c r="AA12" s="29"/>
      <c r="AB12" s="29"/>
      <c r="AC12" s="29"/>
      <c r="AD12" s="31"/>
      <c r="AE12" s="33"/>
      <c r="AF12" s="31"/>
      <c r="AG12" s="33"/>
      <c r="AH12" s="31">
        <f t="shared" si="40"/>
        <v>0</v>
      </c>
      <c r="AI12" s="29"/>
      <c r="AJ12" s="29">
        <f t="shared" si="4"/>
        <v>0</v>
      </c>
      <c r="AK12" s="29">
        <v>0</v>
      </c>
      <c r="AM12" s="43"/>
      <c r="AN12" s="43"/>
      <c r="AQ12" s="34"/>
      <c r="AR12" s="34"/>
      <c r="AS12" s="34"/>
      <c r="AT12" s="34"/>
    </row>
    <row r="13" spans="1:51" s="11" customFormat="1" x14ac:dyDescent="0.25">
      <c r="A13" s="28">
        <v>12</v>
      </c>
      <c r="B13" s="29" t="s">
        <v>66</v>
      </c>
      <c r="C13" s="29">
        <v>3075</v>
      </c>
      <c r="D13" s="29">
        <v>8</v>
      </c>
      <c r="E13" s="29" t="s">
        <v>85</v>
      </c>
      <c r="F13" s="30">
        <v>46023</v>
      </c>
      <c r="G13" s="30">
        <v>46036</v>
      </c>
      <c r="H13" s="31"/>
      <c r="I13" s="29"/>
      <c r="J13" s="29" t="s">
        <v>86</v>
      </c>
      <c r="K13" s="29" t="s">
        <v>87</v>
      </c>
      <c r="L13" s="32"/>
      <c r="M13" s="32">
        <f t="shared" ref="M13:M28" si="74">+N13-H13</f>
        <v>1500</v>
      </c>
      <c r="N13" s="32">
        <v>1500</v>
      </c>
      <c r="O13" s="31">
        <v>3</v>
      </c>
      <c r="P13" s="31"/>
      <c r="Q13" s="31">
        <f t="shared" si="72"/>
        <v>3</v>
      </c>
      <c r="R13" s="32">
        <f t="shared" si="73"/>
        <v>500</v>
      </c>
      <c r="S13" s="32">
        <f>(('Costo por negocio'!$B$2-DATA!R13)*DATA!O13)+('Costo por negocio'!$C$2-DATA!R13)*DATA!P13</f>
        <v>-711</v>
      </c>
      <c r="T13" s="30">
        <v>46031</v>
      </c>
      <c r="U13" s="29" t="s">
        <v>81</v>
      </c>
      <c r="V13" s="29" t="s">
        <v>81</v>
      </c>
      <c r="W13" s="29" t="s">
        <v>81</v>
      </c>
      <c r="X13" s="29"/>
      <c r="Y13" s="29" t="s">
        <v>89</v>
      </c>
      <c r="Z13" s="29"/>
      <c r="AA13" s="29"/>
      <c r="AB13" s="29"/>
      <c r="AC13" s="29"/>
      <c r="AD13" s="31"/>
      <c r="AE13" s="33"/>
      <c r="AF13" s="31"/>
      <c r="AG13" s="33"/>
      <c r="AH13" s="31">
        <f t="shared" si="40"/>
        <v>0</v>
      </c>
      <c r="AI13" s="29"/>
      <c r="AJ13" s="29">
        <f t="shared" si="4"/>
        <v>0</v>
      </c>
      <c r="AK13" s="29">
        <v>0</v>
      </c>
      <c r="AM13" s="43"/>
      <c r="AN13" s="43"/>
      <c r="AQ13" s="34"/>
      <c r="AR13" s="34"/>
      <c r="AS13" s="34"/>
      <c r="AT13" s="34"/>
    </row>
    <row r="14" spans="1:51" s="11" customFormat="1" x14ac:dyDescent="0.25">
      <c r="A14" s="28">
        <v>13</v>
      </c>
      <c r="B14" s="29" t="s">
        <v>91</v>
      </c>
      <c r="C14" s="29">
        <v>3076</v>
      </c>
      <c r="D14" s="29">
        <v>6</v>
      </c>
      <c r="E14" s="29" t="s">
        <v>92</v>
      </c>
      <c r="F14" s="30">
        <v>46023</v>
      </c>
      <c r="G14" s="30">
        <v>46034</v>
      </c>
      <c r="H14" s="31"/>
      <c r="I14" s="29"/>
      <c r="J14" s="29" t="s">
        <v>94</v>
      </c>
      <c r="K14" s="29" t="s">
        <v>87</v>
      </c>
      <c r="L14" s="32"/>
      <c r="M14" s="32">
        <f t="shared" si="74"/>
        <v>11729.1</v>
      </c>
      <c r="N14" s="32">
        <f>2831+2637.1+2900+3361</f>
        <v>11729.1</v>
      </c>
      <c r="O14" s="31"/>
      <c r="P14" s="31">
        <f>18+12</f>
        <v>30</v>
      </c>
      <c r="Q14" s="31">
        <f t="shared" si="72"/>
        <v>30</v>
      </c>
      <c r="R14" s="32">
        <f t="shared" si="73"/>
        <v>390.97</v>
      </c>
      <c r="S14" s="32">
        <f>(('Costo por negocio'!$B$2-DATA!R14)*DATA!O14)+('Costo por negocio'!$C$2-DATA!R14)*DATA!P14</f>
        <v>30.899999999999181</v>
      </c>
      <c r="T14" s="30">
        <v>46034</v>
      </c>
      <c r="U14" s="29" t="s">
        <v>81</v>
      </c>
      <c r="V14" s="29" t="s">
        <v>81</v>
      </c>
      <c r="W14" s="29" t="s">
        <v>81</v>
      </c>
      <c r="X14" s="29"/>
      <c r="Y14" s="29" t="s">
        <v>93</v>
      </c>
      <c r="Z14" s="29"/>
      <c r="AA14" s="29"/>
      <c r="AB14" s="29"/>
      <c r="AC14" s="29"/>
      <c r="AD14" s="31"/>
      <c r="AE14" s="33"/>
      <c r="AF14" s="31"/>
      <c r="AG14" s="33"/>
      <c r="AH14" s="31">
        <f t="shared" si="40"/>
        <v>0</v>
      </c>
      <c r="AI14" s="29"/>
      <c r="AJ14" s="29">
        <f t="shared" si="4"/>
        <v>0</v>
      </c>
      <c r="AK14" s="29">
        <v>0</v>
      </c>
      <c r="AM14" s="43"/>
      <c r="AN14" s="43"/>
      <c r="AQ14" s="34"/>
      <c r="AR14" s="34"/>
      <c r="AS14" s="34"/>
      <c r="AT14" s="34"/>
    </row>
    <row r="15" spans="1:51" s="11" customFormat="1" x14ac:dyDescent="0.25">
      <c r="A15" s="28">
        <v>14</v>
      </c>
      <c r="B15" s="29" t="s">
        <v>98</v>
      </c>
      <c r="C15" s="29">
        <v>1332</v>
      </c>
      <c r="D15" s="29">
        <v>8</v>
      </c>
      <c r="E15" s="29" t="s">
        <v>85</v>
      </c>
      <c r="F15" s="30">
        <v>46023</v>
      </c>
      <c r="G15" s="30">
        <v>46036</v>
      </c>
      <c r="H15" s="31"/>
      <c r="I15" s="29"/>
      <c r="J15" s="29" t="s">
        <v>99</v>
      </c>
      <c r="K15" s="29" t="s">
        <v>87</v>
      </c>
      <c r="L15" s="32"/>
      <c r="M15" s="32">
        <f t="shared" si="74"/>
        <v>7000</v>
      </c>
      <c r="N15" s="32">
        <f>1000+1800+2400+1800</f>
        <v>7000</v>
      </c>
      <c r="O15" s="31">
        <v>21</v>
      </c>
      <c r="P15" s="31">
        <v>4</v>
      </c>
      <c r="Q15" s="31">
        <f t="shared" ref="Q15" si="75">+P15+O15</f>
        <v>25</v>
      </c>
      <c r="R15" s="32">
        <f t="shared" ref="R15" si="76">(N15/Q15)</f>
        <v>280</v>
      </c>
      <c r="S15" s="32">
        <f>(('Costo por negocio'!$B$2-DATA!R15)*DATA!O15)+('Costo por negocio'!$C$2-DATA!R15)*DATA!P15</f>
        <v>91</v>
      </c>
      <c r="T15" s="30">
        <v>46037</v>
      </c>
      <c r="U15" s="29" t="s">
        <v>81</v>
      </c>
      <c r="V15" s="29" t="s">
        <v>81</v>
      </c>
      <c r="W15" s="29" t="s">
        <v>81</v>
      </c>
      <c r="X15" s="29"/>
      <c r="Y15" s="29" t="s">
        <v>100</v>
      </c>
      <c r="Z15" s="29"/>
      <c r="AA15" s="29"/>
      <c r="AB15" s="29"/>
      <c r="AC15" s="29"/>
      <c r="AD15" s="31"/>
      <c r="AE15" s="33"/>
      <c r="AF15" s="31"/>
      <c r="AG15" s="33"/>
      <c r="AH15" s="31"/>
      <c r="AI15" s="29"/>
      <c r="AJ15" s="29"/>
      <c r="AK15" s="29"/>
      <c r="AM15" s="43"/>
      <c r="AN15" s="43"/>
      <c r="AQ15" s="34"/>
      <c r="AR15" s="34"/>
      <c r="AS15" s="34"/>
      <c r="AT15" s="34"/>
    </row>
    <row r="16" spans="1:51" s="11" customFormat="1" x14ac:dyDescent="0.25">
      <c r="A16" s="28">
        <v>15</v>
      </c>
      <c r="B16" s="29" t="s">
        <v>101</v>
      </c>
      <c r="C16" s="29">
        <v>3152</v>
      </c>
      <c r="D16" s="29">
        <v>8</v>
      </c>
      <c r="E16" s="29" t="s">
        <v>85</v>
      </c>
      <c r="F16" s="30">
        <v>46023</v>
      </c>
      <c r="G16" s="30">
        <v>46036</v>
      </c>
      <c r="H16" s="31"/>
      <c r="I16" s="29"/>
      <c r="J16" s="29" t="s">
        <v>78</v>
      </c>
      <c r="K16" s="29" t="s">
        <v>87</v>
      </c>
      <c r="L16" s="32"/>
      <c r="M16" s="32">
        <f t="shared" si="74"/>
        <v>6312</v>
      </c>
      <c r="N16" s="32">
        <f>792+1056+1052+1052+2360</f>
        <v>6312</v>
      </c>
      <c r="O16" s="31">
        <v>23</v>
      </c>
      <c r="P16" s="31"/>
      <c r="Q16" s="31">
        <f t="shared" ref="Q16" si="77">+P16+O16</f>
        <v>23</v>
      </c>
      <c r="R16" s="32">
        <f t="shared" ref="R16" si="78">(N16/Q16)</f>
        <v>274.43478260869563</v>
      </c>
      <c r="S16" s="32">
        <f>(('Costo por negocio'!$B$2-DATA!R16)*DATA!O16)+('Costo por negocio'!$C$2-DATA!R16)*DATA!P16</f>
        <v>-262.99999999999943</v>
      </c>
      <c r="T16" s="30">
        <v>46037</v>
      </c>
      <c r="U16" s="29" t="s">
        <v>81</v>
      </c>
      <c r="V16" s="29" t="s">
        <v>81</v>
      </c>
      <c r="W16" s="29" t="s">
        <v>81</v>
      </c>
      <c r="X16" s="29"/>
      <c r="Y16" s="29" t="s">
        <v>102</v>
      </c>
      <c r="Z16" s="29"/>
      <c r="AA16" s="29"/>
      <c r="AB16" s="29"/>
      <c r="AC16" s="29"/>
      <c r="AD16" s="31"/>
      <c r="AE16" s="33"/>
      <c r="AF16" s="31"/>
      <c r="AG16" s="33"/>
      <c r="AH16" s="31"/>
      <c r="AI16" s="29"/>
      <c r="AJ16" s="29"/>
      <c r="AK16" s="29"/>
      <c r="AM16" s="43"/>
      <c r="AN16" s="43"/>
      <c r="AQ16" s="34"/>
      <c r="AR16" s="34"/>
      <c r="AS16" s="34"/>
      <c r="AT16" s="34"/>
    </row>
    <row r="17" spans="1:46" s="11" customFormat="1" x14ac:dyDescent="0.25">
      <c r="A17" s="28">
        <v>16</v>
      </c>
      <c r="B17" s="29" t="s">
        <v>103</v>
      </c>
      <c r="C17" s="29">
        <v>3065</v>
      </c>
      <c r="D17" s="29">
        <v>8</v>
      </c>
      <c r="E17" s="29" t="s">
        <v>85</v>
      </c>
      <c r="F17" s="30">
        <v>46023</v>
      </c>
      <c r="G17" s="30">
        <v>46036</v>
      </c>
      <c r="H17" s="31"/>
      <c r="I17" s="29"/>
      <c r="J17" s="29" t="s">
        <v>104</v>
      </c>
      <c r="K17" s="29" t="s">
        <v>87</v>
      </c>
      <c r="L17" s="32"/>
      <c r="M17" s="32">
        <f t="shared" si="74"/>
        <v>6675.4</v>
      </c>
      <c r="N17" s="32">
        <f>2553+1322.4+2800</f>
        <v>6675.4</v>
      </c>
      <c r="O17" s="31">
        <f>20+6</f>
        <v>26</v>
      </c>
      <c r="P17" s="31"/>
      <c r="Q17" s="31">
        <f t="shared" ref="Q17" si="79">+P17+O17</f>
        <v>26</v>
      </c>
      <c r="R17" s="32">
        <f t="shared" ref="R17" si="80">(N17/Q17)</f>
        <v>256.74615384615385</v>
      </c>
      <c r="S17" s="32">
        <f>(('Costo por negocio'!$B$2-DATA!R17)*DATA!O17)+('Costo por negocio'!$C$2-DATA!R17)*DATA!P17</f>
        <v>162.60000000000002</v>
      </c>
      <c r="T17" s="30">
        <v>46037</v>
      </c>
      <c r="U17" s="29" t="s">
        <v>81</v>
      </c>
      <c r="V17" s="29" t="s">
        <v>81</v>
      </c>
      <c r="W17" s="29" t="s">
        <v>81</v>
      </c>
      <c r="X17" s="29"/>
      <c r="Y17" s="29" t="s">
        <v>105</v>
      </c>
      <c r="Z17" s="29"/>
      <c r="AA17" s="29"/>
      <c r="AB17" s="29"/>
      <c r="AC17" s="29"/>
      <c r="AD17" s="31"/>
      <c r="AE17" s="33"/>
      <c r="AF17" s="31"/>
      <c r="AG17" s="33"/>
      <c r="AH17" s="31"/>
      <c r="AI17" s="29"/>
      <c r="AJ17" s="29"/>
      <c r="AK17" s="29"/>
      <c r="AM17" s="43"/>
      <c r="AN17" s="43"/>
      <c r="AQ17" s="34"/>
      <c r="AR17" s="34"/>
      <c r="AS17" s="34"/>
      <c r="AT17" s="34"/>
    </row>
    <row r="18" spans="1:46" s="11" customFormat="1" x14ac:dyDescent="0.25">
      <c r="A18" s="28">
        <v>17</v>
      </c>
      <c r="B18" s="29" t="s">
        <v>4</v>
      </c>
      <c r="C18" s="29">
        <v>2005</v>
      </c>
      <c r="D18" s="29">
        <v>3</v>
      </c>
      <c r="E18" s="29" t="s">
        <v>96</v>
      </c>
      <c r="F18" s="30">
        <v>46042</v>
      </c>
      <c r="G18" s="30">
        <v>46044</v>
      </c>
      <c r="H18" s="31">
        <f>18*392</f>
        <v>7056</v>
      </c>
      <c r="I18" s="29">
        <v>15</v>
      </c>
      <c r="J18" s="29" t="s">
        <v>97</v>
      </c>
      <c r="K18" s="29" t="s">
        <v>3</v>
      </c>
      <c r="L18" s="32"/>
      <c r="M18" s="32">
        <f t="shared" si="74"/>
        <v>-4240</v>
      </c>
      <c r="N18" s="32">
        <v>2816</v>
      </c>
      <c r="O18" s="31">
        <v>4</v>
      </c>
      <c r="P18" s="31">
        <v>20</v>
      </c>
      <c r="Q18" s="31">
        <f t="shared" si="72"/>
        <v>24</v>
      </c>
      <c r="R18" s="32">
        <f t="shared" si="73"/>
        <v>117.33333333333333</v>
      </c>
      <c r="S18" s="32">
        <f>(('Costo por negocio'!$B$2-DATA!R18)*DATA!O18)+('Costo por negocio'!$C$2-DATA!R18)*DATA!P18</f>
        <v>6076.0000000000009</v>
      </c>
      <c r="T18" s="30">
        <v>46045</v>
      </c>
      <c r="U18" s="29" t="s">
        <v>81</v>
      </c>
      <c r="V18" s="29" t="s">
        <v>81</v>
      </c>
      <c r="W18" s="29" t="s">
        <v>81</v>
      </c>
      <c r="X18" s="29"/>
      <c r="Y18" s="29" t="s">
        <v>83</v>
      </c>
      <c r="Z18" s="29"/>
      <c r="AA18" s="29">
        <v>94705</v>
      </c>
      <c r="AB18" s="29"/>
      <c r="AC18" s="29">
        <v>111</v>
      </c>
      <c r="AD18" s="31">
        <v>80374</v>
      </c>
      <c r="AE18" s="33">
        <v>46042.375</v>
      </c>
      <c r="AF18" s="31">
        <v>80408</v>
      </c>
      <c r="AG18" s="33">
        <v>46045.388194444444</v>
      </c>
      <c r="AH18" s="31">
        <f t="shared" si="40"/>
        <v>34</v>
      </c>
      <c r="AI18" s="29">
        <v>3</v>
      </c>
      <c r="AJ18" s="29">
        <f t="shared" si="4"/>
        <v>15</v>
      </c>
      <c r="AK18" s="29">
        <f t="shared" si="5"/>
        <v>9</v>
      </c>
      <c r="AM18" s="43">
        <f t="shared" ref="AM18" si="81">+AH18/Q18</f>
        <v>1.4166666666666667</v>
      </c>
      <c r="AN18" s="43">
        <f t="shared" ref="AN18" si="82">+Q18/AI18</f>
        <v>8</v>
      </c>
      <c r="AQ18" s="34">
        <f t="shared" ref="AQ18" si="83">+N18/78.54</f>
        <v>35.854341736694678</v>
      </c>
      <c r="AR18" s="34">
        <f t="shared" ref="AR18" si="84">+AH18/11</f>
        <v>3.0909090909090908</v>
      </c>
      <c r="AS18" s="34">
        <f t="shared" ref="AS18" si="85">+AR18-AQ18</f>
        <v>-32.763432645785585</v>
      </c>
      <c r="AT18" s="34">
        <f t="shared" ref="AT18" si="86">+AH18/AQ18</f>
        <v>0.94828124999999996</v>
      </c>
    </row>
    <row r="19" spans="1:46" s="11" customFormat="1" x14ac:dyDescent="0.25">
      <c r="A19" s="28">
        <v>18</v>
      </c>
      <c r="B19" s="29" t="s">
        <v>103</v>
      </c>
      <c r="C19" s="29">
        <v>3065</v>
      </c>
      <c r="D19" s="29">
        <v>12</v>
      </c>
      <c r="E19" s="29" t="s">
        <v>111</v>
      </c>
      <c r="F19" s="30">
        <v>46037</v>
      </c>
      <c r="G19" s="30">
        <v>46053</v>
      </c>
      <c r="H19" s="31"/>
      <c r="I19" s="29"/>
      <c r="J19" s="29" t="s">
        <v>104</v>
      </c>
      <c r="K19" s="29" t="s">
        <v>87</v>
      </c>
      <c r="L19" s="32"/>
      <c r="M19" s="32">
        <f t="shared" si="74"/>
        <v>600.5</v>
      </c>
      <c r="N19" s="32">
        <v>600.5</v>
      </c>
      <c r="O19" s="31">
        <v>9</v>
      </c>
      <c r="P19" s="31"/>
      <c r="Q19" s="31">
        <f t="shared" si="72"/>
        <v>9</v>
      </c>
      <c r="R19" s="32">
        <f t="shared" si="73"/>
        <v>66.722222222222229</v>
      </c>
      <c r="S19" s="32">
        <f>(('Costo por negocio'!$B$2-DATA!R19)*DATA!O19)+('Costo por negocio'!$C$2-DATA!R19)*DATA!P19</f>
        <v>1766.5</v>
      </c>
      <c r="T19" s="30">
        <v>46037</v>
      </c>
      <c r="U19" s="29" t="s">
        <v>81</v>
      </c>
      <c r="V19" s="29" t="s">
        <v>81</v>
      </c>
      <c r="W19" s="29" t="s">
        <v>81</v>
      </c>
      <c r="X19" s="29"/>
      <c r="Y19" s="29" t="s">
        <v>105</v>
      </c>
      <c r="Z19" s="29"/>
      <c r="AA19" s="29"/>
      <c r="AB19" s="29"/>
      <c r="AC19" s="29"/>
      <c r="AD19" s="31"/>
      <c r="AE19" s="33"/>
      <c r="AF19" s="31"/>
      <c r="AG19" s="33"/>
      <c r="AH19" s="31">
        <f t="shared" si="40"/>
        <v>0</v>
      </c>
      <c r="AI19" s="29"/>
      <c r="AJ19" s="29">
        <f t="shared" si="4"/>
        <v>0</v>
      </c>
      <c r="AK19" s="29">
        <f t="shared" si="5"/>
        <v>9</v>
      </c>
      <c r="AM19" s="43"/>
      <c r="AN19" s="43"/>
      <c r="AQ19" s="34"/>
      <c r="AR19" s="34"/>
      <c r="AS19" s="34"/>
      <c r="AT19" s="34"/>
    </row>
    <row r="20" spans="1:46" s="11" customFormat="1" x14ac:dyDescent="0.25">
      <c r="A20" s="28">
        <v>19</v>
      </c>
      <c r="B20" s="29" t="s">
        <v>4</v>
      </c>
      <c r="C20" s="29">
        <v>2005</v>
      </c>
      <c r="D20" s="29">
        <v>3</v>
      </c>
      <c r="E20" s="29" t="s">
        <v>112</v>
      </c>
      <c r="F20" s="30">
        <v>46049</v>
      </c>
      <c r="G20" s="30">
        <v>46051</v>
      </c>
      <c r="H20" s="31">
        <f>18*263</f>
        <v>4734</v>
      </c>
      <c r="I20" s="29">
        <v>15</v>
      </c>
      <c r="J20" s="29" t="s">
        <v>86</v>
      </c>
      <c r="K20" s="29" t="s">
        <v>3</v>
      </c>
      <c r="L20" s="32"/>
      <c r="M20" s="32">
        <f t="shared" si="74"/>
        <v>-1683.4099999999999</v>
      </c>
      <c r="N20" s="32">
        <v>3050.59</v>
      </c>
      <c r="O20" s="31">
        <f>20+6</f>
        <v>26</v>
      </c>
      <c r="P20" s="31"/>
      <c r="Q20" s="31">
        <f t="shared" ref="Q20" si="87">+P20+O20</f>
        <v>26</v>
      </c>
      <c r="R20" s="32">
        <f t="shared" ref="R20" si="88">(N20/Q20)</f>
        <v>117.33038461538462</v>
      </c>
      <c r="S20" s="32">
        <f>(('Costo por negocio'!$B$2-DATA!R20)*DATA!O20)+('Costo por negocio'!$C$2-DATA!R20)*DATA!P20</f>
        <v>3787.41</v>
      </c>
      <c r="T20" s="30">
        <v>46052</v>
      </c>
      <c r="U20" s="29" t="s">
        <v>81</v>
      </c>
      <c r="V20" s="29" t="s">
        <v>81</v>
      </c>
      <c r="W20" s="29" t="s">
        <v>81</v>
      </c>
      <c r="X20" s="29"/>
      <c r="Y20" s="29" t="s">
        <v>120</v>
      </c>
      <c r="Z20" s="29"/>
      <c r="AA20" s="29">
        <v>94749</v>
      </c>
      <c r="AB20" s="29"/>
      <c r="AC20" s="29">
        <v>111</v>
      </c>
      <c r="AD20" s="31">
        <v>109722</v>
      </c>
      <c r="AE20" s="33">
        <v>46049.375</v>
      </c>
      <c r="AF20" s="31">
        <v>110060</v>
      </c>
      <c r="AG20" s="33">
        <v>46052.375</v>
      </c>
      <c r="AH20" s="31">
        <f t="shared" si="40"/>
        <v>338</v>
      </c>
      <c r="AI20" s="29">
        <v>3</v>
      </c>
      <c r="AJ20" s="29">
        <f t="shared" ref="AJ20" si="89">+AI20*5</f>
        <v>15</v>
      </c>
      <c r="AK20" s="29">
        <f t="shared" ref="AK20" si="90">+Q20-AJ20</f>
        <v>11</v>
      </c>
      <c r="AM20" s="43">
        <f t="shared" ref="AM20" si="91">+AH20/Q20</f>
        <v>13</v>
      </c>
      <c r="AN20" s="43">
        <f t="shared" ref="AN20" si="92">+Q20/AI20</f>
        <v>8.6666666666666661</v>
      </c>
      <c r="AQ20" s="34">
        <f t="shared" ref="AQ20" si="93">+N20/78.54</f>
        <v>38.841227400050926</v>
      </c>
      <c r="AR20" s="34">
        <f t="shared" ref="AR20" si="94">+AH20/11</f>
        <v>30.727272727272727</v>
      </c>
      <c r="AS20" s="34">
        <f t="shared" ref="AS20" si="95">+AR20-AQ20</f>
        <v>-8.113954672778199</v>
      </c>
      <c r="AT20" s="34">
        <f t="shared" ref="AT20" si="96">+AH20/AQ20</f>
        <v>8.7020936933511237</v>
      </c>
    </row>
    <row r="21" spans="1:46" s="11" customFormat="1" x14ac:dyDescent="0.25">
      <c r="A21" s="28">
        <v>20</v>
      </c>
      <c r="B21" s="29" t="s">
        <v>9</v>
      </c>
      <c r="C21" s="29">
        <v>1618</v>
      </c>
      <c r="D21" s="29">
        <v>3</v>
      </c>
      <c r="E21" s="29" t="s">
        <v>112</v>
      </c>
      <c r="F21" s="30">
        <v>46049</v>
      </c>
      <c r="G21" s="30">
        <v>46051</v>
      </c>
      <c r="H21" s="31">
        <v>4500</v>
      </c>
      <c r="I21" s="29">
        <v>15</v>
      </c>
      <c r="J21" s="29" t="s">
        <v>10</v>
      </c>
      <c r="K21" s="29" t="s">
        <v>3</v>
      </c>
      <c r="L21" s="32"/>
      <c r="M21" s="32">
        <f t="shared" si="74"/>
        <v>256.10000000000036</v>
      </c>
      <c r="N21" s="32">
        <f>2000+2000+756.1</f>
        <v>4756.1000000000004</v>
      </c>
      <c r="O21" s="31">
        <v>11</v>
      </c>
      <c r="P21" s="31"/>
      <c r="Q21" s="31">
        <f t="shared" si="72"/>
        <v>11</v>
      </c>
      <c r="R21" s="32">
        <f t="shared" si="73"/>
        <v>432.37272727272733</v>
      </c>
      <c r="S21" s="32">
        <f>(('Costo por negocio'!$B$2-DATA!R21)*DATA!O21)+('Costo por negocio'!$C$2-DATA!R21)*DATA!P21</f>
        <v>-1863.1000000000006</v>
      </c>
      <c r="T21" s="30">
        <v>46056</v>
      </c>
      <c r="U21" s="29" t="s">
        <v>81</v>
      </c>
      <c r="V21" s="29" t="s">
        <v>81</v>
      </c>
      <c r="W21" s="29" t="s">
        <v>81</v>
      </c>
      <c r="X21" s="29"/>
      <c r="Y21" s="29" t="s">
        <v>127</v>
      </c>
      <c r="Z21" s="29"/>
      <c r="AA21" s="29">
        <v>93095</v>
      </c>
      <c r="AB21" s="29"/>
      <c r="AC21" s="29">
        <v>111</v>
      </c>
      <c r="AD21" s="31">
        <v>107721</v>
      </c>
      <c r="AE21" s="33">
        <v>46048.708333333336</v>
      </c>
      <c r="AF21" s="31">
        <v>108502</v>
      </c>
      <c r="AG21" s="33">
        <v>46052.375</v>
      </c>
      <c r="AH21" s="31">
        <f t="shared" si="40"/>
        <v>781</v>
      </c>
      <c r="AI21" s="29">
        <v>3</v>
      </c>
      <c r="AJ21" s="29">
        <f t="shared" si="4"/>
        <v>15</v>
      </c>
      <c r="AK21" s="29">
        <f t="shared" si="5"/>
        <v>-4</v>
      </c>
      <c r="AM21" s="43"/>
      <c r="AN21" s="43"/>
      <c r="AQ21" s="34"/>
      <c r="AR21" s="34"/>
      <c r="AS21" s="34"/>
      <c r="AT21" s="34"/>
    </row>
    <row r="22" spans="1:46" s="11" customFormat="1" x14ac:dyDescent="0.25">
      <c r="A22" s="28">
        <v>21</v>
      </c>
      <c r="B22" s="29" t="s">
        <v>0</v>
      </c>
      <c r="C22" s="29">
        <v>3007</v>
      </c>
      <c r="D22" s="29">
        <v>4</v>
      </c>
      <c r="E22" s="29" t="s">
        <v>113</v>
      </c>
      <c r="F22" s="30">
        <v>46041</v>
      </c>
      <c r="G22" s="30">
        <v>46044</v>
      </c>
      <c r="H22" s="31"/>
      <c r="I22" s="29">
        <v>20</v>
      </c>
      <c r="J22" s="29" t="s">
        <v>86</v>
      </c>
      <c r="K22" s="29" t="s">
        <v>3</v>
      </c>
      <c r="L22" s="32"/>
      <c r="M22" s="32">
        <f t="shared" si="74"/>
        <v>3300.6</v>
      </c>
      <c r="N22" s="32">
        <v>3300.6</v>
      </c>
      <c r="O22" s="31">
        <f>18+11</f>
        <v>29</v>
      </c>
      <c r="P22" s="31"/>
      <c r="Q22" s="31">
        <f t="shared" si="72"/>
        <v>29</v>
      </c>
      <c r="R22" s="32">
        <f t="shared" si="73"/>
        <v>113.81379310344828</v>
      </c>
      <c r="S22" s="32">
        <f>(('Costo por negocio'!$B$2-DATA!R22)*DATA!O22)+('Costo por negocio'!$C$2-DATA!R22)*DATA!P22</f>
        <v>4326.3999999999996</v>
      </c>
      <c r="T22" s="30">
        <v>46045</v>
      </c>
      <c r="U22" s="29" t="s">
        <v>81</v>
      </c>
      <c r="V22" s="29" t="s">
        <v>81</v>
      </c>
      <c r="W22" s="29" t="s">
        <v>81</v>
      </c>
      <c r="X22" s="29"/>
      <c r="Y22" s="29" t="s">
        <v>114</v>
      </c>
      <c r="Z22" s="29"/>
      <c r="AA22" s="29">
        <v>94703</v>
      </c>
      <c r="AB22" s="29"/>
      <c r="AC22" s="29">
        <v>146</v>
      </c>
      <c r="AD22" s="31">
        <v>97593</v>
      </c>
      <c r="AE22" s="33">
        <v>46041.393055555556</v>
      </c>
      <c r="AF22" s="31">
        <v>98027</v>
      </c>
      <c r="AG22" s="33">
        <v>46045.380555555559</v>
      </c>
      <c r="AH22" s="31">
        <f t="shared" si="40"/>
        <v>434</v>
      </c>
      <c r="AI22" s="29">
        <v>4</v>
      </c>
      <c r="AJ22" s="29">
        <f t="shared" si="4"/>
        <v>20</v>
      </c>
      <c r="AK22" s="29">
        <f t="shared" si="5"/>
        <v>9</v>
      </c>
      <c r="AM22" s="43">
        <f t="shared" ref="AM22" si="97">+AH22/Q22</f>
        <v>14.96551724137931</v>
      </c>
      <c r="AN22" s="43">
        <f t="shared" ref="AN22" si="98">+Q22/AI22</f>
        <v>7.25</v>
      </c>
      <c r="AQ22" s="34">
        <f t="shared" ref="AQ22" si="99">+N22/78.54</f>
        <v>42.024446142093197</v>
      </c>
      <c r="AR22" s="34">
        <f t="shared" ref="AR22" si="100">+AH22/11</f>
        <v>39.454545454545453</v>
      </c>
      <c r="AS22" s="34">
        <f t="shared" ref="AS22" si="101">+AR22-AQ22</f>
        <v>-2.5699006875477437</v>
      </c>
      <c r="AT22" s="34">
        <f t="shared" ref="AT22" si="102">+AH22/AQ22</f>
        <v>10.32732230503545</v>
      </c>
    </row>
    <row r="23" spans="1:46" s="11" customFormat="1" x14ac:dyDescent="0.25">
      <c r="A23" s="28">
        <v>22</v>
      </c>
      <c r="B23" s="29" t="s">
        <v>0</v>
      </c>
      <c r="C23" s="29">
        <v>3007</v>
      </c>
      <c r="D23" s="29">
        <v>12</v>
      </c>
      <c r="E23" s="29" t="s">
        <v>111</v>
      </c>
      <c r="F23" s="30">
        <v>46037</v>
      </c>
      <c r="G23" s="30">
        <v>46053</v>
      </c>
      <c r="H23" s="31"/>
      <c r="I23" s="29"/>
      <c r="J23" s="29" t="s">
        <v>86</v>
      </c>
      <c r="K23" s="29" t="s">
        <v>87</v>
      </c>
      <c r="L23" s="32"/>
      <c r="M23" s="32">
        <f t="shared" si="74"/>
        <v>4568.1000000000004</v>
      </c>
      <c r="N23" s="32">
        <f>1800+2768.1</f>
        <v>4568.1000000000004</v>
      </c>
      <c r="O23" s="31">
        <v>9</v>
      </c>
      <c r="P23" s="31">
        <v>6</v>
      </c>
      <c r="Q23" s="31">
        <f t="shared" si="72"/>
        <v>15</v>
      </c>
      <c r="R23" s="32">
        <f t="shared" si="73"/>
        <v>304.54000000000002</v>
      </c>
      <c r="S23" s="32">
        <f>(('Costo por negocio'!$B$2-DATA!R23)*DATA!O23)+('Costo por negocio'!$C$2-DATA!R23)*DATA!P23</f>
        <v>150.89999999999969</v>
      </c>
      <c r="T23" s="30">
        <v>46045</v>
      </c>
      <c r="U23" s="29" t="s">
        <v>81</v>
      </c>
      <c r="V23" s="29" t="s">
        <v>81</v>
      </c>
      <c r="W23" s="29" t="s">
        <v>81</v>
      </c>
      <c r="X23" s="29"/>
      <c r="Y23" s="29" t="s">
        <v>88</v>
      </c>
      <c r="Z23" s="29"/>
      <c r="AA23" s="29"/>
      <c r="AB23" s="29"/>
      <c r="AC23" s="29"/>
      <c r="AD23" s="31"/>
      <c r="AE23" s="33"/>
      <c r="AF23" s="31"/>
      <c r="AG23" s="33"/>
      <c r="AH23" s="31">
        <f t="shared" si="40"/>
        <v>0</v>
      </c>
      <c r="AI23" s="29"/>
      <c r="AJ23" s="29">
        <f t="shared" si="4"/>
        <v>0</v>
      </c>
      <c r="AK23" s="29">
        <f t="shared" si="5"/>
        <v>15</v>
      </c>
      <c r="AM23" s="43"/>
      <c r="AN23" s="43"/>
      <c r="AQ23" s="34"/>
      <c r="AR23" s="34"/>
      <c r="AS23" s="34"/>
      <c r="AT23" s="34"/>
    </row>
    <row r="24" spans="1:46" s="11" customFormat="1" x14ac:dyDescent="0.25">
      <c r="A24" s="28">
        <v>23</v>
      </c>
      <c r="B24" s="29" t="s">
        <v>9</v>
      </c>
      <c r="C24" s="29">
        <v>1618</v>
      </c>
      <c r="D24" s="29">
        <v>3</v>
      </c>
      <c r="E24" s="29" t="s">
        <v>96</v>
      </c>
      <c r="F24" s="30">
        <v>46042</v>
      </c>
      <c r="G24" s="30">
        <v>46044</v>
      </c>
      <c r="H24" s="31"/>
      <c r="I24" s="29">
        <v>15</v>
      </c>
      <c r="J24" s="29" t="s">
        <v>10</v>
      </c>
      <c r="K24" s="29" t="s">
        <v>3</v>
      </c>
      <c r="L24" s="32"/>
      <c r="M24" s="32">
        <f t="shared" si="74"/>
        <v>3125.4</v>
      </c>
      <c r="N24" s="32">
        <f>2770.9+354.5</f>
        <v>3125.4</v>
      </c>
      <c r="O24" s="31">
        <v>10</v>
      </c>
      <c r="P24" s="31"/>
      <c r="Q24" s="31">
        <f t="shared" si="72"/>
        <v>10</v>
      </c>
      <c r="R24" s="32">
        <f t="shared" si="73"/>
        <v>312.54000000000002</v>
      </c>
      <c r="S24" s="32">
        <f>(('Costo por negocio'!$B$2-DATA!R24)*DATA!O24)+('Costo por negocio'!$C$2-DATA!R24)*DATA!P24</f>
        <v>-495.4000000000002</v>
      </c>
      <c r="T24" s="30">
        <v>46049</v>
      </c>
      <c r="U24" s="29" t="s">
        <v>81</v>
      </c>
      <c r="V24" s="29" t="s">
        <v>81</v>
      </c>
      <c r="W24" s="29" t="s">
        <v>81</v>
      </c>
      <c r="X24" s="29"/>
      <c r="Y24" s="29" t="s">
        <v>115</v>
      </c>
      <c r="Z24" s="29"/>
      <c r="AA24" s="29">
        <v>93069</v>
      </c>
      <c r="AB24" s="29"/>
      <c r="AC24" s="29">
        <v>110</v>
      </c>
      <c r="AD24" s="31">
        <v>106904</v>
      </c>
      <c r="AE24" s="33">
        <v>46042.375</v>
      </c>
      <c r="AF24" s="31">
        <v>107433</v>
      </c>
      <c r="AG24" s="33">
        <v>46045.375</v>
      </c>
      <c r="AH24" s="31">
        <f t="shared" si="40"/>
        <v>529</v>
      </c>
      <c r="AI24" s="29">
        <v>2</v>
      </c>
      <c r="AJ24" s="29">
        <f t="shared" si="4"/>
        <v>10</v>
      </c>
      <c r="AK24" s="29">
        <f t="shared" si="5"/>
        <v>0</v>
      </c>
      <c r="AM24" s="43">
        <f t="shared" ref="AM24" si="103">+AH24/Q24</f>
        <v>52.9</v>
      </c>
      <c r="AN24" s="43">
        <f t="shared" ref="AN24" si="104">+Q24/AI24</f>
        <v>5</v>
      </c>
      <c r="AQ24" s="34">
        <f t="shared" ref="AQ24" si="105">+N24/78.54</f>
        <v>39.793735676088616</v>
      </c>
      <c r="AR24" s="34">
        <f t="shared" ref="AR24" si="106">+AH24/11</f>
        <v>48.090909090909093</v>
      </c>
      <c r="AS24" s="34">
        <f t="shared" ref="AS24" si="107">+AR24-AQ24</f>
        <v>8.2971734148204774</v>
      </c>
      <c r="AT24" s="34">
        <f t="shared" ref="AT24" si="108">+AH24/AQ24</f>
        <v>13.293549625647918</v>
      </c>
    </row>
    <row r="25" spans="1:46" s="11" customFormat="1" x14ac:dyDescent="0.25">
      <c r="A25" s="28">
        <v>24</v>
      </c>
      <c r="B25" s="29" t="s">
        <v>101</v>
      </c>
      <c r="C25" s="29">
        <v>3152</v>
      </c>
      <c r="D25" s="29">
        <v>2</v>
      </c>
      <c r="E25" s="29" t="s">
        <v>116</v>
      </c>
      <c r="F25" s="30">
        <v>46044</v>
      </c>
      <c r="G25" s="30">
        <v>46045</v>
      </c>
      <c r="H25" s="31"/>
      <c r="I25" s="29">
        <v>10</v>
      </c>
      <c r="J25" s="29" t="s">
        <v>78</v>
      </c>
      <c r="K25" s="29" t="s">
        <v>3</v>
      </c>
      <c r="L25" s="32"/>
      <c r="M25" s="32">
        <f t="shared" si="74"/>
        <v>2630</v>
      </c>
      <c r="N25" s="32">
        <v>2630</v>
      </c>
      <c r="O25" s="31">
        <v>10</v>
      </c>
      <c r="P25" s="31"/>
      <c r="Q25" s="31">
        <f t="shared" si="72"/>
        <v>10</v>
      </c>
      <c r="R25" s="32">
        <f t="shared" si="73"/>
        <v>263</v>
      </c>
      <c r="S25" s="32">
        <f>(('Costo por negocio'!$B$2-DATA!R25)*DATA!O25)+('Costo por negocio'!$C$2-DATA!R25)*DATA!P25</f>
        <v>0</v>
      </c>
      <c r="T25" s="30">
        <v>46049</v>
      </c>
      <c r="U25" s="29" t="s">
        <v>81</v>
      </c>
      <c r="V25" s="29" t="s">
        <v>81</v>
      </c>
      <c r="W25" s="29" t="s">
        <v>81</v>
      </c>
      <c r="X25" s="29"/>
      <c r="Y25" s="29" t="s">
        <v>117</v>
      </c>
      <c r="Z25" s="29"/>
      <c r="AA25" s="29">
        <v>93071</v>
      </c>
      <c r="AB25" s="29"/>
      <c r="AC25" s="29">
        <v>74</v>
      </c>
      <c r="AD25" s="31">
        <v>66471</v>
      </c>
      <c r="AE25" s="33">
        <v>46043.748611111114</v>
      </c>
      <c r="AF25" s="31">
        <v>66806</v>
      </c>
      <c r="AG25" s="33">
        <v>46045.743750000001</v>
      </c>
      <c r="AH25" s="31">
        <f t="shared" si="40"/>
        <v>335</v>
      </c>
      <c r="AI25" s="29">
        <v>2</v>
      </c>
      <c r="AJ25" s="29">
        <f t="shared" si="4"/>
        <v>10</v>
      </c>
      <c r="AK25" s="29">
        <f t="shared" si="5"/>
        <v>0</v>
      </c>
      <c r="AM25" s="43">
        <f t="shared" ref="AM25" si="109">+AH25/Q25</f>
        <v>33.5</v>
      </c>
      <c r="AN25" s="43">
        <f t="shared" ref="AN25" si="110">+Q25/AI25</f>
        <v>5</v>
      </c>
      <c r="AQ25" s="34">
        <f t="shared" ref="AQ25" si="111">+N25/78.54</f>
        <v>33.486121721415834</v>
      </c>
      <c r="AR25" s="34">
        <f t="shared" ref="AR25" si="112">+AH25/11</f>
        <v>30.454545454545453</v>
      </c>
      <c r="AS25" s="34">
        <f t="shared" ref="AS25" si="113">+AR25-AQ25</f>
        <v>-3.0315762668703812</v>
      </c>
      <c r="AT25" s="34">
        <f t="shared" ref="AT25" si="114">+AH25/AQ25</f>
        <v>10.004144486692017</v>
      </c>
    </row>
    <row r="26" spans="1:46" s="11" customFormat="1" x14ac:dyDescent="0.25">
      <c r="A26" s="28">
        <v>25</v>
      </c>
      <c r="B26" s="29" t="s">
        <v>11</v>
      </c>
      <c r="C26" s="29">
        <v>1512</v>
      </c>
      <c r="D26" s="29">
        <v>3</v>
      </c>
      <c r="E26" s="29" t="s">
        <v>119</v>
      </c>
      <c r="F26" s="30">
        <v>46056</v>
      </c>
      <c r="G26" s="30">
        <v>46058</v>
      </c>
      <c r="H26" s="31">
        <v>7000</v>
      </c>
      <c r="I26" s="29">
        <v>15</v>
      </c>
      <c r="J26" s="29" t="s">
        <v>118</v>
      </c>
      <c r="K26" s="29" t="s">
        <v>3</v>
      </c>
      <c r="L26" s="29"/>
      <c r="M26" s="32">
        <f t="shared" si="74"/>
        <v>-592.19999999999982</v>
      </c>
      <c r="N26" s="32">
        <f>2065+2410+1932.8</f>
        <v>6407.8</v>
      </c>
      <c r="O26" s="31"/>
      <c r="P26" s="31">
        <v>7</v>
      </c>
      <c r="Q26" s="31">
        <f t="shared" ref="Q26" si="115">+P26+O26</f>
        <v>7</v>
      </c>
      <c r="R26" s="32">
        <f>(N26/Q26)</f>
        <v>915.4</v>
      </c>
      <c r="S26" s="32">
        <f>(('Costo por negocio'!$B$2-DATA!R26)*DATA!O26)+('Costo por negocio'!$C$2-DATA!R26)*DATA!P26</f>
        <v>-3663.7999999999997</v>
      </c>
      <c r="T26" s="30">
        <v>46049</v>
      </c>
      <c r="U26" s="29" t="s">
        <v>81</v>
      </c>
      <c r="V26" s="29" t="s">
        <v>81</v>
      </c>
      <c r="W26" s="29" t="s">
        <v>81</v>
      </c>
      <c r="X26" s="29"/>
      <c r="Y26" s="29" t="s">
        <v>82</v>
      </c>
      <c r="Z26" s="29"/>
      <c r="AA26" s="29">
        <v>94791</v>
      </c>
      <c r="AB26" s="29"/>
      <c r="AC26" s="29">
        <v>111</v>
      </c>
      <c r="AD26" s="31">
        <v>83208</v>
      </c>
      <c r="AE26" s="33">
        <v>46055.666666666664</v>
      </c>
      <c r="AF26" s="31">
        <v>84167</v>
      </c>
      <c r="AG26" s="33">
        <v>46059.388194444444</v>
      </c>
      <c r="AH26" s="31">
        <f t="shared" si="40"/>
        <v>959</v>
      </c>
      <c r="AI26" s="29">
        <v>3</v>
      </c>
      <c r="AJ26" s="29">
        <f t="shared" si="4"/>
        <v>15</v>
      </c>
      <c r="AK26" s="29">
        <f t="shared" si="5"/>
        <v>-8</v>
      </c>
      <c r="AM26" s="43">
        <f t="shared" ref="AM26" si="116">+AH26/Q26</f>
        <v>137</v>
      </c>
      <c r="AN26" s="43">
        <f t="shared" ref="AN26" si="117">+Q26/AI26</f>
        <v>2.3333333333333335</v>
      </c>
      <c r="AQ26" s="34">
        <f t="shared" ref="AQ26" si="118">+N26/78.54</f>
        <v>81.586452762923344</v>
      </c>
      <c r="AR26" s="34">
        <f t="shared" ref="AR26" si="119">+AH26/11</f>
        <v>87.181818181818187</v>
      </c>
      <c r="AS26" s="34">
        <f t="shared" ref="AS26" si="120">+AR26-AQ26</f>
        <v>5.5953654188948434</v>
      </c>
      <c r="AT26" s="34">
        <f t="shared" ref="AT26" si="121">+AH26/AQ26</f>
        <v>11.754402447017698</v>
      </c>
    </row>
    <row r="27" spans="1:46" s="11" customFormat="1" x14ac:dyDescent="0.25">
      <c r="A27" s="28">
        <v>26</v>
      </c>
      <c r="B27" s="29" t="s">
        <v>9</v>
      </c>
      <c r="C27" s="29">
        <v>1618</v>
      </c>
      <c r="D27" s="29">
        <v>3</v>
      </c>
      <c r="E27" s="29" t="s">
        <v>119</v>
      </c>
      <c r="F27" s="30">
        <v>46056</v>
      </c>
      <c r="G27" s="30">
        <v>46058</v>
      </c>
      <c r="H27" s="31">
        <v>4500</v>
      </c>
      <c r="I27" s="29">
        <v>15</v>
      </c>
      <c r="J27" s="29" t="s">
        <v>10</v>
      </c>
      <c r="K27" s="29" t="s">
        <v>3</v>
      </c>
      <c r="L27" s="29"/>
      <c r="M27" s="32">
        <f t="shared" si="74"/>
        <v>-283.69999999999982</v>
      </c>
      <c r="N27" s="32">
        <f>2654.1+1562.2</f>
        <v>4216.3</v>
      </c>
      <c r="O27" s="31">
        <v>8</v>
      </c>
      <c r="P27" s="31"/>
      <c r="Q27" s="31">
        <f t="shared" si="72"/>
        <v>8</v>
      </c>
      <c r="R27" s="32">
        <f t="shared" si="73"/>
        <v>527.03750000000002</v>
      </c>
      <c r="S27" s="32">
        <f>(('Costo por negocio'!$B$2-DATA!R27)*DATA!O27)+('Costo por negocio'!$C$2-DATA!R27)*DATA!P27</f>
        <v>-2112.3000000000002</v>
      </c>
      <c r="T27" s="30">
        <v>46063</v>
      </c>
      <c r="U27" s="29" t="s">
        <v>81</v>
      </c>
      <c r="V27" s="29" t="s">
        <v>81</v>
      </c>
      <c r="W27" s="29" t="s">
        <v>81</v>
      </c>
      <c r="X27" s="29"/>
      <c r="Y27" s="29" t="s">
        <v>137</v>
      </c>
      <c r="Z27" s="29"/>
      <c r="AA27" s="29">
        <v>93099</v>
      </c>
      <c r="AB27" s="29"/>
      <c r="AC27" s="29">
        <v>111</v>
      </c>
      <c r="AD27" s="31">
        <v>71872</v>
      </c>
      <c r="AE27" s="33">
        <v>46055.708333333336</v>
      </c>
      <c r="AF27" s="31">
        <v>72794</v>
      </c>
      <c r="AG27" s="33">
        <v>46059.402777777781</v>
      </c>
      <c r="AH27" s="31">
        <f t="shared" si="40"/>
        <v>922</v>
      </c>
      <c r="AI27" s="29">
        <v>3</v>
      </c>
      <c r="AJ27" s="29">
        <f t="shared" si="4"/>
        <v>15</v>
      </c>
      <c r="AK27" s="29">
        <f t="shared" si="5"/>
        <v>-7</v>
      </c>
      <c r="AM27" s="43">
        <f t="shared" ref="AM27" si="122">+AH27/Q27</f>
        <v>115.25</v>
      </c>
      <c r="AN27" s="43">
        <f t="shared" ref="AN27" si="123">+Q27/AI27</f>
        <v>2.6666666666666665</v>
      </c>
      <c r="AQ27" s="34">
        <f t="shared" ref="AQ27" si="124">+N27/78.54</f>
        <v>53.68347338935574</v>
      </c>
      <c r="AR27" s="34">
        <f t="shared" ref="AR27" si="125">+AH27/11</f>
        <v>83.818181818181813</v>
      </c>
      <c r="AS27" s="34">
        <f t="shared" ref="AS27" si="126">+AR27-AQ27</f>
        <v>30.134708428826073</v>
      </c>
      <c r="AT27" s="34">
        <f t="shared" ref="AT27" si="127">+AH27/AQ27</f>
        <v>17.174745630054787</v>
      </c>
    </row>
    <row r="28" spans="1:46" s="11" customFormat="1" x14ac:dyDescent="0.25">
      <c r="A28" s="28">
        <v>27</v>
      </c>
      <c r="B28" s="29" t="s">
        <v>66</v>
      </c>
      <c r="C28" s="29">
        <v>3075</v>
      </c>
      <c r="D28" s="29">
        <v>3</v>
      </c>
      <c r="E28" s="29" t="s">
        <v>119</v>
      </c>
      <c r="F28" s="30">
        <v>46056</v>
      </c>
      <c r="G28" s="30">
        <v>46058</v>
      </c>
      <c r="H28" s="31">
        <v>8000</v>
      </c>
      <c r="I28" s="29">
        <v>15</v>
      </c>
      <c r="J28" s="29" t="s">
        <v>79</v>
      </c>
      <c r="K28" s="29" t="s">
        <v>3</v>
      </c>
      <c r="L28" s="29"/>
      <c r="M28" s="32">
        <f t="shared" si="74"/>
        <v>1794.5</v>
      </c>
      <c r="N28" s="32">
        <f>1550+3848.1+2896.4+1500</f>
        <v>9794.5</v>
      </c>
      <c r="O28" s="31"/>
      <c r="P28" s="31">
        <f>20+2</f>
        <v>22</v>
      </c>
      <c r="Q28" s="31">
        <f t="shared" si="72"/>
        <v>22</v>
      </c>
      <c r="R28" s="32">
        <f t="shared" si="73"/>
        <v>445.20454545454544</v>
      </c>
      <c r="S28" s="32">
        <f>(('Costo por negocio'!$B$2-DATA!R28)*DATA!O28)+('Costo por negocio'!$C$2-DATA!R28)*DATA!P28</f>
        <v>-1170.4999999999995</v>
      </c>
      <c r="T28" s="30">
        <v>46059</v>
      </c>
      <c r="U28" s="29" t="s">
        <v>81</v>
      </c>
      <c r="V28" s="29" t="s">
        <v>81</v>
      </c>
      <c r="W28" s="29" t="s">
        <v>81</v>
      </c>
      <c r="X28" s="29"/>
      <c r="Y28" s="29" t="s">
        <v>136</v>
      </c>
      <c r="Z28" s="29"/>
      <c r="AA28" s="29">
        <v>94790</v>
      </c>
      <c r="AB28" s="29"/>
      <c r="AC28" s="29">
        <v>111</v>
      </c>
      <c r="AD28" s="31">
        <v>101160</v>
      </c>
      <c r="AE28" s="33">
        <v>46055.663194444445</v>
      </c>
      <c r="AF28" s="31">
        <v>102532</v>
      </c>
      <c r="AG28" s="33">
        <v>46059.379166666666</v>
      </c>
      <c r="AH28" s="31">
        <f t="shared" si="40"/>
        <v>1372</v>
      </c>
      <c r="AI28" s="29">
        <v>3</v>
      </c>
      <c r="AJ28" s="29">
        <f t="shared" si="4"/>
        <v>15</v>
      </c>
      <c r="AK28" s="29">
        <f t="shared" si="5"/>
        <v>7</v>
      </c>
      <c r="AM28" s="43">
        <f t="shared" ref="AM28" si="128">+AH28/Q28</f>
        <v>62.363636363636367</v>
      </c>
      <c r="AN28" s="43">
        <f t="shared" ref="AN28" si="129">+Q28/AI28</f>
        <v>7.333333333333333</v>
      </c>
      <c r="AQ28" s="34">
        <f t="shared" ref="AQ28" si="130">+N28/78.54</f>
        <v>124.70715558950852</v>
      </c>
      <c r="AR28" s="34">
        <f t="shared" ref="AR28" si="131">+AH28/11</f>
        <v>124.72727272727273</v>
      </c>
      <c r="AS28" s="34">
        <f t="shared" ref="AS28" si="132">+AR28-AQ28</f>
        <v>2.0117137764216864E-2</v>
      </c>
      <c r="AT28" s="34">
        <f t="shared" ref="AT28" si="133">+AH28/AQ28</f>
        <v>11.001774465261118</v>
      </c>
    </row>
    <row r="29" spans="1:46" s="11" customFormat="1" x14ac:dyDescent="0.25">
      <c r="A29" s="28">
        <v>28</v>
      </c>
      <c r="B29" s="29" t="s">
        <v>7</v>
      </c>
      <c r="C29" s="29">
        <v>3154</v>
      </c>
      <c r="D29" s="29">
        <v>3</v>
      </c>
      <c r="E29" s="29" t="s">
        <v>119</v>
      </c>
      <c r="F29" s="30">
        <v>46056</v>
      </c>
      <c r="G29" s="30">
        <v>46058</v>
      </c>
      <c r="H29" s="31">
        <v>5000</v>
      </c>
      <c r="I29" s="29">
        <v>15</v>
      </c>
      <c r="J29" s="29" t="s">
        <v>6</v>
      </c>
      <c r="K29" s="29" t="s">
        <v>3</v>
      </c>
      <c r="L29" s="29"/>
      <c r="M29" s="32">
        <f t="shared" ref="M29" si="134">+N29-H29</f>
        <v>-1149</v>
      </c>
      <c r="N29" s="32">
        <f>1550+2301</f>
        <v>3851</v>
      </c>
      <c r="O29" s="31">
        <f>9+6</f>
        <v>15</v>
      </c>
      <c r="P29" s="31">
        <v>1</v>
      </c>
      <c r="Q29" s="31">
        <f t="shared" si="72"/>
        <v>16</v>
      </c>
      <c r="R29" s="32">
        <f t="shared" si="73"/>
        <v>240.6875</v>
      </c>
      <c r="S29" s="32">
        <f>(('Costo por negocio'!$B$2-DATA!R29)*DATA!O29)+('Costo por negocio'!$C$2-DATA!R29)*DATA!P29</f>
        <v>486</v>
      </c>
      <c r="T29" s="30">
        <v>46059</v>
      </c>
      <c r="U29" s="29" t="s">
        <v>81</v>
      </c>
      <c r="V29" s="29" t="s">
        <v>81</v>
      </c>
      <c r="W29" s="29" t="s">
        <v>81</v>
      </c>
      <c r="X29" s="29"/>
      <c r="Y29" s="29" t="s">
        <v>135</v>
      </c>
      <c r="Z29" s="29"/>
      <c r="AA29" s="29">
        <v>94781</v>
      </c>
      <c r="AB29" s="29"/>
      <c r="AC29" s="29">
        <v>111</v>
      </c>
      <c r="AD29" s="31">
        <v>108264</v>
      </c>
      <c r="AE29" s="33">
        <v>46055.708333333336</v>
      </c>
      <c r="AF29" s="31">
        <v>108840</v>
      </c>
      <c r="AG29" s="33">
        <v>46058.67291666667</v>
      </c>
      <c r="AH29" s="31">
        <f t="shared" si="40"/>
        <v>576</v>
      </c>
      <c r="AI29" s="29">
        <v>3</v>
      </c>
      <c r="AJ29" s="29">
        <f t="shared" si="4"/>
        <v>15</v>
      </c>
      <c r="AK29" s="29">
        <f t="shared" si="5"/>
        <v>1</v>
      </c>
      <c r="AL29" s="43"/>
      <c r="AM29" s="43">
        <f t="shared" ref="AM29" si="135">+AH29/Q29</f>
        <v>36</v>
      </c>
      <c r="AN29" s="43">
        <f t="shared" ref="AN29" si="136">+Q29/AI29</f>
        <v>5.333333333333333</v>
      </c>
      <c r="AQ29" s="34">
        <f t="shared" ref="AQ29" si="137">+N29/78.54</f>
        <v>49.032340208810794</v>
      </c>
      <c r="AR29" s="34">
        <f t="shared" ref="AR29" si="138">+AH29/11</f>
        <v>52.363636363636367</v>
      </c>
      <c r="AS29" s="34">
        <f t="shared" ref="AS29" si="139">+AR29-AQ29</f>
        <v>3.3312961548255728</v>
      </c>
      <c r="AT29" s="34">
        <f t="shared" ref="AT29" si="140">+AH29/AQ29</f>
        <v>11.747348740586862</v>
      </c>
    </row>
    <row r="30" spans="1:46" s="11" customFormat="1" x14ac:dyDescent="0.25">
      <c r="A30" s="28">
        <v>29</v>
      </c>
      <c r="B30" s="29" t="s">
        <v>66</v>
      </c>
      <c r="C30" s="29">
        <v>3075</v>
      </c>
      <c r="D30" s="29">
        <v>12</v>
      </c>
      <c r="E30" s="29" t="s">
        <v>111</v>
      </c>
      <c r="F30" s="30">
        <v>46037</v>
      </c>
      <c r="G30" s="30">
        <v>46053</v>
      </c>
      <c r="H30" s="31"/>
      <c r="I30" s="29"/>
      <c r="J30" s="29" t="s">
        <v>86</v>
      </c>
      <c r="K30" s="29" t="s">
        <v>87</v>
      </c>
      <c r="L30" s="29"/>
      <c r="M30" s="32">
        <f t="shared" ref="M30:M37" si="141">+N30-H30</f>
        <v>7500</v>
      </c>
      <c r="N30" s="32">
        <f>2000+1000+2000+2000+500</f>
        <v>7500</v>
      </c>
      <c r="O30" s="31">
        <f>16+11</f>
        <v>27</v>
      </c>
      <c r="P30" s="31"/>
      <c r="Q30" s="31">
        <f t="shared" si="72"/>
        <v>27</v>
      </c>
      <c r="R30" s="32">
        <f t="shared" si="73"/>
        <v>277.77777777777777</v>
      </c>
      <c r="S30" s="32">
        <f>(('Costo por negocio'!$B$2-DATA!R30)*DATA!O30)+('Costo por negocio'!$C$2-DATA!R30)*DATA!P30</f>
        <v>-398.99999999999983</v>
      </c>
      <c r="T30" s="30">
        <v>46052</v>
      </c>
      <c r="U30" s="29" t="s">
        <v>81</v>
      </c>
      <c r="V30" s="29" t="s">
        <v>81</v>
      </c>
      <c r="W30" s="29" t="s">
        <v>81</v>
      </c>
      <c r="X30" s="29"/>
      <c r="Y30" s="29" t="s">
        <v>121</v>
      </c>
      <c r="Z30" s="29"/>
      <c r="AA30" s="29"/>
      <c r="AB30" s="29"/>
      <c r="AC30" s="29"/>
      <c r="AD30" s="31"/>
      <c r="AE30" s="33"/>
      <c r="AF30" s="31"/>
      <c r="AG30" s="33"/>
      <c r="AH30" s="31"/>
      <c r="AI30" s="29"/>
      <c r="AJ30" s="29"/>
      <c r="AK30" s="29"/>
      <c r="AM30" s="43"/>
      <c r="AN30" s="43"/>
      <c r="AQ30" s="34"/>
      <c r="AR30" s="34"/>
      <c r="AS30" s="34"/>
      <c r="AT30" s="34"/>
    </row>
    <row r="31" spans="1:46" s="11" customFormat="1" x14ac:dyDescent="0.25">
      <c r="A31" s="28">
        <v>30</v>
      </c>
      <c r="B31" s="29" t="s">
        <v>98</v>
      </c>
      <c r="C31" s="29">
        <v>1332</v>
      </c>
      <c r="D31" s="29">
        <v>12</v>
      </c>
      <c r="E31" s="29" t="s">
        <v>111</v>
      </c>
      <c r="F31" s="30">
        <v>46037</v>
      </c>
      <c r="G31" s="30">
        <v>46053</v>
      </c>
      <c r="H31" s="31"/>
      <c r="I31" s="29"/>
      <c r="J31" s="29" t="s">
        <v>99</v>
      </c>
      <c r="K31" s="29" t="s">
        <v>87</v>
      </c>
      <c r="L31" s="29"/>
      <c r="M31" s="32">
        <f t="shared" si="141"/>
        <v>6300</v>
      </c>
      <c r="N31" s="32">
        <f>2000+2300+2000</f>
        <v>6300</v>
      </c>
      <c r="O31" s="31">
        <f>16+2</f>
        <v>18</v>
      </c>
      <c r="P31" s="31">
        <v>4</v>
      </c>
      <c r="Q31" s="31">
        <f t="shared" si="72"/>
        <v>22</v>
      </c>
      <c r="R31" s="44">
        <f t="shared" si="73"/>
        <v>286.36363636363637</v>
      </c>
      <c r="S31" s="32">
        <f>(('Costo por negocio'!$B$2-DATA!R31)*DATA!O31)+('Costo por negocio'!$C$2-DATA!R31)*DATA!P31</f>
        <v>1.9999999999997726</v>
      </c>
      <c r="T31" s="30">
        <v>46056</v>
      </c>
      <c r="U31" s="29" t="s">
        <v>81</v>
      </c>
      <c r="V31" s="29" t="s">
        <v>81</v>
      </c>
      <c r="W31" s="29" t="s">
        <v>81</v>
      </c>
      <c r="X31" s="29"/>
      <c r="Y31" s="29" t="s">
        <v>100</v>
      </c>
      <c r="Z31" s="29"/>
      <c r="AA31" s="29"/>
      <c r="AB31" s="29"/>
      <c r="AC31" s="29"/>
      <c r="AD31" s="31"/>
      <c r="AE31" s="33"/>
      <c r="AF31" s="31"/>
      <c r="AG31" s="33"/>
      <c r="AH31" s="31"/>
      <c r="AI31" s="29"/>
      <c r="AJ31" s="29"/>
      <c r="AK31" s="29"/>
      <c r="AM31" s="43"/>
      <c r="AN31" s="43"/>
      <c r="AQ31" s="34"/>
      <c r="AR31" s="34"/>
      <c r="AS31" s="34"/>
      <c r="AT31" s="34"/>
    </row>
    <row r="32" spans="1:46" s="11" customFormat="1" x14ac:dyDescent="0.25">
      <c r="A32" s="28">
        <v>31</v>
      </c>
      <c r="B32" s="29" t="s">
        <v>101</v>
      </c>
      <c r="C32" s="29">
        <v>3152</v>
      </c>
      <c r="D32" s="29">
        <v>12</v>
      </c>
      <c r="E32" s="29" t="s">
        <v>111</v>
      </c>
      <c r="F32" s="30">
        <v>46037</v>
      </c>
      <c r="G32" s="30">
        <v>46053</v>
      </c>
      <c r="H32" s="31"/>
      <c r="I32" s="29"/>
      <c r="J32" s="29" t="s">
        <v>78</v>
      </c>
      <c r="K32" s="29" t="s">
        <v>87</v>
      </c>
      <c r="L32" s="29"/>
      <c r="M32" s="32">
        <f t="shared" si="141"/>
        <v>6312</v>
      </c>
      <c r="N32" s="32">
        <f>1052+1315+789+466+789+1052+849</f>
        <v>6312</v>
      </c>
      <c r="O32" s="31">
        <f>20+4</f>
        <v>24</v>
      </c>
      <c r="P32" s="31"/>
      <c r="Q32" s="31">
        <f t="shared" ref="Q32" si="142">+P32+O32</f>
        <v>24</v>
      </c>
      <c r="R32" s="32">
        <f t="shared" ref="R32" si="143">(N32/Q32)</f>
        <v>263</v>
      </c>
      <c r="S32" s="32">
        <f>(('Costo por negocio'!$B$2-DATA!R32)*DATA!O32)+('Costo por negocio'!$C$2-DATA!R32)*DATA!P32</f>
        <v>0</v>
      </c>
      <c r="T32" s="30">
        <v>46056</v>
      </c>
      <c r="U32" s="29" t="s">
        <v>81</v>
      </c>
      <c r="V32" s="29" t="s">
        <v>81</v>
      </c>
      <c r="W32" s="29" t="s">
        <v>81</v>
      </c>
      <c r="X32" s="29"/>
      <c r="Y32" s="29" t="s">
        <v>122</v>
      </c>
      <c r="Z32" s="29"/>
      <c r="AA32" s="29"/>
      <c r="AB32" s="29"/>
      <c r="AC32" s="29"/>
      <c r="AD32" s="31"/>
      <c r="AE32" s="33"/>
      <c r="AF32" s="31"/>
      <c r="AG32" s="33"/>
      <c r="AH32" s="31"/>
      <c r="AI32" s="29"/>
      <c r="AJ32" s="29"/>
      <c r="AK32" s="29"/>
      <c r="AM32" s="43"/>
      <c r="AN32" s="43"/>
      <c r="AQ32" s="34"/>
      <c r="AR32" s="34"/>
      <c r="AS32" s="34"/>
      <c r="AT32" s="34"/>
    </row>
    <row r="33" spans="1:46" s="11" customFormat="1" x14ac:dyDescent="0.25">
      <c r="A33" s="28">
        <v>32</v>
      </c>
      <c r="B33" s="29" t="s">
        <v>123</v>
      </c>
      <c r="C33" s="29">
        <v>3064</v>
      </c>
      <c r="D33" s="29">
        <v>12</v>
      </c>
      <c r="E33" s="29" t="s">
        <v>111</v>
      </c>
      <c r="F33" s="30">
        <v>46037</v>
      </c>
      <c r="G33" s="30">
        <v>46053</v>
      </c>
      <c r="H33" s="31"/>
      <c r="I33" s="29"/>
      <c r="J33" s="29" t="s">
        <v>78</v>
      </c>
      <c r="K33" s="29" t="s">
        <v>87</v>
      </c>
      <c r="L33" s="29"/>
      <c r="M33" s="32">
        <f t="shared" si="141"/>
        <v>2114</v>
      </c>
      <c r="N33" s="32">
        <v>2114</v>
      </c>
      <c r="O33" s="31">
        <f>11+5+6+1</f>
        <v>23</v>
      </c>
      <c r="P33" s="31"/>
      <c r="Q33" s="31">
        <f t="shared" ref="Q33" si="144">+P33+O33</f>
        <v>23</v>
      </c>
      <c r="R33" s="32">
        <f t="shared" ref="R33" si="145">(N33/Q33)</f>
        <v>91.913043478260875</v>
      </c>
      <c r="S33" s="32">
        <f>(('Costo por negocio'!$B$2-DATA!R33)*DATA!O33)+('Costo por negocio'!$C$2-DATA!R33)*DATA!P33</f>
        <v>3935</v>
      </c>
      <c r="T33" s="30">
        <v>46056</v>
      </c>
      <c r="U33" s="29" t="s">
        <v>81</v>
      </c>
      <c r="V33" s="29" t="s">
        <v>81</v>
      </c>
      <c r="W33" s="29" t="s">
        <v>81</v>
      </c>
      <c r="X33" s="29"/>
      <c r="Y33" s="29" t="s">
        <v>124</v>
      </c>
      <c r="Z33" s="29"/>
      <c r="AA33" s="29"/>
      <c r="AB33" s="29"/>
      <c r="AC33" s="29"/>
      <c r="AD33" s="31"/>
      <c r="AE33" s="33"/>
      <c r="AF33" s="31"/>
      <c r="AG33" s="33"/>
      <c r="AH33" s="31"/>
      <c r="AI33" s="29"/>
      <c r="AJ33" s="29"/>
      <c r="AK33" s="29"/>
      <c r="AM33" s="43"/>
      <c r="AN33" s="43"/>
      <c r="AQ33" s="34"/>
      <c r="AR33" s="34"/>
      <c r="AS33" s="34"/>
      <c r="AT33" s="34"/>
    </row>
    <row r="34" spans="1:46" s="11" customFormat="1" x14ac:dyDescent="0.25">
      <c r="A34" s="28">
        <v>33</v>
      </c>
      <c r="B34" s="29" t="s">
        <v>125</v>
      </c>
      <c r="C34" s="29">
        <v>3117</v>
      </c>
      <c r="D34" s="29">
        <v>12</v>
      </c>
      <c r="E34" s="29" t="s">
        <v>111</v>
      </c>
      <c r="F34" s="30">
        <v>46037</v>
      </c>
      <c r="G34" s="30">
        <v>46053</v>
      </c>
      <c r="H34" s="31"/>
      <c r="I34" s="29"/>
      <c r="J34" s="29" t="s">
        <v>86</v>
      </c>
      <c r="K34" s="29" t="s">
        <v>87</v>
      </c>
      <c r="L34" s="29"/>
      <c r="M34" s="32">
        <f t="shared" si="141"/>
        <v>5500.6</v>
      </c>
      <c r="N34" s="32">
        <f>3000+2500.6</f>
        <v>5500.6</v>
      </c>
      <c r="O34" s="31">
        <f>11+10</f>
        <v>21</v>
      </c>
      <c r="P34" s="31"/>
      <c r="Q34" s="31">
        <f t="shared" ref="Q34" si="146">+P34+O34</f>
        <v>21</v>
      </c>
      <c r="R34" s="32">
        <f t="shared" ref="R34" si="147">(N34/Q34)</f>
        <v>261.93333333333334</v>
      </c>
      <c r="S34" s="32">
        <f>(('Costo por negocio'!$B$2-DATA!R34)*DATA!O34)+('Costo por negocio'!$C$2-DATA!R34)*DATA!P34</f>
        <v>22.39999999999992</v>
      </c>
      <c r="T34" s="30">
        <v>46056</v>
      </c>
      <c r="U34" s="29" t="s">
        <v>81</v>
      </c>
      <c r="V34" s="29" t="s">
        <v>81</v>
      </c>
      <c r="W34" s="29" t="s">
        <v>81</v>
      </c>
      <c r="X34" s="29"/>
      <c r="Y34" s="29" t="s">
        <v>126</v>
      </c>
      <c r="Z34" s="29"/>
      <c r="AA34" s="29"/>
      <c r="AB34" s="29"/>
      <c r="AC34" s="29"/>
      <c r="AD34" s="31"/>
      <c r="AE34" s="33"/>
      <c r="AF34" s="31"/>
      <c r="AG34" s="33"/>
      <c r="AH34" s="31"/>
      <c r="AI34" s="29"/>
      <c r="AJ34" s="29"/>
      <c r="AK34" s="29"/>
      <c r="AM34" s="43"/>
      <c r="AN34" s="43"/>
      <c r="AQ34" s="34"/>
      <c r="AR34" s="34"/>
      <c r="AS34" s="34"/>
      <c r="AT34" s="34"/>
    </row>
    <row r="35" spans="1:46" s="11" customFormat="1" x14ac:dyDescent="0.25">
      <c r="A35" s="28">
        <v>34</v>
      </c>
      <c r="B35" s="29" t="s">
        <v>4</v>
      </c>
      <c r="C35" s="29">
        <v>2005</v>
      </c>
      <c r="D35" s="29">
        <v>3</v>
      </c>
      <c r="E35" s="29" t="s">
        <v>128</v>
      </c>
      <c r="F35" s="30">
        <v>46063</v>
      </c>
      <c r="G35" s="30">
        <v>46065</v>
      </c>
      <c r="H35" s="31">
        <f>30*392</f>
        <v>11760</v>
      </c>
      <c r="I35" s="29">
        <v>15</v>
      </c>
      <c r="J35" s="29" t="s">
        <v>129</v>
      </c>
      <c r="K35" s="29" t="s">
        <v>3</v>
      </c>
      <c r="L35" s="29"/>
      <c r="M35" s="32">
        <f t="shared" si="141"/>
        <v>-4188.2</v>
      </c>
      <c r="N35" s="32">
        <f>2527+2349.5+1428.6+1266.7</f>
        <v>7571.8</v>
      </c>
      <c r="O35" s="31"/>
      <c r="P35" s="31">
        <f>20+2</f>
        <v>22</v>
      </c>
      <c r="Q35" s="31">
        <f t="shared" ref="Q35:Q36" si="148">+P35+O35</f>
        <v>22</v>
      </c>
      <c r="R35" s="32">
        <f t="shared" ref="R35:R36" si="149">(N35/Q35)</f>
        <v>344.17272727272729</v>
      </c>
      <c r="S35" s="32">
        <f>(('Costo por negocio'!$B$2-DATA!R35)*DATA!O35)+('Costo por negocio'!$C$2-DATA!R35)*DATA!P35</f>
        <v>1052.1999999999998</v>
      </c>
      <c r="T35" s="30">
        <v>46066</v>
      </c>
      <c r="U35" s="29" t="s">
        <v>81</v>
      </c>
      <c r="V35" s="29" t="s">
        <v>81</v>
      </c>
      <c r="W35" s="29" t="s">
        <v>81</v>
      </c>
      <c r="X35" s="29"/>
      <c r="Y35" s="29" t="s">
        <v>142</v>
      </c>
      <c r="Z35" s="29"/>
      <c r="AA35" s="29">
        <v>95450</v>
      </c>
      <c r="AB35" s="29"/>
      <c r="AC35" s="29">
        <v>111</v>
      </c>
      <c r="AD35" s="31">
        <v>81267</v>
      </c>
      <c r="AE35" s="33">
        <v>46062.708333333336</v>
      </c>
      <c r="AF35" s="31">
        <v>82641</v>
      </c>
      <c r="AG35" s="33">
        <v>46066.388194444444</v>
      </c>
      <c r="AH35" s="31">
        <f t="shared" ref="AH35:AH40" si="150">+AF35-AD35</f>
        <v>1374</v>
      </c>
      <c r="AI35" s="29">
        <v>3</v>
      </c>
      <c r="AJ35" s="29">
        <f t="shared" ref="AJ35" si="151">+AI35*5</f>
        <v>15</v>
      </c>
      <c r="AK35" s="29">
        <f t="shared" ref="AK35" si="152">+Q35-AJ35</f>
        <v>7</v>
      </c>
      <c r="AM35" s="43">
        <f t="shared" ref="AM35" si="153">+AH35/Q35</f>
        <v>62.454545454545453</v>
      </c>
      <c r="AN35" s="43">
        <f t="shared" ref="AN35" si="154">+Q35/AI35</f>
        <v>7.333333333333333</v>
      </c>
      <c r="AQ35" s="34">
        <f t="shared" ref="AQ35" si="155">+N35/78.54</f>
        <v>96.406926406926402</v>
      </c>
      <c r="AR35" s="34">
        <f t="shared" ref="AR35" si="156">+AH35/11</f>
        <v>124.90909090909091</v>
      </c>
      <c r="AS35" s="34">
        <f t="shared" ref="AS35" si="157">+AR35-AQ35</f>
        <v>28.502164502164504</v>
      </c>
      <c r="AT35" s="34">
        <f t="shared" ref="AT35" si="158">+AH35/AQ35</f>
        <v>14.252088010776831</v>
      </c>
    </row>
    <row r="36" spans="1:46" s="11" customFormat="1" x14ac:dyDescent="0.25">
      <c r="A36" s="28">
        <v>35</v>
      </c>
      <c r="B36" s="29" t="s">
        <v>11</v>
      </c>
      <c r="C36" s="29">
        <v>1512</v>
      </c>
      <c r="D36" s="29">
        <v>3</v>
      </c>
      <c r="E36" s="29" t="s">
        <v>128</v>
      </c>
      <c r="F36" s="30">
        <v>46063</v>
      </c>
      <c r="G36" s="30">
        <v>46065</v>
      </c>
      <c r="H36" s="31">
        <v>6000</v>
      </c>
      <c r="I36" s="29">
        <v>15</v>
      </c>
      <c r="J36" s="29" t="s">
        <v>130</v>
      </c>
      <c r="K36" s="29" t="s">
        <v>3</v>
      </c>
      <c r="L36" s="29"/>
      <c r="M36" s="32">
        <f t="shared" si="141"/>
        <v>-1479.8000000000002</v>
      </c>
      <c r="N36" s="32">
        <f>2200+1820.2+500</f>
        <v>4520.2</v>
      </c>
      <c r="O36" s="31"/>
      <c r="P36" s="31">
        <v>10</v>
      </c>
      <c r="Q36" s="31">
        <f t="shared" si="148"/>
        <v>10</v>
      </c>
      <c r="R36" s="32">
        <f t="shared" si="149"/>
        <v>452.02</v>
      </c>
      <c r="S36" s="32">
        <f>(('Costo por negocio'!$B$2-DATA!R36)*DATA!O36)+('Costo por negocio'!$C$2-DATA!R36)*DATA!P36</f>
        <v>-600.19999999999982</v>
      </c>
      <c r="T36" s="30">
        <v>46066</v>
      </c>
      <c r="U36" s="29" t="s">
        <v>81</v>
      </c>
      <c r="V36" s="29" t="s">
        <v>81</v>
      </c>
      <c r="W36" s="29" t="s">
        <v>81</v>
      </c>
      <c r="X36" s="29"/>
      <c r="Y36" s="29" t="s">
        <v>84</v>
      </c>
      <c r="Z36" s="29"/>
      <c r="AA36" s="29">
        <v>95446</v>
      </c>
      <c r="AB36" s="29"/>
      <c r="AC36" s="29">
        <v>111</v>
      </c>
      <c r="AD36" s="31">
        <v>78049</v>
      </c>
      <c r="AE36" s="33">
        <v>46062.659722222219</v>
      </c>
      <c r="AF36" s="31">
        <v>78681</v>
      </c>
      <c r="AG36" s="33">
        <v>46066.378472222219</v>
      </c>
      <c r="AH36" s="31">
        <f t="shared" si="150"/>
        <v>632</v>
      </c>
      <c r="AI36" s="29">
        <v>3</v>
      </c>
      <c r="AJ36" s="29">
        <f t="shared" ref="AJ36" si="159">+AI36*5</f>
        <v>15</v>
      </c>
      <c r="AK36" s="29">
        <f t="shared" ref="AK36" si="160">+Q36-AJ36</f>
        <v>-5</v>
      </c>
      <c r="AM36" s="43">
        <f t="shared" ref="AM36" si="161">+AH36/Q36</f>
        <v>63.2</v>
      </c>
      <c r="AN36" s="43">
        <f t="shared" ref="AN36" si="162">+Q36/AI36</f>
        <v>3.3333333333333335</v>
      </c>
      <c r="AQ36" s="34">
        <f t="shared" ref="AQ36" si="163">+N36/78.54</f>
        <v>57.552839317545192</v>
      </c>
      <c r="AR36" s="34">
        <f t="shared" ref="AR36" si="164">+AH36/11</f>
        <v>57.454545454545453</v>
      </c>
      <c r="AS36" s="34">
        <f t="shared" ref="AS36" si="165">+AR36-AQ36</f>
        <v>-9.829386299973919E-2</v>
      </c>
      <c r="AT36" s="34">
        <f t="shared" ref="AT36" si="166">+AH36/AQ36</f>
        <v>10.981213220653954</v>
      </c>
    </row>
    <row r="37" spans="1:46" s="11" customFormat="1" x14ac:dyDescent="0.25">
      <c r="A37" s="28">
        <v>36</v>
      </c>
      <c r="B37" s="29" t="s">
        <v>125</v>
      </c>
      <c r="C37" s="29">
        <v>3117</v>
      </c>
      <c r="D37" s="29">
        <v>3</v>
      </c>
      <c r="E37" s="29" t="s">
        <v>128</v>
      </c>
      <c r="F37" s="30">
        <v>46063</v>
      </c>
      <c r="G37" s="30">
        <v>46065</v>
      </c>
      <c r="H37" s="31">
        <v>3000</v>
      </c>
      <c r="I37" s="29">
        <v>15</v>
      </c>
      <c r="J37" s="29" t="s">
        <v>86</v>
      </c>
      <c r="K37" s="29" t="s">
        <v>3</v>
      </c>
      <c r="L37" s="29"/>
      <c r="M37" s="32">
        <f t="shared" si="141"/>
        <v>571.19999999999982</v>
      </c>
      <c r="N37" s="32">
        <f>2200.5+1370.7</f>
        <v>3571.2</v>
      </c>
      <c r="O37" s="31">
        <v>6</v>
      </c>
      <c r="P37" s="31">
        <v>11</v>
      </c>
      <c r="Q37" s="31">
        <f t="shared" ref="Q37" si="167">+P37+O37</f>
        <v>17</v>
      </c>
      <c r="R37" s="32">
        <f t="shared" ref="R37" si="168">(N37/Q37)</f>
        <v>210.07058823529411</v>
      </c>
      <c r="S37" s="32">
        <f>(('Costo por negocio'!$B$2-DATA!R37)*DATA!O37)+('Costo por negocio'!$C$2-DATA!R37)*DATA!P37</f>
        <v>2318.8000000000002</v>
      </c>
      <c r="T37" s="30">
        <v>46066</v>
      </c>
      <c r="U37" s="29" t="s">
        <v>81</v>
      </c>
      <c r="V37" s="29" t="s">
        <v>81</v>
      </c>
      <c r="W37" s="29" t="s">
        <v>81</v>
      </c>
      <c r="X37" s="29"/>
      <c r="Y37" s="29" t="s">
        <v>143</v>
      </c>
      <c r="Z37" s="29"/>
      <c r="AA37" s="29">
        <v>95447</v>
      </c>
      <c r="AB37" s="29"/>
      <c r="AC37" s="29">
        <v>111</v>
      </c>
      <c r="AD37" s="31">
        <v>131518</v>
      </c>
      <c r="AE37" s="33">
        <v>46062.708333333336</v>
      </c>
      <c r="AF37" s="31">
        <v>132048</v>
      </c>
      <c r="AG37" s="33">
        <v>46066.381944444445</v>
      </c>
      <c r="AH37" s="31">
        <f t="shared" si="150"/>
        <v>530</v>
      </c>
      <c r="AI37" s="29">
        <v>3</v>
      </c>
      <c r="AJ37" s="29">
        <f t="shared" ref="AJ37" si="169">+AI37*5</f>
        <v>15</v>
      </c>
      <c r="AK37" s="29">
        <f t="shared" ref="AK37" si="170">+Q37-AJ37</f>
        <v>2</v>
      </c>
      <c r="AM37" s="43">
        <f t="shared" ref="AM37" si="171">+AH37/Q37</f>
        <v>31.176470588235293</v>
      </c>
      <c r="AN37" s="43">
        <f t="shared" ref="AN37" si="172">+Q37/AI37</f>
        <v>5.666666666666667</v>
      </c>
      <c r="AQ37" s="34">
        <f t="shared" ref="AQ37" si="173">+N37/78.54</f>
        <v>45.469824293353696</v>
      </c>
      <c r="AR37" s="34">
        <f t="shared" ref="AR37" si="174">+AH37/11</f>
        <v>48.18181818181818</v>
      </c>
      <c r="AS37" s="34">
        <f t="shared" ref="AS37" si="175">+AR37-AQ37</f>
        <v>2.7119938884644839</v>
      </c>
      <c r="AT37" s="34">
        <f t="shared" ref="AT37" si="176">+AH37/AQ37</f>
        <v>11.656081989247314</v>
      </c>
    </row>
    <row r="38" spans="1:46" s="11" customFormat="1" x14ac:dyDescent="0.25">
      <c r="A38" s="45">
        <v>37</v>
      </c>
      <c r="B38" s="46" t="s">
        <v>0</v>
      </c>
      <c r="C38" s="46">
        <v>3007</v>
      </c>
      <c r="D38" s="46">
        <v>4</v>
      </c>
      <c r="E38" s="46" t="s">
        <v>131</v>
      </c>
      <c r="F38" s="47">
        <v>46062</v>
      </c>
      <c r="G38" s="47">
        <v>46065</v>
      </c>
      <c r="H38" s="48">
        <v>3000</v>
      </c>
      <c r="I38" s="46">
        <v>20</v>
      </c>
      <c r="J38" s="46" t="s">
        <v>86</v>
      </c>
      <c r="K38" s="46" t="s">
        <v>3</v>
      </c>
      <c r="L38" s="46"/>
      <c r="M38" s="44">
        <f t="shared" ref="M38" si="177">+N38-H38</f>
        <v>467.09999999999991</v>
      </c>
      <c r="N38" s="44">
        <f>3066.5+400.6</f>
        <v>3467.1</v>
      </c>
      <c r="O38" s="48">
        <f>20+10</f>
        <v>30</v>
      </c>
      <c r="P38" s="48"/>
      <c r="Q38" s="48">
        <f t="shared" ref="Q38" si="178">+P38+O38</f>
        <v>30</v>
      </c>
      <c r="R38" s="44">
        <f t="shared" ref="R38" si="179">(N38/Q38)</f>
        <v>115.57</v>
      </c>
      <c r="S38" s="44">
        <f>(('Costo por negocio'!$B$2-DATA!R38)*DATA!O38)+('Costo por negocio'!$C$2-DATA!R38)*DATA!P38</f>
        <v>4422.9000000000005</v>
      </c>
      <c r="T38" s="47">
        <v>46066</v>
      </c>
      <c r="U38" s="46" t="s">
        <v>81</v>
      </c>
      <c r="V38" s="46" t="s">
        <v>81</v>
      </c>
      <c r="W38" s="46" t="s">
        <v>81</v>
      </c>
      <c r="X38" s="46"/>
      <c r="Y38" s="46" t="s">
        <v>106</v>
      </c>
      <c r="Z38" s="46"/>
      <c r="AA38" s="46">
        <v>95449</v>
      </c>
      <c r="AB38" s="46"/>
      <c r="AC38" s="46">
        <v>148</v>
      </c>
      <c r="AD38" s="48">
        <v>82664</v>
      </c>
      <c r="AE38" s="49">
        <v>46062.375</v>
      </c>
      <c r="AF38" s="48">
        <v>83123</v>
      </c>
      <c r="AG38" s="49">
        <v>46066.385416666664</v>
      </c>
      <c r="AH38" s="48">
        <f t="shared" si="150"/>
        <v>459</v>
      </c>
      <c r="AI38" s="46">
        <v>4</v>
      </c>
      <c r="AJ38" s="46">
        <f t="shared" ref="AJ38" si="180">+AI38*5</f>
        <v>20</v>
      </c>
      <c r="AK38" s="46">
        <f t="shared" ref="AK38" si="181">+Q38-AJ38</f>
        <v>10</v>
      </c>
      <c r="AM38" s="43">
        <f t="shared" ref="AM38" si="182">+AH38/Q38</f>
        <v>15.3</v>
      </c>
      <c r="AN38" s="43">
        <f t="shared" ref="AN38" si="183">+Q38/AI38</f>
        <v>7.5</v>
      </c>
      <c r="AQ38" s="34">
        <f t="shared" ref="AQ38" si="184">+N38/78.54</f>
        <v>44.144385026737964</v>
      </c>
      <c r="AR38" s="34">
        <f t="shared" ref="AR38" si="185">+AH38/11</f>
        <v>41.727272727272727</v>
      </c>
      <c r="AS38" s="34">
        <f t="shared" ref="AS38" si="186">+AR38-AQ38</f>
        <v>-2.4171122994652379</v>
      </c>
      <c r="AT38" s="34">
        <f t="shared" ref="AT38" si="187">+AH38/AQ38</f>
        <v>10.3976983646275</v>
      </c>
    </row>
    <row r="39" spans="1:46" s="11" customFormat="1" x14ac:dyDescent="0.25">
      <c r="A39" s="28">
        <v>38</v>
      </c>
      <c r="B39" s="29" t="s">
        <v>66</v>
      </c>
      <c r="C39" s="29">
        <v>3075</v>
      </c>
      <c r="D39" s="29">
        <v>3</v>
      </c>
      <c r="E39" s="29" t="s">
        <v>128</v>
      </c>
      <c r="F39" s="30">
        <v>46063</v>
      </c>
      <c r="G39" s="30">
        <v>46065</v>
      </c>
      <c r="H39" s="31">
        <v>8000</v>
      </c>
      <c r="I39" s="29">
        <v>15</v>
      </c>
      <c r="J39" s="29" t="s">
        <v>133</v>
      </c>
      <c r="K39" s="29" t="s">
        <v>3</v>
      </c>
      <c r="L39" s="29"/>
      <c r="M39" s="32">
        <f t="shared" ref="M39:M40" si="188">+N39-H39</f>
        <v>-780.60000000000036</v>
      </c>
      <c r="N39" s="32">
        <f>2901+2800.4+1518</f>
        <v>7219.4</v>
      </c>
      <c r="O39" s="31"/>
      <c r="P39" s="31">
        <f>20+1</f>
        <v>21</v>
      </c>
      <c r="Q39" s="31">
        <f t="shared" ref="Q39" si="189">+P39+O39</f>
        <v>21</v>
      </c>
      <c r="R39" s="32">
        <f t="shared" ref="R39" si="190">(N39/Q39)</f>
        <v>343.78095238095239</v>
      </c>
      <c r="S39" s="32">
        <f>(('Costo por negocio'!$B$2-DATA!R39)*DATA!O39)+('Costo por negocio'!$C$2-DATA!R39)*DATA!P39</f>
        <v>1012.5999999999999</v>
      </c>
      <c r="T39" s="30">
        <v>46066</v>
      </c>
      <c r="U39" s="29" t="s">
        <v>81</v>
      </c>
      <c r="V39" s="29" t="s">
        <v>81</v>
      </c>
      <c r="W39" s="29" t="s">
        <v>81</v>
      </c>
      <c r="X39" s="29"/>
      <c r="Y39" s="29" t="s">
        <v>141</v>
      </c>
      <c r="Z39" s="29"/>
      <c r="AA39" s="29" t="s">
        <v>173</v>
      </c>
      <c r="AB39" s="29"/>
      <c r="AC39" s="29">
        <f>111-37</f>
        <v>74</v>
      </c>
      <c r="AD39" s="48">
        <v>79309</v>
      </c>
      <c r="AE39" s="49">
        <v>46062.666666666664</v>
      </c>
      <c r="AF39" s="48">
        <v>80279</v>
      </c>
      <c r="AG39" s="49">
        <v>46065.381944444445</v>
      </c>
      <c r="AH39" s="48">
        <f t="shared" si="150"/>
        <v>970</v>
      </c>
      <c r="AI39" s="46">
        <v>2</v>
      </c>
      <c r="AJ39" s="46">
        <f t="shared" ref="AJ39:AJ40" si="191">+AI39*5</f>
        <v>10</v>
      </c>
      <c r="AK39" s="46">
        <f t="shared" ref="AK39:AK40" si="192">+Q39-AJ39</f>
        <v>11</v>
      </c>
      <c r="AM39" s="43">
        <f t="shared" ref="AM39" si="193">+AH39/Q39</f>
        <v>46.19047619047619</v>
      </c>
      <c r="AN39" s="43">
        <f t="shared" ref="AN39" si="194">+Q39/AI39</f>
        <v>10.5</v>
      </c>
      <c r="AQ39" s="34">
        <f t="shared" ref="AQ39" si="195">+N39/78.54</f>
        <v>91.920040743570141</v>
      </c>
      <c r="AR39" s="34">
        <f t="shared" ref="AR39" si="196">+AH39/11</f>
        <v>88.181818181818187</v>
      </c>
      <c r="AS39" s="34">
        <f t="shared" ref="AS39" si="197">+AR39-AQ39</f>
        <v>-3.7382225617519538</v>
      </c>
      <c r="AT39" s="34">
        <f t="shared" ref="AT39" si="198">+AH39/AQ39</f>
        <v>10.552649804692912</v>
      </c>
    </row>
    <row r="40" spans="1:46" s="11" customFormat="1" x14ac:dyDescent="0.25">
      <c r="A40" s="28">
        <v>39</v>
      </c>
      <c r="B40" s="29" t="s">
        <v>9</v>
      </c>
      <c r="C40" s="29">
        <v>1618</v>
      </c>
      <c r="D40" s="29">
        <v>3</v>
      </c>
      <c r="E40" s="29" t="s">
        <v>128</v>
      </c>
      <c r="F40" s="30">
        <v>46063</v>
      </c>
      <c r="G40" s="30">
        <v>46065</v>
      </c>
      <c r="H40" s="31">
        <v>4500</v>
      </c>
      <c r="I40" s="29">
        <v>15</v>
      </c>
      <c r="J40" s="29" t="s">
        <v>134</v>
      </c>
      <c r="K40" s="29" t="s">
        <v>3</v>
      </c>
      <c r="L40" s="29"/>
      <c r="M40" s="32">
        <f t="shared" si="188"/>
        <v>1000.8000000000002</v>
      </c>
      <c r="N40" s="32">
        <f>2500.3+3000.5</f>
        <v>5500.8</v>
      </c>
      <c r="O40" s="31">
        <v>9</v>
      </c>
      <c r="P40" s="31">
        <v>3</v>
      </c>
      <c r="Q40" s="31">
        <f t="shared" ref="Q40" si="199">+P40+O40</f>
        <v>12</v>
      </c>
      <c r="R40" s="32">
        <f t="shared" ref="R40" si="200">(N40/Q40)</f>
        <v>458.40000000000003</v>
      </c>
      <c r="S40" s="32">
        <f>(('Costo por negocio'!$B$2-DATA!R40)*DATA!O40)+('Costo por negocio'!$C$2-DATA!R40)*DATA!P40</f>
        <v>-1957.8000000000004</v>
      </c>
      <c r="T40" s="30">
        <v>46073</v>
      </c>
      <c r="U40" s="29" t="s">
        <v>81</v>
      </c>
      <c r="V40" s="29" t="s">
        <v>81</v>
      </c>
      <c r="W40" s="29" t="s">
        <v>81</v>
      </c>
      <c r="X40" s="29"/>
      <c r="Y40" s="29" t="s">
        <v>148</v>
      </c>
      <c r="Z40" s="29"/>
      <c r="AA40" s="29">
        <v>93119</v>
      </c>
      <c r="AB40" s="29"/>
      <c r="AC40" s="29">
        <v>111</v>
      </c>
      <c r="AD40" s="31">
        <v>99981</v>
      </c>
      <c r="AE40" s="33">
        <v>46062.708333333336</v>
      </c>
      <c r="AF40" s="31">
        <v>101018</v>
      </c>
      <c r="AG40" s="33">
        <v>46066.402777777781</v>
      </c>
      <c r="AH40" s="31">
        <f t="shared" si="150"/>
        <v>1037</v>
      </c>
      <c r="AI40" s="29">
        <v>3</v>
      </c>
      <c r="AJ40" s="29">
        <f t="shared" si="191"/>
        <v>15</v>
      </c>
      <c r="AK40" s="29">
        <f t="shared" si="192"/>
        <v>-3</v>
      </c>
      <c r="AM40" s="43">
        <f t="shared" ref="AM40" si="201">+AH40/Q40</f>
        <v>86.416666666666671</v>
      </c>
      <c r="AN40" s="43">
        <f t="shared" ref="AN40" si="202">+Q40/AI40</f>
        <v>4</v>
      </c>
      <c r="AQ40" s="34">
        <f t="shared" ref="AQ40" si="203">+N40/78.54</f>
        <v>70.038197097020628</v>
      </c>
      <c r="AR40" s="34">
        <f t="shared" ref="AR40" si="204">+AH40/11</f>
        <v>94.272727272727266</v>
      </c>
      <c r="AS40" s="34">
        <f t="shared" ref="AS40" si="205">+AR40-AQ40</f>
        <v>24.234530175706638</v>
      </c>
      <c r="AT40" s="34">
        <f t="shared" ref="AT40" si="206">+AH40/AQ40</f>
        <v>14.806206369982547</v>
      </c>
    </row>
    <row r="41" spans="1:46" s="11" customFormat="1" x14ac:dyDescent="0.25">
      <c r="A41" s="28">
        <v>40</v>
      </c>
      <c r="B41" s="29" t="s">
        <v>125</v>
      </c>
      <c r="C41" s="29">
        <v>3117</v>
      </c>
      <c r="D41" s="29">
        <v>8</v>
      </c>
      <c r="E41" s="29" t="s">
        <v>132</v>
      </c>
      <c r="F41" s="30">
        <v>46054</v>
      </c>
      <c r="G41" s="30">
        <v>46064</v>
      </c>
      <c r="H41" s="31">
        <v>2500</v>
      </c>
      <c r="I41" s="31">
        <f>+H41/263</f>
        <v>9.5057034220532319</v>
      </c>
      <c r="J41" s="29" t="s">
        <v>86</v>
      </c>
      <c r="K41" s="29" t="s">
        <v>87</v>
      </c>
      <c r="L41" s="29"/>
      <c r="M41" s="32">
        <f t="shared" ref="M41" si="207">+N41-H41</f>
        <v>0</v>
      </c>
      <c r="N41" s="32">
        <v>2500</v>
      </c>
      <c r="O41" s="31">
        <v>9</v>
      </c>
      <c r="P41" s="31"/>
      <c r="Q41" s="31">
        <f t="shared" ref="Q41" si="208">+P41+O41</f>
        <v>9</v>
      </c>
      <c r="R41" s="32">
        <f t="shared" ref="R41" si="209">(N41/Q41)</f>
        <v>277.77777777777777</v>
      </c>
      <c r="S41" s="32">
        <f>(('Costo por negocio'!$B$2-DATA!R41)*DATA!O41)+('Costo por negocio'!$C$2-DATA!R41)*DATA!P41</f>
        <v>-132.99999999999994</v>
      </c>
      <c r="T41" s="30">
        <v>46064</v>
      </c>
      <c r="U41" s="29" t="s">
        <v>81</v>
      </c>
      <c r="V41" s="29" t="s">
        <v>81</v>
      </c>
      <c r="W41" s="29" t="s">
        <v>81</v>
      </c>
      <c r="X41" s="29"/>
      <c r="Y41" s="29" t="s">
        <v>126</v>
      </c>
      <c r="Z41" s="29"/>
      <c r="AA41" s="29"/>
      <c r="AB41" s="29"/>
      <c r="AC41" s="29"/>
      <c r="AD41" s="31"/>
      <c r="AE41" s="33"/>
      <c r="AF41" s="31"/>
      <c r="AG41" s="33"/>
      <c r="AH41" s="31"/>
      <c r="AI41" s="29"/>
      <c r="AJ41" s="29"/>
      <c r="AK41" s="29"/>
      <c r="AM41" s="43"/>
      <c r="AN41" s="43"/>
      <c r="AQ41" s="34"/>
      <c r="AR41" s="34"/>
      <c r="AS41" s="34"/>
      <c r="AT41" s="34"/>
    </row>
    <row r="42" spans="1:46" s="11" customFormat="1" x14ac:dyDescent="0.25">
      <c r="A42" s="28">
        <v>41</v>
      </c>
      <c r="B42" s="29" t="s">
        <v>101</v>
      </c>
      <c r="C42" s="29">
        <v>3152</v>
      </c>
      <c r="D42" s="29">
        <v>8</v>
      </c>
      <c r="E42" s="29" t="s">
        <v>132</v>
      </c>
      <c r="F42" s="30">
        <v>46054</v>
      </c>
      <c r="G42" s="30">
        <v>46064</v>
      </c>
      <c r="H42" s="31"/>
      <c r="I42" s="29"/>
      <c r="J42" s="29" t="s">
        <v>78</v>
      </c>
      <c r="K42" s="29" t="s">
        <v>87</v>
      </c>
      <c r="L42" s="29"/>
      <c r="M42" s="32">
        <f t="shared" ref="M42:M49" si="210">+N42-H42</f>
        <v>3409</v>
      </c>
      <c r="N42" s="32">
        <f>1052+1052+522+783</f>
        <v>3409</v>
      </c>
      <c r="O42" s="31">
        <v>13</v>
      </c>
      <c r="P42" s="31"/>
      <c r="Q42" s="31">
        <f t="shared" ref="Q42" si="211">+P42+O42</f>
        <v>13</v>
      </c>
      <c r="R42" s="32">
        <f t="shared" ref="R42" si="212">(N42/Q42)</f>
        <v>262.23076923076923</v>
      </c>
      <c r="S42" s="32">
        <f>(('Costo por negocio'!$B$2-DATA!R42)*DATA!O42)+('Costo por negocio'!$C$2-DATA!R42)*DATA!P42</f>
        <v>10.000000000000057</v>
      </c>
      <c r="T42" s="30">
        <v>46063</v>
      </c>
      <c r="U42" s="29" t="s">
        <v>81</v>
      </c>
      <c r="V42" s="29" t="s">
        <v>81</v>
      </c>
      <c r="W42" s="29" t="s">
        <v>81</v>
      </c>
      <c r="X42" s="29"/>
      <c r="Y42" s="29" t="s">
        <v>102</v>
      </c>
      <c r="Z42" s="29"/>
      <c r="AA42" s="29"/>
      <c r="AB42" s="29"/>
      <c r="AC42" s="29"/>
      <c r="AD42" s="31"/>
      <c r="AE42" s="33"/>
      <c r="AF42" s="31"/>
      <c r="AG42" s="33"/>
      <c r="AH42" s="31"/>
      <c r="AI42" s="29"/>
      <c r="AJ42" s="29"/>
      <c r="AK42" s="29"/>
      <c r="AM42" s="43"/>
      <c r="AN42" s="43"/>
      <c r="AQ42" s="34"/>
      <c r="AR42" s="34"/>
      <c r="AS42" s="34"/>
      <c r="AT42" s="34"/>
    </row>
    <row r="43" spans="1:46" s="11" customFormat="1" x14ac:dyDescent="0.25">
      <c r="A43" s="28">
        <v>42</v>
      </c>
      <c r="B43" s="29" t="s">
        <v>123</v>
      </c>
      <c r="C43" s="29">
        <v>3064</v>
      </c>
      <c r="D43" s="29">
        <v>3</v>
      </c>
      <c r="E43" s="29" t="s">
        <v>119</v>
      </c>
      <c r="F43" s="30">
        <v>46056</v>
      </c>
      <c r="G43" s="30">
        <v>46058</v>
      </c>
      <c r="H43" s="31"/>
      <c r="I43" s="29"/>
      <c r="J43" s="29" t="s">
        <v>86</v>
      </c>
      <c r="K43" s="29" t="s">
        <v>87</v>
      </c>
      <c r="L43" s="29"/>
      <c r="M43" s="32">
        <f t="shared" si="210"/>
        <v>2500</v>
      </c>
      <c r="N43" s="32">
        <v>2500</v>
      </c>
      <c r="O43" s="31">
        <v>11</v>
      </c>
      <c r="P43" s="31"/>
      <c r="Q43" s="31">
        <f t="shared" ref="Q43" si="213">+P43+O43</f>
        <v>11</v>
      </c>
      <c r="R43" s="32">
        <f t="shared" ref="R43" si="214">(N43/Q43)</f>
        <v>227.27272727272728</v>
      </c>
      <c r="S43" s="32">
        <f>(('Costo por negocio'!$B$2-DATA!R43)*DATA!O43)+('Costo por negocio'!$C$2-DATA!R43)*DATA!P43</f>
        <v>392.99999999999989</v>
      </c>
      <c r="T43" s="30">
        <v>46063</v>
      </c>
      <c r="U43" s="29" t="s">
        <v>81</v>
      </c>
      <c r="V43" s="29" t="s">
        <v>81</v>
      </c>
      <c r="W43" s="29" t="s">
        <v>81</v>
      </c>
      <c r="X43" s="29"/>
      <c r="Y43" s="29" t="s">
        <v>138</v>
      </c>
      <c r="Z43" s="29"/>
      <c r="AA43" s="29">
        <v>94785</v>
      </c>
      <c r="AB43" s="29"/>
      <c r="AC43" s="29">
        <v>111</v>
      </c>
      <c r="AD43" s="31">
        <v>107476</v>
      </c>
      <c r="AE43" s="33">
        <v>46055.729166666664</v>
      </c>
      <c r="AF43" s="31">
        <v>107689</v>
      </c>
      <c r="AG43" s="33">
        <v>46058.722222222219</v>
      </c>
      <c r="AH43" s="31">
        <f t="shared" ref="AH43" si="215">+AF43-AD43</f>
        <v>213</v>
      </c>
      <c r="AI43" s="29">
        <v>3</v>
      </c>
      <c r="AJ43" s="29">
        <f t="shared" ref="AJ43" si="216">+AI43*5</f>
        <v>15</v>
      </c>
      <c r="AK43" s="29">
        <f t="shared" ref="AK43" si="217">+Q43-AJ43</f>
        <v>-4</v>
      </c>
      <c r="AM43" s="43">
        <f t="shared" ref="AM43" si="218">+AH43/Q43</f>
        <v>19.363636363636363</v>
      </c>
      <c r="AN43" s="43">
        <f t="shared" ref="AN43" si="219">+Q43/AI43</f>
        <v>3.6666666666666665</v>
      </c>
      <c r="AQ43" s="34">
        <f t="shared" ref="AQ43" si="220">+N43/78.54</f>
        <v>31.830914183855359</v>
      </c>
      <c r="AR43" s="34">
        <f t="shared" ref="AR43" si="221">+AH43/11</f>
        <v>19.363636363636363</v>
      </c>
      <c r="AS43" s="34">
        <f t="shared" ref="AS43" si="222">+AR43-AQ43</f>
        <v>-12.467277820218996</v>
      </c>
      <c r="AT43" s="34">
        <f t="shared" ref="AT43" si="223">+AH43/AQ43</f>
        <v>6.6916080000000004</v>
      </c>
    </row>
    <row r="44" spans="1:46" s="11" customFormat="1" x14ac:dyDescent="0.25">
      <c r="A44" s="28">
        <v>43</v>
      </c>
      <c r="B44" s="29" t="s">
        <v>98</v>
      </c>
      <c r="C44" s="29">
        <v>1332</v>
      </c>
      <c r="D44" s="29">
        <v>8</v>
      </c>
      <c r="E44" s="29" t="s">
        <v>132</v>
      </c>
      <c r="F44" s="30">
        <v>46054</v>
      </c>
      <c r="G44" s="30">
        <v>46064</v>
      </c>
      <c r="H44" s="31"/>
      <c r="I44" s="29"/>
      <c r="J44" s="29" t="s">
        <v>99</v>
      </c>
      <c r="K44" s="29" t="s">
        <v>87</v>
      </c>
      <c r="L44" s="29"/>
      <c r="M44" s="32">
        <f t="shared" si="210"/>
        <v>4500</v>
      </c>
      <c r="N44" s="32">
        <f>1800+900+1800</f>
        <v>4500</v>
      </c>
      <c r="O44" s="31">
        <v>10</v>
      </c>
      <c r="P44" s="31">
        <v>5</v>
      </c>
      <c r="Q44" s="31">
        <f t="shared" ref="Q44" si="224">+P44+O44</f>
        <v>15</v>
      </c>
      <c r="R44" s="32">
        <f t="shared" ref="R44" si="225">(N44/Q44)</f>
        <v>300</v>
      </c>
      <c r="S44" s="32">
        <f>(('Costo por negocio'!$B$2-DATA!R44)*DATA!O44)+('Costo por negocio'!$C$2-DATA!R44)*DATA!P44</f>
        <v>90</v>
      </c>
      <c r="T44" s="30">
        <v>46065</v>
      </c>
      <c r="U44" s="29" t="s">
        <v>81</v>
      </c>
      <c r="V44" s="29" t="s">
        <v>81</v>
      </c>
      <c r="W44" s="29" t="s">
        <v>81</v>
      </c>
      <c r="X44" s="29"/>
      <c r="Y44" s="29" t="s">
        <v>100</v>
      </c>
      <c r="Z44" s="29"/>
      <c r="AA44" s="29"/>
      <c r="AB44" s="29"/>
      <c r="AC44" s="29"/>
      <c r="AD44" s="31"/>
      <c r="AE44" s="33"/>
      <c r="AF44" s="31"/>
      <c r="AG44" s="33"/>
      <c r="AH44" s="31"/>
      <c r="AI44" s="29"/>
      <c r="AJ44" s="29"/>
      <c r="AK44" s="29"/>
      <c r="AM44" s="43"/>
      <c r="AN44" s="43"/>
      <c r="AQ44" s="34"/>
      <c r="AR44" s="34"/>
      <c r="AS44" s="34"/>
      <c r="AT44" s="34"/>
    </row>
    <row r="45" spans="1:46" s="11" customFormat="1" x14ac:dyDescent="0.25">
      <c r="A45" s="28">
        <v>44</v>
      </c>
      <c r="B45" s="29" t="s">
        <v>103</v>
      </c>
      <c r="C45" s="29">
        <v>3065</v>
      </c>
      <c r="D45" s="29">
        <v>8</v>
      </c>
      <c r="E45" s="29" t="s">
        <v>132</v>
      </c>
      <c r="F45" s="30">
        <v>46054</v>
      </c>
      <c r="G45" s="30">
        <v>46064</v>
      </c>
      <c r="H45" s="31"/>
      <c r="I45" s="29"/>
      <c r="J45" s="29" t="s">
        <v>104</v>
      </c>
      <c r="K45" s="29" t="s">
        <v>87</v>
      </c>
      <c r="L45" s="29"/>
      <c r="M45" s="32">
        <f t="shared" si="210"/>
        <v>5251</v>
      </c>
      <c r="N45" s="32">
        <f>2800+2451</f>
        <v>5251</v>
      </c>
      <c r="O45" s="31">
        <f>20+4</f>
        <v>24</v>
      </c>
      <c r="P45" s="31"/>
      <c r="Q45" s="31">
        <f t="shared" ref="Q45" si="226">+P45+O45</f>
        <v>24</v>
      </c>
      <c r="R45" s="32">
        <f t="shared" ref="R45" si="227">(N45/Q45)</f>
        <v>218.79166666666666</v>
      </c>
      <c r="S45" s="32">
        <f>(('Costo por negocio'!$B$2-DATA!R45)*DATA!O45)+('Costo por negocio'!$C$2-DATA!R45)*DATA!P45</f>
        <v>1061.0000000000002</v>
      </c>
      <c r="T45" s="30">
        <v>46065</v>
      </c>
      <c r="U45" s="29" t="s">
        <v>81</v>
      </c>
      <c r="V45" s="29" t="s">
        <v>81</v>
      </c>
      <c r="W45" s="29" t="s">
        <v>81</v>
      </c>
      <c r="X45" s="29"/>
      <c r="Y45" s="29" t="s">
        <v>105</v>
      </c>
      <c r="Z45" s="29"/>
      <c r="AA45" s="29"/>
      <c r="AB45" s="29"/>
      <c r="AC45" s="29"/>
      <c r="AD45" s="31"/>
      <c r="AE45" s="33"/>
      <c r="AF45" s="31"/>
      <c r="AG45" s="33"/>
      <c r="AH45" s="31"/>
      <c r="AI45" s="29"/>
      <c r="AJ45" s="29"/>
      <c r="AK45" s="29"/>
      <c r="AM45" s="43"/>
      <c r="AN45" s="43"/>
      <c r="AQ45" s="34"/>
      <c r="AR45" s="34"/>
      <c r="AS45" s="34"/>
      <c r="AT45" s="34"/>
    </row>
    <row r="46" spans="1:46" s="11" customFormat="1" x14ac:dyDescent="0.25">
      <c r="A46" s="28">
        <v>45</v>
      </c>
      <c r="B46" s="29" t="s">
        <v>4</v>
      </c>
      <c r="C46" s="29">
        <v>2005</v>
      </c>
      <c r="D46" s="29">
        <v>2</v>
      </c>
      <c r="E46" s="29" t="s">
        <v>140</v>
      </c>
      <c r="F46" s="30">
        <v>46072</v>
      </c>
      <c r="G46" s="30">
        <v>46073</v>
      </c>
      <c r="H46" s="31">
        <f>12*263</f>
        <v>3156</v>
      </c>
      <c r="I46" s="29">
        <v>15</v>
      </c>
      <c r="J46" s="29" t="s">
        <v>86</v>
      </c>
      <c r="K46" s="29" t="s">
        <v>3</v>
      </c>
      <c r="L46" s="29"/>
      <c r="M46" s="32">
        <f t="shared" si="210"/>
        <v>-809.40000000000009</v>
      </c>
      <c r="N46" s="32">
        <v>2346.6</v>
      </c>
      <c r="O46" s="31">
        <v>16</v>
      </c>
      <c r="P46" s="31"/>
      <c r="Q46" s="31">
        <f t="shared" ref="Q46" si="228">+P46+O46</f>
        <v>16</v>
      </c>
      <c r="R46" s="32">
        <f t="shared" ref="R46" si="229">(N46/Q46)</f>
        <v>146.66249999999999</v>
      </c>
      <c r="S46" s="32">
        <f>(('Costo por negocio'!$B$2-DATA!R46)*DATA!O46)+('Costo por negocio'!$C$2-DATA!R46)*DATA!P46</f>
        <v>1861.4</v>
      </c>
      <c r="T46" s="30">
        <v>46073</v>
      </c>
      <c r="U46" s="29" t="s">
        <v>81</v>
      </c>
      <c r="V46" s="29" t="s">
        <v>81</v>
      </c>
      <c r="W46" s="29" t="s">
        <v>81</v>
      </c>
      <c r="X46" s="29"/>
      <c r="Y46" s="29" t="s">
        <v>120</v>
      </c>
      <c r="Z46" s="29"/>
      <c r="AA46" s="29">
        <v>95479</v>
      </c>
      <c r="AB46" s="29"/>
      <c r="AC46" s="29">
        <v>74</v>
      </c>
      <c r="AD46" s="31">
        <v>111906</v>
      </c>
      <c r="AE46" s="33">
        <v>46071.395833333336</v>
      </c>
      <c r="AF46" s="31">
        <v>112489</v>
      </c>
      <c r="AG46" s="33">
        <v>46073.381944444445</v>
      </c>
      <c r="AH46" s="31">
        <f>+AF46-AD46</f>
        <v>583</v>
      </c>
      <c r="AI46" s="29">
        <v>2</v>
      </c>
      <c r="AJ46" s="29">
        <f t="shared" ref="AJ46" si="230">+AI46*5</f>
        <v>10</v>
      </c>
      <c r="AK46" s="29">
        <f t="shared" ref="AK46" si="231">+Q46-AJ46</f>
        <v>6</v>
      </c>
      <c r="AM46" s="43">
        <f t="shared" ref="AM46" si="232">+AH46/Q46</f>
        <v>36.4375</v>
      </c>
      <c r="AN46" s="43">
        <f t="shared" ref="AN46" si="233">+Q46/AI46</f>
        <v>8</v>
      </c>
      <c r="AQ46" s="34">
        <f t="shared" ref="AQ46" si="234">+N46/78.54</f>
        <v>29.87776928953399</v>
      </c>
      <c r="AR46" s="34">
        <f t="shared" ref="AR46" si="235">+AH46/11</f>
        <v>53</v>
      </c>
      <c r="AS46" s="34">
        <f t="shared" ref="AS46" si="236">+AR46-AQ46</f>
        <v>23.12223071046601</v>
      </c>
      <c r="AT46" s="34">
        <f t="shared" ref="AT46" si="237">+AH46/AQ46</f>
        <v>19.512835591920229</v>
      </c>
    </row>
    <row r="47" spans="1:46" s="11" customFormat="1" x14ac:dyDescent="0.25">
      <c r="A47" s="56">
        <v>46</v>
      </c>
      <c r="B47" s="57" t="s">
        <v>125</v>
      </c>
      <c r="C47" s="57">
        <v>3117</v>
      </c>
      <c r="D47" s="57">
        <v>10</v>
      </c>
      <c r="E47" s="57" t="s">
        <v>139</v>
      </c>
      <c r="F47" s="58">
        <v>46065</v>
      </c>
      <c r="G47" s="58">
        <v>46081</v>
      </c>
      <c r="H47" s="59">
        <v>5000</v>
      </c>
      <c r="I47" s="59">
        <f>+H47/263</f>
        <v>19.011406844106464</v>
      </c>
      <c r="J47" s="57" t="s">
        <v>86</v>
      </c>
      <c r="K47" s="57" t="s">
        <v>87</v>
      </c>
      <c r="L47" s="57"/>
      <c r="M47" s="60">
        <f t="shared" si="210"/>
        <v>-2000</v>
      </c>
      <c r="N47" s="60">
        <v>3000</v>
      </c>
      <c r="O47" s="59">
        <f>10+9</f>
        <v>19</v>
      </c>
      <c r="P47" s="59"/>
      <c r="Q47" s="59">
        <f t="shared" ref="Q47" si="238">+P47+O47</f>
        <v>19</v>
      </c>
      <c r="R47" s="60">
        <f t="shared" ref="R47" si="239">(N47/Q47)</f>
        <v>157.89473684210526</v>
      </c>
      <c r="S47" s="60">
        <f>(('Costo por negocio'!$B$2-DATA!R47)*DATA!O47)+('Costo por negocio'!$C$2-DATA!R47)*DATA!P47</f>
        <v>1997</v>
      </c>
      <c r="T47" s="58">
        <v>46083</v>
      </c>
      <c r="U47" s="57" t="s">
        <v>81</v>
      </c>
      <c r="V47" s="57" t="s">
        <v>81</v>
      </c>
      <c r="W47" s="57" t="s">
        <v>81</v>
      </c>
      <c r="X47" s="57"/>
      <c r="Y47" s="57" t="s">
        <v>126</v>
      </c>
      <c r="Z47" s="58">
        <v>46084</v>
      </c>
      <c r="AA47" s="57"/>
      <c r="AB47" s="57"/>
      <c r="AC47" s="57"/>
      <c r="AD47" s="59"/>
      <c r="AE47" s="61"/>
      <c r="AF47" s="59"/>
      <c r="AG47" s="61"/>
      <c r="AH47" s="59"/>
      <c r="AI47" s="57"/>
      <c r="AJ47" s="57"/>
      <c r="AK47" s="57"/>
      <c r="AM47" s="43"/>
      <c r="AN47" s="43"/>
      <c r="AQ47" s="34"/>
      <c r="AR47" s="34"/>
      <c r="AS47" s="34"/>
      <c r="AT47" s="34"/>
    </row>
    <row r="48" spans="1:46" s="11" customFormat="1" x14ac:dyDescent="0.25">
      <c r="A48" s="28">
        <v>47</v>
      </c>
      <c r="B48" s="29" t="s">
        <v>4</v>
      </c>
      <c r="C48" s="29">
        <v>2005</v>
      </c>
      <c r="D48" s="29">
        <v>3</v>
      </c>
      <c r="E48" s="29" t="s">
        <v>144</v>
      </c>
      <c r="F48" s="30">
        <v>46077</v>
      </c>
      <c r="G48" s="30">
        <v>46079</v>
      </c>
      <c r="H48" s="31">
        <f>12*263</f>
        <v>3156</v>
      </c>
      <c r="I48" s="29">
        <v>15</v>
      </c>
      <c r="J48" s="29" t="s">
        <v>86</v>
      </c>
      <c r="K48" s="29" t="s">
        <v>3</v>
      </c>
      <c r="L48" s="29"/>
      <c r="M48" s="32">
        <f t="shared" si="210"/>
        <v>970.89999999999964</v>
      </c>
      <c r="N48" s="32">
        <f>376.9+3750</f>
        <v>4126.8999999999996</v>
      </c>
      <c r="O48" s="31">
        <f>20+2</f>
        <v>22</v>
      </c>
      <c r="P48" s="31"/>
      <c r="Q48" s="31">
        <f t="shared" ref="Q48:Q54" si="240">+P48+O48</f>
        <v>22</v>
      </c>
      <c r="R48" s="32">
        <f t="shared" ref="R48:R54" si="241">(N48/Q48)</f>
        <v>187.58636363636361</v>
      </c>
      <c r="S48" s="32">
        <f>(('Costo por negocio'!$B$2-DATA!R48)*DATA!O48)+('Costo por negocio'!$C$2-DATA!R48)*DATA!P48</f>
        <v>1659.1000000000004</v>
      </c>
      <c r="T48" s="30">
        <v>46080</v>
      </c>
      <c r="U48" s="29" t="s">
        <v>81</v>
      </c>
      <c r="V48" s="29" t="s">
        <v>81</v>
      </c>
      <c r="W48" s="29" t="s">
        <v>81</v>
      </c>
      <c r="X48" s="29"/>
      <c r="Y48" s="29" t="s">
        <v>114</v>
      </c>
      <c r="Z48" s="29"/>
      <c r="AA48" s="29">
        <v>95563</v>
      </c>
      <c r="AB48" s="29"/>
      <c r="AC48" s="29">
        <v>111</v>
      </c>
      <c r="AD48" s="31">
        <v>102684</v>
      </c>
      <c r="AE48" s="33">
        <v>46077.375</v>
      </c>
      <c r="AF48" s="31">
        <v>103344</v>
      </c>
      <c r="AG48" s="33">
        <v>46080.392361111109</v>
      </c>
      <c r="AH48" s="31">
        <f>+AF48-AD48</f>
        <v>660</v>
      </c>
      <c r="AI48" s="29">
        <v>3</v>
      </c>
      <c r="AJ48" s="29">
        <f t="shared" ref="AJ48" si="242">+AI48*5</f>
        <v>15</v>
      </c>
      <c r="AK48" s="29">
        <f t="shared" ref="AK48" si="243">+Q48-AJ48</f>
        <v>7</v>
      </c>
      <c r="AM48" s="43">
        <f t="shared" ref="AM48" si="244">+AH48/Q48</f>
        <v>30</v>
      </c>
      <c r="AN48" s="43">
        <f t="shared" ref="AN48" si="245">+Q48/AI48</f>
        <v>7.333333333333333</v>
      </c>
      <c r="AQ48" s="34">
        <f t="shared" ref="AQ48" si="246">+N48/78.54</f>
        <v>52.545199898141064</v>
      </c>
      <c r="AR48" s="34">
        <f t="shared" ref="AR48" si="247">+AH48/11</f>
        <v>60</v>
      </c>
      <c r="AS48" s="34">
        <f t="shared" ref="AS48" si="248">+AR48-AQ48</f>
        <v>7.454800101858936</v>
      </c>
      <c r="AT48" s="34">
        <f t="shared" ref="AT48" si="249">+AH48/AQ48</f>
        <v>12.56061450483414</v>
      </c>
    </row>
    <row r="49" spans="1:46" s="11" customFormat="1" x14ac:dyDescent="0.25">
      <c r="A49" s="28">
        <v>48</v>
      </c>
      <c r="B49" s="29" t="s">
        <v>0</v>
      </c>
      <c r="C49" s="29">
        <v>3007</v>
      </c>
      <c r="D49" s="29">
        <v>4</v>
      </c>
      <c r="E49" s="29" t="s">
        <v>145</v>
      </c>
      <c r="F49" s="30">
        <v>46076</v>
      </c>
      <c r="G49" s="30">
        <v>46079</v>
      </c>
      <c r="H49" s="31">
        <v>6000</v>
      </c>
      <c r="I49" s="29">
        <v>20</v>
      </c>
      <c r="J49" s="29" t="s">
        <v>146</v>
      </c>
      <c r="K49" s="29" t="s">
        <v>3</v>
      </c>
      <c r="L49" s="29"/>
      <c r="M49" s="32">
        <f t="shared" si="210"/>
        <v>1668</v>
      </c>
      <c r="N49" s="32">
        <f>2980+2900+1788</f>
        <v>7668</v>
      </c>
      <c r="O49" s="31">
        <f>7+5</f>
        <v>12</v>
      </c>
      <c r="P49" s="31">
        <f>13+13</f>
        <v>26</v>
      </c>
      <c r="Q49" s="31">
        <f t="shared" si="240"/>
        <v>38</v>
      </c>
      <c r="R49" s="32">
        <f t="shared" si="241"/>
        <v>201.78947368421052</v>
      </c>
      <c r="S49" s="32">
        <f>(('Costo por negocio'!$B$2-DATA!R49)*DATA!O49)+('Costo por negocio'!$C$2-DATA!R49)*DATA!P49</f>
        <v>5680</v>
      </c>
      <c r="T49" s="30">
        <v>46073</v>
      </c>
      <c r="U49" s="29" t="s">
        <v>81</v>
      </c>
      <c r="V49" s="29" t="s">
        <v>81</v>
      </c>
      <c r="W49" s="29" t="s">
        <v>81</v>
      </c>
      <c r="X49" s="29"/>
      <c r="Y49" s="29" t="s">
        <v>161</v>
      </c>
      <c r="Z49" s="29"/>
      <c r="AA49" s="29">
        <v>95531</v>
      </c>
      <c r="AB49" s="29"/>
      <c r="AC49" s="29">
        <v>148</v>
      </c>
      <c r="AD49" s="31">
        <v>84444</v>
      </c>
      <c r="AE49" s="33">
        <v>46076.395833333336</v>
      </c>
      <c r="AF49" s="31">
        <v>85823</v>
      </c>
      <c r="AG49" s="33">
        <v>46080.4</v>
      </c>
      <c r="AH49" s="31">
        <f>+AF49-AD49</f>
        <v>1379</v>
      </c>
      <c r="AI49" s="29">
        <v>4</v>
      </c>
      <c r="AJ49" s="29">
        <f t="shared" ref="AJ49" si="250">+AI49*5</f>
        <v>20</v>
      </c>
      <c r="AK49" s="29">
        <f t="shared" ref="AK49" si="251">+Q49-AJ49</f>
        <v>18</v>
      </c>
      <c r="AM49" s="43">
        <f t="shared" ref="AM49" si="252">+AH49/Q49</f>
        <v>36.289473684210527</v>
      </c>
      <c r="AN49" s="43">
        <f t="shared" ref="AN49" si="253">+Q49/AI49</f>
        <v>9.5</v>
      </c>
      <c r="AQ49" s="34">
        <f t="shared" ref="AQ49" si="254">+N49/78.54</f>
        <v>97.631779984721149</v>
      </c>
      <c r="AR49" s="34">
        <f t="shared" ref="AR49" si="255">+AH49/11</f>
        <v>125.36363636363636</v>
      </c>
      <c r="AS49" s="34">
        <f t="shared" ref="AS49" si="256">+AR49-AQ49</f>
        <v>27.731856378915211</v>
      </c>
      <c r="AT49" s="34">
        <f t="shared" ref="AT49" si="257">+AH49/AQ49</f>
        <v>14.124499217527388</v>
      </c>
    </row>
    <row r="50" spans="1:46" s="11" customFormat="1" x14ac:dyDescent="0.25">
      <c r="A50" s="28">
        <v>49</v>
      </c>
      <c r="B50" s="29" t="s">
        <v>11</v>
      </c>
      <c r="C50" s="29">
        <v>1512</v>
      </c>
      <c r="D50" s="29">
        <v>3</v>
      </c>
      <c r="E50" s="29" t="s">
        <v>144</v>
      </c>
      <c r="F50" s="30">
        <v>46077</v>
      </c>
      <c r="G50" s="30">
        <v>46079</v>
      </c>
      <c r="H50" s="31">
        <v>7000</v>
      </c>
      <c r="I50" s="29">
        <v>15</v>
      </c>
      <c r="J50" s="29" t="s">
        <v>146</v>
      </c>
      <c r="K50" s="29" t="s">
        <v>3</v>
      </c>
      <c r="L50" s="29"/>
      <c r="M50" s="32">
        <f t="shared" ref="M50" si="258">+N50-H50</f>
        <v>845.39999999999964</v>
      </c>
      <c r="N50" s="32">
        <f>2300+2107+2043.2+1395.2</f>
        <v>7845.4</v>
      </c>
      <c r="O50" s="31"/>
      <c r="P50" s="31">
        <v>10</v>
      </c>
      <c r="Q50" s="31">
        <f t="shared" si="240"/>
        <v>10</v>
      </c>
      <c r="R50" s="32">
        <f t="shared" si="241"/>
        <v>784.54</v>
      </c>
      <c r="S50" s="32">
        <f>(('Costo por negocio'!$B$2-DATA!R50)*DATA!O50)+('Costo por negocio'!$C$2-DATA!R50)*DATA!P50</f>
        <v>-3925.3999999999996</v>
      </c>
      <c r="T50" s="30">
        <v>46073</v>
      </c>
      <c r="U50" s="29" t="s">
        <v>81</v>
      </c>
      <c r="V50" s="29" t="s">
        <v>81</v>
      </c>
      <c r="W50" s="29" t="s">
        <v>81</v>
      </c>
      <c r="X50" s="29"/>
      <c r="Y50" s="29" t="s">
        <v>158</v>
      </c>
      <c r="Z50" s="29"/>
      <c r="AA50" s="29">
        <v>95525</v>
      </c>
      <c r="AB50" s="29"/>
      <c r="AC50" s="29">
        <v>111</v>
      </c>
      <c r="AD50" s="31">
        <v>121844</v>
      </c>
      <c r="AE50" s="33">
        <v>46076.708333333336</v>
      </c>
      <c r="AF50" s="31">
        <v>123017</v>
      </c>
      <c r="AG50" s="33">
        <v>46080.381944444445</v>
      </c>
      <c r="AH50" s="31">
        <f>+AF50-AD50</f>
        <v>1173</v>
      </c>
      <c r="AI50" s="29">
        <v>3</v>
      </c>
      <c r="AJ50" s="29">
        <f t="shared" ref="AJ50" si="259">+AI50*5</f>
        <v>15</v>
      </c>
      <c r="AK50" s="29">
        <f t="shared" ref="AK50" si="260">+Q50-AJ50</f>
        <v>-5</v>
      </c>
      <c r="AM50" s="43">
        <f t="shared" ref="AM50" si="261">+AH50/Q50</f>
        <v>117.3</v>
      </c>
      <c r="AN50" s="43">
        <f t="shared" ref="AN50" si="262">+Q50/AI50</f>
        <v>3.3333333333333335</v>
      </c>
      <c r="AQ50" s="34">
        <f t="shared" ref="AQ50" si="263">+N50/78.54</f>
        <v>99.89050165520753</v>
      </c>
      <c r="AR50" s="34">
        <f t="shared" ref="AR50" si="264">+AH50/11</f>
        <v>106.63636363636364</v>
      </c>
      <c r="AS50" s="34">
        <f t="shared" ref="AS50" si="265">+AR50-AQ50</f>
        <v>6.7458619811561107</v>
      </c>
      <c r="AT50" s="34">
        <f t="shared" ref="AT50" si="266">+AH50/AQ50</f>
        <v>11.742858235399089</v>
      </c>
    </row>
    <row r="51" spans="1:46" s="11" customFormat="1" x14ac:dyDescent="0.25">
      <c r="A51" s="28">
        <v>50</v>
      </c>
      <c r="B51" s="29" t="s">
        <v>66</v>
      </c>
      <c r="C51" s="29">
        <v>3075</v>
      </c>
      <c r="D51" s="29">
        <v>3</v>
      </c>
      <c r="E51" s="29" t="s">
        <v>144</v>
      </c>
      <c r="F51" s="30">
        <v>46077</v>
      </c>
      <c r="G51" s="30">
        <v>46079</v>
      </c>
      <c r="H51" s="31">
        <v>7000</v>
      </c>
      <c r="I51" s="29">
        <v>15</v>
      </c>
      <c r="J51" s="29" t="s">
        <v>147</v>
      </c>
      <c r="K51" s="29" t="s">
        <v>3</v>
      </c>
      <c r="L51" s="29"/>
      <c r="M51" s="32">
        <f t="shared" ref="M51" si="267">+N51-H51</f>
        <v>-1329.6999999999998</v>
      </c>
      <c r="N51" s="32">
        <f>1950+1172.3+2342+206</f>
        <v>5670.3</v>
      </c>
      <c r="O51" s="31"/>
      <c r="P51" s="31">
        <v>20</v>
      </c>
      <c r="Q51" s="31">
        <f t="shared" si="240"/>
        <v>20</v>
      </c>
      <c r="R51" s="32">
        <f t="shared" si="241"/>
        <v>283.51499999999999</v>
      </c>
      <c r="S51" s="32">
        <f>(('Costo por negocio'!$B$2-DATA!R51)*DATA!O51)+('Costo por negocio'!$C$2-DATA!R51)*DATA!P51</f>
        <v>2169.7000000000003</v>
      </c>
      <c r="T51" s="30">
        <v>46073</v>
      </c>
      <c r="U51" s="29" t="s">
        <v>81</v>
      </c>
      <c r="V51" s="29" t="s">
        <v>81</v>
      </c>
      <c r="W51" s="29" t="s">
        <v>81</v>
      </c>
      <c r="X51" s="29"/>
      <c r="Y51" s="29" t="s">
        <v>157</v>
      </c>
      <c r="Z51" s="29"/>
      <c r="AA51" s="29">
        <v>95519</v>
      </c>
      <c r="AB51" s="29"/>
      <c r="AC51" s="29">
        <v>74</v>
      </c>
      <c r="AD51" s="31">
        <v>83063</v>
      </c>
      <c r="AE51" s="33">
        <v>46076.666666666664</v>
      </c>
      <c r="AF51" s="31">
        <v>84037</v>
      </c>
      <c r="AG51" s="33">
        <v>46079.388888888891</v>
      </c>
      <c r="AH51" s="31">
        <f>+AF51-AD51</f>
        <v>974</v>
      </c>
      <c r="AI51" s="29">
        <v>2</v>
      </c>
      <c r="AJ51" s="29">
        <f t="shared" ref="AJ51" si="268">+AI51*5</f>
        <v>10</v>
      </c>
      <c r="AK51" s="29">
        <f t="shared" ref="AK51" si="269">+Q51-AJ51</f>
        <v>10</v>
      </c>
      <c r="AM51" s="43">
        <f t="shared" ref="AM51" si="270">+AH51/Q51</f>
        <v>48.7</v>
      </c>
      <c r="AN51" s="43">
        <f t="shared" ref="AN51" si="271">+Q51/AI51</f>
        <v>10</v>
      </c>
      <c r="AQ51" s="34">
        <f t="shared" ref="AQ51" si="272">+N51/78.54</f>
        <v>72.19633307868601</v>
      </c>
      <c r="AR51" s="34">
        <f t="shared" ref="AR51" si="273">+AH51/11</f>
        <v>88.545454545454547</v>
      </c>
      <c r="AS51" s="34">
        <f t="shared" ref="AS51" si="274">+AR51-AQ51</f>
        <v>16.349121466768537</v>
      </c>
      <c r="AT51" s="34">
        <f t="shared" ref="AT51" si="275">+AH51/AQ51</f>
        <v>13.490989894714568</v>
      </c>
    </row>
    <row r="52" spans="1:46" s="11" customFormat="1" x14ac:dyDescent="0.25">
      <c r="A52" s="50">
        <v>51</v>
      </c>
      <c r="B52" s="51" t="s">
        <v>125</v>
      </c>
      <c r="C52" s="51">
        <v>3117</v>
      </c>
      <c r="D52" s="51">
        <v>3</v>
      </c>
      <c r="E52" s="51" t="s">
        <v>144</v>
      </c>
      <c r="F52" s="52">
        <v>46077</v>
      </c>
      <c r="G52" s="52">
        <v>46079</v>
      </c>
      <c r="H52" s="53">
        <v>4000</v>
      </c>
      <c r="I52" s="51">
        <v>15</v>
      </c>
      <c r="J52" s="51" t="s">
        <v>86</v>
      </c>
      <c r="K52" s="51" t="s">
        <v>3</v>
      </c>
      <c r="L52" s="51"/>
      <c r="M52" s="54"/>
      <c r="N52" s="54"/>
      <c r="O52" s="53"/>
      <c r="P52" s="53"/>
      <c r="Q52" s="53"/>
      <c r="R52" s="54"/>
      <c r="S52" s="54"/>
      <c r="T52" s="52">
        <v>46073</v>
      </c>
      <c r="U52" s="51" t="s">
        <v>81</v>
      </c>
      <c r="V52" s="51" t="s">
        <v>81</v>
      </c>
      <c r="W52" s="51" t="s">
        <v>81</v>
      </c>
      <c r="X52" s="51" t="s">
        <v>151</v>
      </c>
      <c r="Y52" s="51"/>
      <c r="Z52" s="51"/>
      <c r="AA52" s="51"/>
      <c r="AB52" s="51"/>
      <c r="AC52" s="51"/>
      <c r="AD52" s="53"/>
      <c r="AE52" s="55"/>
      <c r="AF52" s="53"/>
      <c r="AG52" s="55"/>
      <c r="AH52" s="53"/>
      <c r="AI52" s="51"/>
      <c r="AJ52" s="51"/>
      <c r="AK52" s="51"/>
      <c r="AM52" s="43"/>
      <c r="AN52" s="43"/>
      <c r="AQ52" s="34"/>
      <c r="AR52" s="34"/>
      <c r="AS52" s="34"/>
      <c r="AT52" s="34"/>
    </row>
    <row r="53" spans="1:46" s="11" customFormat="1" x14ac:dyDescent="0.25">
      <c r="A53" s="28">
        <v>52</v>
      </c>
      <c r="B53" s="29" t="s">
        <v>0</v>
      </c>
      <c r="C53" s="29">
        <v>3007</v>
      </c>
      <c r="D53" s="29">
        <v>3</v>
      </c>
      <c r="E53" s="29" t="s">
        <v>149</v>
      </c>
      <c r="F53" s="30">
        <v>46071</v>
      </c>
      <c r="G53" s="30">
        <v>46073</v>
      </c>
      <c r="H53" s="31"/>
      <c r="I53" s="29">
        <v>15</v>
      </c>
      <c r="J53" s="29" t="s">
        <v>86</v>
      </c>
      <c r="K53" s="29" t="s">
        <v>3</v>
      </c>
      <c r="L53" s="29"/>
      <c r="M53" s="32">
        <f t="shared" ref="M53:M60" si="276">+N53-H53</f>
        <v>2780</v>
      </c>
      <c r="N53" s="32">
        <v>2780</v>
      </c>
      <c r="O53" s="31">
        <v>20</v>
      </c>
      <c r="P53" s="31"/>
      <c r="Q53" s="31">
        <f t="shared" si="240"/>
        <v>20</v>
      </c>
      <c r="R53" s="32">
        <f t="shared" si="241"/>
        <v>139</v>
      </c>
      <c r="S53" s="32">
        <f>(('Costo por negocio'!$B$2-DATA!R53)*DATA!O53)+('Costo por negocio'!$C$2-DATA!R53)*DATA!P53</f>
        <v>2480</v>
      </c>
      <c r="T53" s="30">
        <v>46073</v>
      </c>
      <c r="U53" s="29" t="s">
        <v>81</v>
      </c>
      <c r="V53" s="29" t="s">
        <v>81</v>
      </c>
      <c r="W53" s="29" t="s">
        <v>81</v>
      </c>
      <c r="X53" s="29"/>
      <c r="Y53" s="29" t="s">
        <v>114</v>
      </c>
      <c r="Z53" s="29"/>
      <c r="AA53" s="29">
        <v>95491</v>
      </c>
      <c r="AB53" s="29"/>
      <c r="AC53" s="29">
        <v>111</v>
      </c>
      <c r="AD53" s="31">
        <v>101712</v>
      </c>
      <c r="AE53" s="33">
        <v>46071.375</v>
      </c>
      <c r="AF53" s="31">
        <v>102075</v>
      </c>
      <c r="AG53" s="33">
        <v>46073.71875</v>
      </c>
      <c r="AH53" s="31">
        <f t="shared" ref="AH53:AH60" si="277">+AF53-AD53</f>
        <v>363</v>
      </c>
      <c r="AI53" s="29">
        <v>3</v>
      </c>
      <c r="AJ53" s="29">
        <f t="shared" ref="AJ53" si="278">+AI53*5</f>
        <v>15</v>
      </c>
      <c r="AK53" s="29">
        <f t="shared" ref="AK53" si="279">+Q53-AJ53</f>
        <v>5</v>
      </c>
      <c r="AM53" s="43">
        <f t="shared" ref="AM53" si="280">+AH53/Q53</f>
        <v>18.149999999999999</v>
      </c>
      <c r="AN53" s="43">
        <f t="shared" ref="AN53" si="281">+Q53/AI53</f>
        <v>6.666666666666667</v>
      </c>
      <c r="AQ53" s="34">
        <f t="shared" ref="AQ53" si="282">+N53/78.54</f>
        <v>35.395976572447161</v>
      </c>
      <c r="AR53" s="34">
        <f t="shared" ref="AR53" si="283">+AH53/11</f>
        <v>33</v>
      </c>
      <c r="AS53" s="34">
        <f t="shared" ref="AS53" si="284">+AR53-AQ53</f>
        <v>-2.3959765724471609</v>
      </c>
      <c r="AT53" s="34">
        <f t="shared" ref="AT53" si="285">+AH53/AQ53</f>
        <v>10.255402877697842</v>
      </c>
    </row>
    <row r="54" spans="1:46" s="11" customFormat="1" x14ac:dyDescent="0.25">
      <c r="A54" s="28">
        <v>53</v>
      </c>
      <c r="B54" s="29" t="s">
        <v>7</v>
      </c>
      <c r="C54" s="29">
        <v>3154</v>
      </c>
      <c r="D54" s="29">
        <v>2</v>
      </c>
      <c r="E54" s="29" t="s">
        <v>150</v>
      </c>
      <c r="F54" s="30">
        <v>46071</v>
      </c>
      <c r="G54" s="30">
        <v>46072</v>
      </c>
      <c r="H54" s="31"/>
      <c r="I54" s="29">
        <v>15</v>
      </c>
      <c r="J54" s="29" t="s">
        <v>97</v>
      </c>
      <c r="K54" s="29" t="s">
        <v>3</v>
      </c>
      <c r="L54" s="29"/>
      <c r="M54" s="32">
        <f t="shared" si="276"/>
        <v>3050.1</v>
      </c>
      <c r="N54" s="32">
        <v>3050.1</v>
      </c>
      <c r="O54" s="31">
        <v>7</v>
      </c>
      <c r="P54" s="31">
        <v>7</v>
      </c>
      <c r="Q54" s="31">
        <f t="shared" si="240"/>
        <v>14</v>
      </c>
      <c r="R54" s="32">
        <f t="shared" si="241"/>
        <v>217.8642857142857</v>
      </c>
      <c r="S54" s="32">
        <f>(('Costo por negocio'!$B$2-DATA!R54)*DATA!O54)+('Costo por negocio'!$C$2-DATA!R54)*DATA!P54</f>
        <v>1534.9</v>
      </c>
      <c r="T54" s="30">
        <v>46073</v>
      </c>
      <c r="U54" s="29" t="s">
        <v>81</v>
      </c>
      <c r="V54" s="29" t="s">
        <v>81</v>
      </c>
      <c r="W54" s="29" t="s">
        <v>81</v>
      </c>
      <c r="X54" s="29"/>
      <c r="Y54" s="29" t="s">
        <v>138</v>
      </c>
      <c r="Z54" s="29"/>
      <c r="AA54" s="29">
        <v>95478</v>
      </c>
      <c r="AB54" s="29"/>
      <c r="AC54" s="29">
        <v>74</v>
      </c>
      <c r="AD54" s="31">
        <v>110468</v>
      </c>
      <c r="AE54" s="33">
        <v>46071.375</v>
      </c>
      <c r="AF54" s="31">
        <v>110598</v>
      </c>
      <c r="AG54" s="33">
        <v>46073.378472222219</v>
      </c>
      <c r="AH54" s="31">
        <f t="shared" si="277"/>
        <v>130</v>
      </c>
      <c r="AI54" s="29">
        <v>3</v>
      </c>
      <c r="AJ54" s="29">
        <f t="shared" ref="AJ54" si="286">+AI54*5</f>
        <v>15</v>
      </c>
      <c r="AK54" s="29">
        <f t="shared" ref="AK54" si="287">+Q54-AJ54</f>
        <v>-1</v>
      </c>
      <c r="AM54" s="43">
        <f t="shared" ref="AM54" si="288">+AH54/Q54</f>
        <v>9.2857142857142865</v>
      </c>
      <c r="AN54" s="43">
        <f t="shared" ref="AN54" si="289">+Q54/AI54</f>
        <v>4.666666666666667</v>
      </c>
      <c r="AQ54" s="34">
        <f t="shared" ref="AQ54" si="290">+N54/78.54</f>
        <v>38.834988540870889</v>
      </c>
      <c r="AR54" s="34">
        <f t="shared" ref="AR54" si="291">+AH54/11</f>
        <v>11.818181818181818</v>
      </c>
      <c r="AS54" s="34">
        <f t="shared" ref="AS54" si="292">+AR54-AQ54</f>
        <v>-27.016806722689068</v>
      </c>
      <c r="AT54" s="34">
        <f t="shared" ref="AT54" si="293">+AH54/AQ54</f>
        <v>3.3474968033834962</v>
      </c>
    </row>
    <row r="55" spans="1:46" s="11" customFormat="1" x14ac:dyDescent="0.25">
      <c r="A55" s="56">
        <v>54</v>
      </c>
      <c r="B55" s="57" t="s">
        <v>9</v>
      </c>
      <c r="C55" s="57">
        <v>1618</v>
      </c>
      <c r="D55" s="57">
        <v>3</v>
      </c>
      <c r="E55" s="57" t="s">
        <v>144</v>
      </c>
      <c r="F55" s="58">
        <v>46077</v>
      </c>
      <c r="G55" s="58">
        <v>46079</v>
      </c>
      <c r="H55" s="59">
        <v>4500</v>
      </c>
      <c r="I55" s="57">
        <v>15</v>
      </c>
      <c r="J55" s="57" t="s">
        <v>10</v>
      </c>
      <c r="K55" s="57" t="s">
        <v>3</v>
      </c>
      <c r="L55" s="57"/>
      <c r="M55" s="60">
        <f t="shared" si="276"/>
        <v>-49.800000000000182</v>
      </c>
      <c r="N55" s="60">
        <f>1000+3450.2</f>
        <v>4450.2</v>
      </c>
      <c r="O55" s="59"/>
      <c r="P55" s="59">
        <v>7</v>
      </c>
      <c r="Q55" s="59">
        <f t="shared" ref="Q55:Q57" si="294">+P55+O55</f>
        <v>7</v>
      </c>
      <c r="R55" s="60">
        <f t="shared" ref="R55:R57" si="295">(N55/Q55)</f>
        <v>635.74285714285713</v>
      </c>
      <c r="S55" s="60">
        <f>(('Costo por negocio'!$B$2-DATA!R55)*DATA!O55)+('Costo por negocio'!$C$2-DATA!R55)*DATA!P55</f>
        <v>-1706.1999999999998</v>
      </c>
      <c r="T55" s="58">
        <v>46083</v>
      </c>
      <c r="U55" s="57" t="s">
        <v>81</v>
      </c>
      <c r="V55" s="57" t="s">
        <v>81</v>
      </c>
      <c r="W55" s="57" t="s">
        <v>81</v>
      </c>
      <c r="X55" s="57"/>
      <c r="Y55" s="57" t="s">
        <v>136</v>
      </c>
      <c r="Z55" s="58">
        <v>46084</v>
      </c>
      <c r="AA55" s="57">
        <v>93150</v>
      </c>
      <c r="AB55" s="57"/>
      <c r="AC55" s="57">
        <v>111</v>
      </c>
      <c r="AD55" s="59">
        <v>104115</v>
      </c>
      <c r="AE55" s="61">
        <v>46076.73333333333</v>
      </c>
      <c r="AF55" s="59">
        <v>104875</v>
      </c>
      <c r="AG55" s="61">
        <v>46080.375</v>
      </c>
      <c r="AH55" s="59">
        <f t="shared" si="277"/>
        <v>760</v>
      </c>
      <c r="AI55" s="57">
        <v>3</v>
      </c>
      <c r="AJ55" s="57">
        <f t="shared" ref="AJ55:AJ56" si="296">+AI55*5</f>
        <v>15</v>
      </c>
      <c r="AK55" s="57">
        <f t="shared" ref="AK55:AK56" si="297">+Q55-AJ55</f>
        <v>-8</v>
      </c>
      <c r="AM55" s="43">
        <f t="shared" ref="AM55" si="298">+AH55/Q55</f>
        <v>108.57142857142857</v>
      </c>
      <c r="AN55" s="43">
        <f t="shared" ref="AN55" si="299">+Q55/AI55</f>
        <v>2.3333333333333335</v>
      </c>
      <c r="AQ55" s="34">
        <f t="shared" ref="AQ55" si="300">+N55/78.54</f>
        <v>56.661573720397243</v>
      </c>
      <c r="AR55" s="34">
        <f t="shared" ref="AR55" si="301">+AH55/11</f>
        <v>69.090909090909093</v>
      </c>
      <c r="AS55" s="34">
        <f t="shared" ref="AS55" si="302">+AR55-AQ55</f>
        <v>12.429335370511851</v>
      </c>
      <c r="AT55" s="34">
        <f t="shared" ref="AT55" si="303">+AH55/AQ55</f>
        <v>13.412970203586358</v>
      </c>
    </row>
    <row r="56" spans="1:46" s="11" customFormat="1" x14ac:dyDescent="0.25">
      <c r="A56" s="56">
        <v>55</v>
      </c>
      <c r="B56" s="57" t="s">
        <v>4</v>
      </c>
      <c r="C56" s="57">
        <v>2005</v>
      </c>
      <c r="D56" s="57">
        <v>3</v>
      </c>
      <c r="E56" s="57" t="s">
        <v>152</v>
      </c>
      <c r="F56" s="58">
        <v>46084</v>
      </c>
      <c r="G56" s="58">
        <v>46086</v>
      </c>
      <c r="H56" s="59">
        <f>18*263</f>
        <v>4734</v>
      </c>
      <c r="I56" s="57">
        <v>15</v>
      </c>
      <c r="J56" s="57" t="s">
        <v>86</v>
      </c>
      <c r="K56" s="57" t="s">
        <v>3</v>
      </c>
      <c r="L56" s="57"/>
      <c r="M56" s="60">
        <f>+N56-H56</f>
        <v>-1702.37</v>
      </c>
      <c r="N56" s="60">
        <f>2781+250.63</f>
        <v>3031.63</v>
      </c>
      <c r="O56" s="59">
        <v>27</v>
      </c>
      <c r="P56" s="59"/>
      <c r="Q56" s="59">
        <f t="shared" si="294"/>
        <v>27</v>
      </c>
      <c r="R56" s="60">
        <f t="shared" si="295"/>
        <v>112.28259259259259</v>
      </c>
      <c r="S56" s="60">
        <f>(('Costo por negocio'!$B$3-DATA!R56)*DATA!O56)+('Costo por negocio'!$C$3-DATA!R56)*DATA!P56</f>
        <v>3988.3699999999994</v>
      </c>
      <c r="T56" s="58">
        <v>46087</v>
      </c>
      <c r="U56" s="57" t="s">
        <v>81</v>
      </c>
      <c r="V56" s="57" t="s">
        <v>81</v>
      </c>
      <c r="W56" s="57" t="s">
        <v>81</v>
      </c>
      <c r="X56" s="57"/>
      <c r="Y56" s="57" t="s">
        <v>137</v>
      </c>
      <c r="Z56" s="58">
        <v>46087</v>
      </c>
      <c r="AA56" s="57">
        <v>95594</v>
      </c>
      <c r="AB56" s="57"/>
      <c r="AC56" s="57">
        <v>111</v>
      </c>
      <c r="AD56" s="59">
        <v>74661</v>
      </c>
      <c r="AE56" s="61">
        <v>46084.388888888891</v>
      </c>
      <c r="AF56" s="59">
        <v>75074</v>
      </c>
      <c r="AG56" s="61">
        <v>46087.395833333336</v>
      </c>
      <c r="AH56" s="59">
        <f t="shared" si="277"/>
        <v>413</v>
      </c>
      <c r="AI56" s="57">
        <v>3</v>
      </c>
      <c r="AJ56" s="57">
        <f t="shared" si="296"/>
        <v>15</v>
      </c>
      <c r="AK56" s="57">
        <f t="shared" si="297"/>
        <v>12</v>
      </c>
      <c r="AM56" s="43">
        <f t="shared" ref="AM56" si="304">+AH56/Q56</f>
        <v>15.296296296296296</v>
      </c>
      <c r="AN56" s="43">
        <f t="shared" ref="AN56" si="305">+Q56/AI56</f>
        <v>9</v>
      </c>
      <c r="AQ56" s="34">
        <f t="shared" ref="AQ56" si="306">+N56/78.54</f>
        <v>38.599821746880572</v>
      </c>
      <c r="AR56" s="34">
        <f t="shared" ref="AR56" si="307">+AH56/11</f>
        <v>37.545454545454547</v>
      </c>
      <c r="AS56" s="34">
        <f t="shared" ref="AS56" si="308">+AR56-AQ56</f>
        <v>-1.0543672014260252</v>
      </c>
      <c r="AT56" s="34">
        <f t="shared" ref="AT56" si="309">+AH56/AQ56</f>
        <v>10.699531275254566</v>
      </c>
    </row>
    <row r="57" spans="1:46" s="11" customFormat="1" x14ac:dyDescent="0.25">
      <c r="A57" s="56">
        <v>56</v>
      </c>
      <c r="B57" s="57" t="s">
        <v>11</v>
      </c>
      <c r="C57" s="57">
        <v>1512</v>
      </c>
      <c r="D57" s="57">
        <v>3</v>
      </c>
      <c r="E57" s="57" t="s">
        <v>152</v>
      </c>
      <c r="F57" s="58">
        <v>46084</v>
      </c>
      <c r="G57" s="58">
        <v>46086</v>
      </c>
      <c r="H57" s="59">
        <v>6000</v>
      </c>
      <c r="I57" s="57">
        <v>15</v>
      </c>
      <c r="J57" s="57" t="s">
        <v>153</v>
      </c>
      <c r="K57" s="57" t="s">
        <v>3</v>
      </c>
      <c r="L57" s="57"/>
      <c r="M57" s="60">
        <f t="shared" si="276"/>
        <v>-99.5</v>
      </c>
      <c r="N57" s="60">
        <f>2200+1750+1950.5</f>
        <v>5900.5</v>
      </c>
      <c r="O57" s="59"/>
      <c r="P57" s="59">
        <v>11</v>
      </c>
      <c r="Q57" s="59">
        <f t="shared" si="294"/>
        <v>11</v>
      </c>
      <c r="R57" s="60">
        <f t="shared" si="295"/>
        <v>536.40909090909088</v>
      </c>
      <c r="S57" s="60">
        <f>(('Costo por negocio'!$B$3-DATA!R57)*DATA!O57)+('Costo por negocio'!$C$3-DATA!R57)*DATA!P57</f>
        <v>-1643.4999999999995</v>
      </c>
      <c r="T57" s="58">
        <v>46087</v>
      </c>
      <c r="U57" s="57" t="s">
        <v>81</v>
      </c>
      <c r="V57" s="57" t="s">
        <v>81</v>
      </c>
      <c r="W57" s="57" t="s">
        <v>81</v>
      </c>
      <c r="X57" s="57"/>
      <c r="Y57" s="57" t="s">
        <v>168</v>
      </c>
      <c r="Z57" s="58">
        <v>46087</v>
      </c>
      <c r="AA57" s="57">
        <v>95592</v>
      </c>
      <c r="AB57" s="57"/>
      <c r="AC57" s="57">
        <v>111</v>
      </c>
      <c r="AD57" s="59">
        <v>68679</v>
      </c>
      <c r="AE57" s="61">
        <v>46083.6875</v>
      </c>
      <c r="AF57" s="59">
        <v>69586</v>
      </c>
      <c r="AG57" s="61">
        <v>46087.388888888891</v>
      </c>
      <c r="AH57" s="59">
        <f t="shared" si="277"/>
        <v>907</v>
      </c>
      <c r="AI57" s="57">
        <v>3</v>
      </c>
      <c r="AJ57" s="57">
        <f t="shared" ref="AJ57" si="310">+AI57*5</f>
        <v>15</v>
      </c>
      <c r="AK57" s="57">
        <f t="shared" ref="AK57" si="311">+Q57-AJ57</f>
        <v>-4</v>
      </c>
      <c r="AM57" s="43">
        <f t="shared" ref="AM57" si="312">+AH57/Q57</f>
        <v>82.454545454545453</v>
      </c>
      <c r="AN57" s="43">
        <f t="shared" ref="AN57" si="313">+Q57/AI57</f>
        <v>3.6666666666666665</v>
      </c>
      <c r="AQ57" s="34">
        <f t="shared" ref="AQ57" si="314">+N57/78.54</f>
        <v>75.127323656735413</v>
      </c>
      <c r="AR57" s="34">
        <f t="shared" ref="AR57" si="315">+AH57/11</f>
        <v>82.454545454545453</v>
      </c>
      <c r="AS57" s="34">
        <f t="shared" ref="AS57" si="316">+AR57-AQ57</f>
        <v>7.32722179781004</v>
      </c>
      <c r="AT57" s="34">
        <f t="shared" ref="AT57" si="317">+AH57/AQ57</f>
        <v>12.072837895093638</v>
      </c>
    </row>
    <row r="58" spans="1:46" s="11" customFormat="1" x14ac:dyDescent="0.25">
      <c r="A58" s="56">
        <v>57</v>
      </c>
      <c r="B58" s="57" t="s">
        <v>0</v>
      </c>
      <c r="C58" s="57">
        <v>3007</v>
      </c>
      <c r="D58" s="57">
        <v>4</v>
      </c>
      <c r="E58" s="57" t="s">
        <v>154</v>
      </c>
      <c r="F58" s="58">
        <v>46083</v>
      </c>
      <c r="G58" s="58">
        <v>46086</v>
      </c>
      <c r="H58" s="59">
        <v>5000</v>
      </c>
      <c r="I58" s="57">
        <v>20</v>
      </c>
      <c r="J58" s="57" t="s">
        <v>155</v>
      </c>
      <c r="K58" s="57" t="s">
        <v>3</v>
      </c>
      <c r="L58" s="57"/>
      <c r="M58" s="60">
        <f t="shared" si="276"/>
        <v>369.30000000000018</v>
      </c>
      <c r="N58" s="60">
        <f>2530+2839.3</f>
        <v>5369.3</v>
      </c>
      <c r="O58" s="59">
        <f>6+11</f>
        <v>17</v>
      </c>
      <c r="P58" s="59">
        <v>14</v>
      </c>
      <c r="Q58" s="59">
        <f t="shared" ref="Q58" si="318">+P58+O58</f>
        <v>31</v>
      </c>
      <c r="R58" s="60">
        <f t="shared" ref="R58" si="319">(N58/Q58)</f>
        <v>173.20322580645163</v>
      </c>
      <c r="S58" s="60">
        <f>(('Costo por negocio'!$B$3-DATA!R58)*DATA!O58)+('Costo por negocio'!$C$3-DATA!R58)*DATA!P58</f>
        <v>4468.7</v>
      </c>
      <c r="T58" s="58">
        <v>46087</v>
      </c>
      <c r="U58" s="57" t="s">
        <v>81</v>
      </c>
      <c r="V58" s="57" t="s">
        <v>81</v>
      </c>
      <c r="W58" s="57" t="s">
        <v>81</v>
      </c>
      <c r="X58" s="57"/>
      <c r="Y58" s="57" t="s">
        <v>167</v>
      </c>
      <c r="Z58" s="58">
        <v>46087</v>
      </c>
      <c r="AA58" s="57">
        <v>95593</v>
      </c>
      <c r="AB58" s="57"/>
      <c r="AC58" s="57">
        <v>148</v>
      </c>
      <c r="AD58" s="59">
        <v>7321</v>
      </c>
      <c r="AE58" s="61">
        <v>46083.375</v>
      </c>
      <c r="AF58" s="59">
        <v>8276</v>
      </c>
      <c r="AG58" s="61">
        <v>46087.392361111109</v>
      </c>
      <c r="AH58" s="59">
        <f t="shared" si="277"/>
        <v>955</v>
      </c>
      <c r="AI58" s="57">
        <v>3</v>
      </c>
      <c r="AJ58" s="57">
        <f t="shared" ref="AJ58" si="320">+AI58*5</f>
        <v>15</v>
      </c>
      <c r="AK58" s="57">
        <f t="shared" ref="AK58" si="321">+Q58-AJ58</f>
        <v>16</v>
      </c>
      <c r="AM58" s="43">
        <f t="shared" ref="AM58" si="322">+AH58/Q58</f>
        <v>30.806451612903224</v>
      </c>
      <c r="AN58" s="43">
        <f t="shared" ref="AN58" si="323">+Q58/AI58</f>
        <v>10.333333333333334</v>
      </c>
      <c r="AQ58" s="34">
        <f t="shared" ref="AQ58" si="324">+N58/78.54</f>
        <v>68.363891010949828</v>
      </c>
      <c r="AR58" s="34">
        <f t="shared" ref="AR58" si="325">+AH58/11</f>
        <v>86.818181818181813</v>
      </c>
      <c r="AS58" s="34">
        <f t="shared" ref="AS58" si="326">+AR58-AQ58</f>
        <v>18.454290807231985</v>
      </c>
      <c r="AT58" s="34">
        <f t="shared" ref="AT58" si="327">+AH58/AQ58</f>
        <v>13.969362859218149</v>
      </c>
    </row>
    <row r="59" spans="1:46" s="11" customFormat="1" x14ac:dyDescent="0.25">
      <c r="A59" s="56">
        <v>58</v>
      </c>
      <c r="B59" s="57" t="s">
        <v>66</v>
      </c>
      <c r="C59" s="57">
        <v>3075</v>
      </c>
      <c r="D59" s="57">
        <v>3</v>
      </c>
      <c r="E59" s="57" t="s">
        <v>152</v>
      </c>
      <c r="F59" s="58">
        <v>46084</v>
      </c>
      <c r="G59" s="58">
        <v>46086</v>
      </c>
      <c r="H59" s="59">
        <v>8000</v>
      </c>
      <c r="I59" s="57">
        <v>15</v>
      </c>
      <c r="J59" s="57" t="s">
        <v>156</v>
      </c>
      <c r="K59" s="57" t="s">
        <v>3</v>
      </c>
      <c r="L59" s="57"/>
      <c r="M59" s="60">
        <f t="shared" si="276"/>
        <v>-3570.2</v>
      </c>
      <c r="N59" s="60">
        <f>2400+2029.8</f>
        <v>4429.8</v>
      </c>
      <c r="O59" s="59"/>
      <c r="P59" s="59">
        <v>20</v>
      </c>
      <c r="Q59" s="59">
        <f t="shared" ref="Q59:Q60" si="328">+P59+O59</f>
        <v>20</v>
      </c>
      <c r="R59" s="60">
        <f t="shared" ref="R59:R60" si="329">(N59/Q59)</f>
        <v>221.49</v>
      </c>
      <c r="S59" s="60">
        <f>(('Costo por negocio'!$B$3-DATA!R59)*DATA!O59)+('Costo por negocio'!$C$3-DATA!R59)*DATA!P59</f>
        <v>3310.2</v>
      </c>
      <c r="T59" s="58">
        <v>46087</v>
      </c>
      <c r="U59" s="57" t="s">
        <v>81</v>
      </c>
      <c r="V59" s="57" t="s">
        <v>81</v>
      </c>
      <c r="W59" s="57" t="s">
        <v>81</v>
      </c>
      <c r="X59" s="57"/>
      <c r="Y59" s="57" t="s">
        <v>166</v>
      </c>
      <c r="Z59" s="58">
        <v>46087</v>
      </c>
      <c r="AA59" s="57">
        <v>95584</v>
      </c>
      <c r="AB59" s="57"/>
      <c r="AC59" s="57">
        <v>74</v>
      </c>
      <c r="AD59" s="59">
        <v>122452</v>
      </c>
      <c r="AE59" s="61">
        <v>46083.708333333336</v>
      </c>
      <c r="AF59" s="59">
        <v>123186</v>
      </c>
      <c r="AG59" s="61">
        <v>46086.385416666664</v>
      </c>
      <c r="AH59" s="59">
        <f t="shared" si="277"/>
        <v>734</v>
      </c>
      <c r="AI59" s="57">
        <v>2</v>
      </c>
      <c r="AJ59" s="57">
        <f t="shared" ref="AJ59:AJ60" si="330">+AI59*5</f>
        <v>10</v>
      </c>
      <c r="AK59" s="57">
        <f t="shared" ref="AK59:AK60" si="331">+Q59-AJ59</f>
        <v>10</v>
      </c>
      <c r="AM59" s="43">
        <f t="shared" ref="AM59" si="332">+AH59/Q59</f>
        <v>36.700000000000003</v>
      </c>
      <c r="AN59" s="43">
        <f t="shared" ref="AN59" si="333">+Q59/AI59</f>
        <v>10</v>
      </c>
      <c r="AQ59" s="34">
        <f t="shared" ref="AQ59" si="334">+N59/78.54</f>
        <v>56.401833460656988</v>
      </c>
      <c r="AR59" s="34">
        <f t="shared" ref="AR59" si="335">+AH59/11</f>
        <v>66.727272727272734</v>
      </c>
      <c r="AS59" s="34">
        <f t="shared" ref="AS59" si="336">+AR59-AQ59</f>
        <v>10.325439266615746</v>
      </c>
      <c r="AT59" s="34">
        <f t="shared" ref="AT59" si="337">+AH59/AQ59</f>
        <v>13.013761343627252</v>
      </c>
    </row>
    <row r="60" spans="1:46" s="11" customFormat="1" x14ac:dyDescent="0.25">
      <c r="A60" s="56">
        <v>59</v>
      </c>
      <c r="B60" s="57" t="s">
        <v>9</v>
      </c>
      <c r="C60" s="57">
        <v>1618</v>
      </c>
      <c r="D60" s="57">
        <v>3</v>
      </c>
      <c r="E60" s="57" t="s">
        <v>152</v>
      </c>
      <c r="F60" s="58">
        <v>46084</v>
      </c>
      <c r="G60" s="58">
        <v>46086</v>
      </c>
      <c r="H60" s="59">
        <v>4500</v>
      </c>
      <c r="I60" s="57">
        <v>15</v>
      </c>
      <c r="J60" s="57" t="s">
        <v>10</v>
      </c>
      <c r="K60" s="57" t="s">
        <v>3</v>
      </c>
      <c r="L60" s="57"/>
      <c r="M60" s="60">
        <f t="shared" si="276"/>
        <v>24.600000000000364</v>
      </c>
      <c r="N60" s="60">
        <f>1024.6+3500</f>
        <v>4524.6000000000004</v>
      </c>
      <c r="O60" s="59">
        <v>11</v>
      </c>
      <c r="P60" s="59"/>
      <c r="Q60" s="59">
        <f t="shared" si="328"/>
        <v>11</v>
      </c>
      <c r="R60" s="60">
        <f t="shared" si="329"/>
        <v>411.32727272727277</v>
      </c>
      <c r="S60" s="60">
        <f>(('Costo por negocio'!$B$3-DATA!R60)*DATA!O60)+('Costo por negocio'!$C$3-DATA!R60)*DATA!P60</f>
        <v>-1664.6000000000004</v>
      </c>
      <c r="T60" s="58">
        <v>46093</v>
      </c>
      <c r="U60" s="57" t="s">
        <v>81</v>
      </c>
      <c r="V60" s="57" t="s">
        <v>81</v>
      </c>
      <c r="W60" s="57" t="s">
        <v>81</v>
      </c>
      <c r="X60" s="57"/>
      <c r="Y60" s="57" t="s">
        <v>180</v>
      </c>
      <c r="Z60" s="58">
        <v>46094</v>
      </c>
      <c r="AA60" s="57">
        <v>93163</v>
      </c>
      <c r="AB60" s="57"/>
      <c r="AC60" s="57">
        <v>111</v>
      </c>
      <c r="AD60" s="59">
        <v>78212</v>
      </c>
      <c r="AE60" s="61">
        <v>46083.708333333336</v>
      </c>
      <c r="AF60" s="59">
        <v>79101</v>
      </c>
      <c r="AG60" s="61">
        <v>46087.708333333336</v>
      </c>
      <c r="AH60" s="59">
        <f t="shared" si="277"/>
        <v>889</v>
      </c>
      <c r="AI60" s="57">
        <v>3</v>
      </c>
      <c r="AJ60" s="57">
        <f t="shared" si="330"/>
        <v>15</v>
      </c>
      <c r="AK60" s="57">
        <f t="shared" si="331"/>
        <v>-4</v>
      </c>
      <c r="AM60" s="43">
        <f t="shared" ref="AM60" si="338">+AH60/Q60</f>
        <v>80.818181818181813</v>
      </c>
      <c r="AN60" s="43">
        <f t="shared" ref="AN60" si="339">+Q60/AI60</f>
        <v>3.6666666666666665</v>
      </c>
      <c r="AQ60" s="34">
        <f t="shared" ref="AQ60" si="340">+N60/78.54</f>
        <v>57.608861726508785</v>
      </c>
      <c r="AR60" s="34">
        <f t="shared" ref="AR60" si="341">+AH60/11</f>
        <v>80.818181818181813</v>
      </c>
      <c r="AS60" s="34">
        <f t="shared" ref="AS60" si="342">+AR60-AQ60</f>
        <v>23.209320091673028</v>
      </c>
      <c r="AT60" s="34">
        <f t="shared" ref="AT60" si="343">+AH60/AQ60</f>
        <v>15.431653626839942</v>
      </c>
    </row>
    <row r="61" spans="1:46" s="11" customFormat="1" x14ac:dyDescent="0.25">
      <c r="A61" s="28">
        <v>60</v>
      </c>
      <c r="B61" s="29" t="s">
        <v>101</v>
      </c>
      <c r="C61" s="29">
        <v>3152</v>
      </c>
      <c r="D61" s="29">
        <v>2</v>
      </c>
      <c r="E61" s="29" t="s">
        <v>159</v>
      </c>
      <c r="F61" s="30">
        <v>46078</v>
      </c>
      <c r="G61" s="30">
        <v>46079</v>
      </c>
      <c r="H61" s="31"/>
      <c r="I61" s="29">
        <v>10</v>
      </c>
      <c r="J61" s="29" t="s">
        <v>78</v>
      </c>
      <c r="K61" s="29" t="s">
        <v>3</v>
      </c>
      <c r="L61" s="29"/>
      <c r="M61" s="32">
        <f t="shared" ref="M61:M68" si="344">+N61-H61</f>
        <v>1578</v>
      </c>
      <c r="N61" s="32">
        <v>1578</v>
      </c>
      <c r="O61" s="31">
        <v>6</v>
      </c>
      <c r="P61" s="31"/>
      <c r="Q61" s="31">
        <f t="shared" ref="Q61" si="345">+P61+O61</f>
        <v>6</v>
      </c>
      <c r="R61" s="32">
        <f t="shared" ref="R61" si="346">(N61/Q61)</f>
        <v>263</v>
      </c>
      <c r="S61" s="32">
        <f>(('Costo por negocio'!$B$2-DATA!R61)*DATA!O61)+('Costo por negocio'!$C$2-DATA!R61)*DATA!P61</f>
        <v>0</v>
      </c>
      <c r="T61" s="30">
        <v>46083</v>
      </c>
      <c r="U61" s="29" t="s">
        <v>81</v>
      </c>
      <c r="V61" s="29" t="s">
        <v>81</v>
      </c>
      <c r="W61" s="29" t="s">
        <v>81</v>
      </c>
      <c r="X61" s="29"/>
      <c r="Y61" s="29" t="s">
        <v>160</v>
      </c>
      <c r="Z61" s="29"/>
      <c r="AA61" s="29">
        <v>87972</v>
      </c>
      <c r="AB61" s="29"/>
      <c r="AC61" s="29">
        <v>83</v>
      </c>
      <c r="AD61" s="31">
        <v>86505</v>
      </c>
      <c r="AE61" s="33">
        <v>46077.773611111108</v>
      </c>
      <c r="AF61" s="31">
        <v>86931</v>
      </c>
      <c r="AG61" s="33">
        <v>46078.743750000001</v>
      </c>
      <c r="AH61" s="31">
        <f>+AF61-AD61</f>
        <v>426</v>
      </c>
      <c r="AI61" s="29">
        <v>2</v>
      </c>
      <c r="AJ61" s="29">
        <f t="shared" ref="AJ61" si="347">+AI61*5</f>
        <v>10</v>
      </c>
      <c r="AK61" s="29">
        <f t="shared" ref="AK61" si="348">+Q61-AJ61</f>
        <v>-4</v>
      </c>
      <c r="AM61" s="43">
        <f t="shared" ref="AM61" si="349">+AH61/Q61</f>
        <v>71</v>
      </c>
      <c r="AN61" s="43">
        <f t="shared" ref="AN61" si="350">+Q61/AI61</f>
        <v>3</v>
      </c>
      <c r="AQ61" s="34">
        <f t="shared" ref="AQ61" si="351">+N61/78.54</f>
        <v>20.091673032849503</v>
      </c>
      <c r="AR61" s="34">
        <f t="shared" ref="AR61" si="352">+AH61/11</f>
        <v>38.727272727272727</v>
      </c>
      <c r="AS61" s="34">
        <f t="shared" ref="AS61" si="353">+AR61-AQ61</f>
        <v>18.635599694423224</v>
      </c>
      <c r="AT61" s="34">
        <f t="shared" ref="AT61" si="354">+AH61/AQ61</f>
        <v>21.202813688212927</v>
      </c>
    </row>
    <row r="62" spans="1:46" s="11" customFormat="1" x14ac:dyDescent="0.25">
      <c r="A62" s="56">
        <v>61</v>
      </c>
      <c r="B62" s="57" t="s">
        <v>66</v>
      </c>
      <c r="C62" s="57">
        <v>3075</v>
      </c>
      <c r="D62" s="57">
        <v>10</v>
      </c>
      <c r="E62" s="57" t="s">
        <v>139</v>
      </c>
      <c r="F62" s="58">
        <v>46065</v>
      </c>
      <c r="G62" s="58">
        <v>46081</v>
      </c>
      <c r="H62" s="59"/>
      <c r="I62" s="57"/>
      <c r="J62" s="57" t="s">
        <v>86</v>
      </c>
      <c r="K62" s="57" t="s">
        <v>87</v>
      </c>
      <c r="L62" s="57"/>
      <c r="M62" s="60">
        <f t="shared" si="344"/>
        <v>3000</v>
      </c>
      <c r="N62" s="60">
        <f>2000+1000</f>
        <v>3000</v>
      </c>
      <c r="O62" s="59">
        <f>11+2</f>
        <v>13</v>
      </c>
      <c r="P62" s="59"/>
      <c r="Q62" s="59">
        <f t="shared" ref="Q62" si="355">+P62+O62</f>
        <v>13</v>
      </c>
      <c r="R62" s="60">
        <f t="shared" ref="R62" si="356">(N62/Q62)</f>
        <v>230.76923076923077</v>
      </c>
      <c r="S62" s="60">
        <f>(('Costo por negocio'!$B$2-DATA!R62)*DATA!O62)+('Costo por negocio'!$C$2-DATA!R62)*DATA!P62</f>
        <v>418.99999999999994</v>
      </c>
      <c r="T62" s="58">
        <v>46083</v>
      </c>
      <c r="U62" s="57" t="s">
        <v>81</v>
      </c>
      <c r="V62" s="57" t="s">
        <v>81</v>
      </c>
      <c r="W62" s="57" t="s">
        <v>81</v>
      </c>
      <c r="X62" s="57"/>
      <c r="Y62" s="57" t="s">
        <v>121</v>
      </c>
      <c r="Z62" s="58">
        <v>46084</v>
      </c>
      <c r="AA62" s="57"/>
      <c r="AB62" s="57"/>
      <c r="AC62" s="57"/>
      <c r="AD62" s="59"/>
      <c r="AE62" s="61"/>
      <c r="AF62" s="59"/>
      <c r="AG62" s="61"/>
      <c r="AH62" s="59"/>
      <c r="AI62" s="57"/>
      <c r="AJ62" s="57"/>
      <c r="AK62" s="57"/>
      <c r="AM62" s="43"/>
      <c r="AN62" s="43"/>
      <c r="AQ62" s="34"/>
      <c r="AR62" s="34"/>
      <c r="AS62" s="34"/>
      <c r="AT62" s="34"/>
    </row>
    <row r="63" spans="1:46" s="11" customFormat="1" x14ac:dyDescent="0.25">
      <c r="A63" s="56">
        <v>62</v>
      </c>
      <c r="B63" s="57" t="s">
        <v>101</v>
      </c>
      <c r="C63" s="57">
        <v>3152</v>
      </c>
      <c r="D63" s="57">
        <v>10</v>
      </c>
      <c r="E63" s="57" t="s">
        <v>139</v>
      </c>
      <c r="F63" s="58">
        <v>46065</v>
      </c>
      <c r="G63" s="58">
        <v>46081</v>
      </c>
      <c r="H63" s="59"/>
      <c r="I63" s="57"/>
      <c r="J63" s="57" t="s">
        <v>78</v>
      </c>
      <c r="K63" s="57" t="s">
        <v>87</v>
      </c>
      <c r="L63" s="57"/>
      <c r="M63" s="60">
        <f t="shared" si="344"/>
        <v>2883</v>
      </c>
      <c r="N63" s="60">
        <f>1052+779+1052</f>
        <v>2883</v>
      </c>
      <c r="O63" s="59">
        <v>11</v>
      </c>
      <c r="P63" s="59"/>
      <c r="Q63" s="59">
        <f t="shared" ref="Q63" si="357">+P63+O63</f>
        <v>11</v>
      </c>
      <c r="R63" s="60">
        <f t="shared" ref="R63" si="358">(N63/Q63)</f>
        <v>262.09090909090907</v>
      </c>
      <c r="S63" s="60">
        <f>(('Costo por negocio'!$B$2-DATA!R63)*DATA!O63)+('Costo por negocio'!$C$2-DATA!R63)*DATA!P63</f>
        <v>10.000000000000284</v>
      </c>
      <c r="T63" s="58">
        <v>46083</v>
      </c>
      <c r="U63" s="57" t="s">
        <v>81</v>
      </c>
      <c r="V63" s="57" t="s">
        <v>81</v>
      </c>
      <c r="W63" s="57" t="s">
        <v>81</v>
      </c>
      <c r="X63" s="57"/>
      <c r="Y63" s="57" t="s">
        <v>102</v>
      </c>
      <c r="Z63" s="58">
        <v>46084</v>
      </c>
      <c r="AA63" s="57"/>
      <c r="AB63" s="57"/>
      <c r="AC63" s="57"/>
      <c r="AD63" s="59"/>
      <c r="AE63" s="61"/>
      <c r="AF63" s="59"/>
      <c r="AG63" s="61"/>
      <c r="AH63" s="59"/>
      <c r="AI63" s="57"/>
      <c r="AJ63" s="57"/>
      <c r="AK63" s="57"/>
      <c r="AM63" s="43"/>
      <c r="AN63" s="43"/>
      <c r="AQ63" s="34"/>
      <c r="AR63" s="34"/>
      <c r="AS63" s="34"/>
      <c r="AT63" s="34"/>
    </row>
    <row r="64" spans="1:46" s="11" customFormat="1" x14ac:dyDescent="0.25">
      <c r="A64" s="56">
        <v>63</v>
      </c>
      <c r="B64" s="57" t="s">
        <v>103</v>
      </c>
      <c r="C64" s="57">
        <v>3065</v>
      </c>
      <c r="D64" s="57">
        <v>10</v>
      </c>
      <c r="E64" s="57" t="s">
        <v>139</v>
      </c>
      <c r="F64" s="58">
        <v>46065</v>
      </c>
      <c r="G64" s="58">
        <v>46081</v>
      </c>
      <c r="H64" s="59"/>
      <c r="I64" s="57"/>
      <c r="J64" s="57" t="s">
        <v>86</v>
      </c>
      <c r="K64" s="57" t="s">
        <v>87</v>
      </c>
      <c r="L64" s="57"/>
      <c r="M64" s="60">
        <f t="shared" si="344"/>
        <v>6244</v>
      </c>
      <c r="N64" s="60">
        <f>2613.6+2630+1000.4</f>
        <v>6244</v>
      </c>
      <c r="O64" s="59">
        <f>20+20+3</f>
        <v>43</v>
      </c>
      <c r="P64" s="59"/>
      <c r="Q64" s="59">
        <f t="shared" ref="Q64" si="359">+P64+O64</f>
        <v>43</v>
      </c>
      <c r="R64" s="60">
        <f t="shared" ref="R64" si="360">(N64/Q64)</f>
        <v>145.2093023255814</v>
      </c>
      <c r="S64" s="60">
        <f>(('Costo por negocio'!$B$2-DATA!R64)*DATA!O64)+('Costo por negocio'!$C$2-DATA!R64)*DATA!P64</f>
        <v>5065</v>
      </c>
      <c r="T64" s="58">
        <v>46083</v>
      </c>
      <c r="U64" s="57" t="s">
        <v>81</v>
      </c>
      <c r="V64" s="57" t="s">
        <v>81</v>
      </c>
      <c r="W64" s="57" t="s">
        <v>81</v>
      </c>
      <c r="X64" s="57"/>
      <c r="Y64" s="57" t="s">
        <v>105</v>
      </c>
      <c r="Z64" s="58">
        <v>46084</v>
      </c>
      <c r="AA64" s="57"/>
      <c r="AB64" s="57"/>
      <c r="AC64" s="57"/>
      <c r="AD64" s="59"/>
      <c r="AE64" s="61"/>
      <c r="AF64" s="59"/>
      <c r="AG64" s="61"/>
      <c r="AH64" s="59"/>
      <c r="AI64" s="57"/>
      <c r="AJ64" s="57"/>
      <c r="AK64" s="57"/>
      <c r="AM64" s="43"/>
      <c r="AN64" s="43"/>
      <c r="AQ64" s="34"/>
      <c r="AR64" s="34"/>
      <c r="AS64" s="34"/>
      <c r="AT64" s="34"/>
    </row>
    <row r="65" spans="1:51" s="11" customFormat="1" x14ac:dyDescent="0.25">
      <c r="A65" s="56">
        <v>64</v>
      </c>
      <c r="B65" s="57" t="s">
        <v>98</v>
      </c>
      <c r="C65" s="57">
        <v>1332</v>
      </c>
      <c r="D65" s="57">
        <v>10</v>
      </c>
      <c r="E65" s="57" t="s">
        <v>139</v>
      </c>
      <c r="F65" s="58">
        <v>46065</v>
      </c>
      <c r="G65" s="58">
        <v>46081</v>
      </c>
      <c r="H65" s="59"/>
      <c r="I65" s="57"/>
      <c r="J65" s="57" t="s">
        <v>99</v>
      </c>
      <c r="K65" s="57" t="s">
        <v>87</v>
      </c>
      <c r="L65" s="57"/>
      <c r="M65" s="60">
        <f t="shared" si="344"/>
        <v>3750</v>
      </c>
      <c r="N65" s="60">
        <f>1900+1850</f>
        <v>3750</v>
      </c>
      <c r="O65" s="59">
        <v>4</v>
      </c>
      <c r="P65" s="59">
        <v>7</v>
      </c>
      <c r="Q65" s="59">
        <f t="shared" ref="Q65:Q66" si="361">+P65+O65</f>
        <v>11</v>
      </c>
      <c r="R65" s="60">
        <f t="shared" ref="R65:R66" si="362">(N65/Q65)</f>
        <v>340.90909090909093</v>
      </c>
      <c r="S65" s="60">
        <f>(('Costo por negocio'!$B$2-DATA!R65)*DATA!O65)+('Costo por negocio'!$C$2-DATA!R65)*DATA!P65</f>
        <v>45.999999999999716</v>
      </c>
      <c r="T65" s="58">
        <v>46083</v>
      </c>
      <c r="U65" s="57" t="s">
        <v>81</v>
      </c>
      <c r="V65" s="57" t="s">
        <v>81</v>
      </c>
      <c r="W65" s="57" t="s">
        <v>81</v>
      </c>
      <c r="X65" s="57"/>
      <c r="Y65" s="57" t="s">
        <v>100</v>
      </c>
      <c r="Z65" s="58">
        <v>46084</v>
      </c>
      <c r="AA65" s="57"/>
      <c r="AB65" s="57"/>
      <c r="AC65" s="57"/>
      <c r="AD65" s="59"/>
      <c r="AE65" s="61"/>
      <c r="AF65" s="59"/>
      <c r="AG65" s="61"/>
      <c r="AH65" s="59"/>
      <c r="AI65" s="57"/>
      <c r="AJ65" s="57"/>
      <c r="AK65" s="57"/>
      <c r="AM65" s="43"/>
      <c r="AN65" s="43"/>
      <c r="AQ65" s="34"/>
      <c r="AR65" s="34"/>
      <c r="AS65" s="34"/>
      <c r="AT65" s="34"/>
    </row>
    <row r="66" spans="1:51" s="11" customFormat="1" x14ac:dyDescent="0.25">
      <c r="A66" s="56">
        <v>65</v>
      </c>
      <c r="B66" s="57" t="s">
        <v>4</v>
      </c>
      <c r="C66" s="57">
        <v>2005</v>
      </c>
      <c r="D66" s="57">
        <v>3</v>
      </c>
      <c r="E66" s="57" t="s">
        <v>162</v>
      </c>
      <c r="F66" s="58">
        <v>46091</v>
      </c>
      <c r="G66" s="58">
        <v>46093</v>
      </c>
      <c r="H66" s="59">
        <f>20*260</f>
        <v>5200</v>
      </c>
      <c r="I66" s="57">
        <v>15</v>
      </c>
      <c r="J66" s="57" t="s">
        <v>86</v>
      </c>
      <c r="K66" s="57" t="s">
        <v>3</v>
      </c>
      <c r="L66" s="57"/>
      <c r="M66" s="60">
        <f>+N66-H66</f>
        <v>-1312.4</v>
      </c>
      <c r="N66" s="60">
        <f>2286.2+1601.4</f>
        <v>3887.6</v>
      </c>
      <c r="O66" s="59">
        <f>20+5</f>
        <v>25</v>
      </c>
      <c r="P66" s="59"/>
      <c r="Q66" s="59">
        <f t="shared" si="361"/>
        <v>25</v>
      </c>
      <c r="R66" s="60">
        <f t="shared" si="362"/>
        <v>155.50399999999999</v>
      </c>
      <c r="S66" s="60">
        <f>(('Costo por negocio'!$B$3-DATA!R66)*DATA!O66)+('Costo por negocio'!$C$3-DATA!R66)*DATA!P66</f>
        <v>2612.4</v>
      </c>
      <c r="T66" s="58">
        <v>46098</v>
      </c>
      <c r="U66" s="57" t="s">
        <v>81</v>
      </c>
      <c r="V66" s="57" t="s">
        <v>81</v>
      </c>
      <c r="W66" s="57" t="s">
        <v>81</v>
      </c>
      <c r="X66" s="57"/>
      <c r="Y66" s="57" t="s">
        <v>185</v>
      </c>
      <c r="Z66" s="58">
        <v>46098</v>
      </c>
      <c r="AA66" s="57">
        <v>96642</v>
      </c>
      <c r="AB66" s="57"/>
      <c r="AC66" s="57">
        <v>111</v>
      </c>
      <c r="AD66" s="59">
        <v>40038</v>
      </c>
      <c r="AE66" s="61">
        <v>46090.729166666664</v>
      </c>
      <c r="AF66" s="59">
        <v>40728</v>
      </c>
      <c r="AG66" s="61">
        <v>46094.381944444445</v>
      </c>
      <c r="AH66" s="59">
        <f t="shared" ref="AH66:AH72" si="363">+AF66-AD66</f>
        <v>690</v>
      </c>
      <c r="AI66" s="57">
        <v>3</v>
      </c>
      <c r="AJ66" s="57">
        <f t="shared" ref="AJ66" si="364">+AI66*5</f>
        <v>15</v>
      </c>
      <c r="AK66" s="57">
        <f t="shared" ref="AK66" si="365">+Q66-AJ66</f>
        <v>10</v>
      </c>
      <c r="AM66" s="43">
        <f t="shared" ref="AM66" si="366">+AH66/Q66</f>
        <v>27.6</v>
      </c>
      <c r="AN66" s="43">
        <f t="shared" ref="AN66" si="367">+Q66/AI66</f>
        <v>8.3333333333333339</v>
      </c>
      <c r="AQ66" s="34">
        <f t="shared" ref="AQ66" si="368">+N66/78.54</f>
        <v>49.498344792462433</v>
      </c>
      <c r="AR66" s="34">
        <f t="shared" ref="AR66" si="369">+AH66/11</f>
        <v>62.727272727272727</v>
      </c>
      <c r="AS66" s="34">
        <f t="shared" ref="AS66" si="370">+AR66-AQ66</f>
        <v>13.228927934810294</v>
      </c>
      <c r="AT66" s="34">
        <f t="shared" ref="AT66" si="371">+AH66/AQ66</f>
        <v>13.939860067908223</v>
      </c>
    </row>
    <row r="67" spans="1:51" s="11" customFormat="1" x14ac:dyDescent="0.25">
      <c r="A67" s="56">
        <v>66</v>
      </c>
      <c r="B67" s="57" t="s">
        <v>11</v>
      </c>
      <c r="C67" s="57">
        <v>1512</v>
      </c>
      <c r="D67" s="57">
        <v>3</v>
      </c>
      <c r="E67" s="57" t="s">
        <v>162</v>
      </c>
      <c r="F67" s="58">
        <v>46091</v>
      </c>
      <c r="G67" s="58">
        <v>46093</v>
      </c>
      <c r="H67" s="59">
        <v>4500</v>
      </c>
      <c r="I67" s="57">
        <v>15</v>
      </c>
      <c r="J67" s="57" t="s">
        <v>163</v>
      </c>
      <c r="K67" s="57" t="s">
        <v>3</v>
      </c>
      <c r="L67" s="57"/>
      <c r="M67" s="60">
        <f t="shared" si="344"/>
        <v>-699.5</v>
      </c>
      <c r="N67" s="60">
        <f>1700.4+2100.1</f>
        <v>3800.5</v>
      </c>
      <c r="O67" s="59"/>
      <c r="P67" s="59">
        <v>9</v>
      </c>
      <c r="Q67" s="59">
        <f t="shared" ref="Q67" si="372">+P67+O67</f>
        <v>9</v>
      </c>
      <c r="R67" s="60">
        <f t="shared" ref="R67" si="373">(N67/Q67)</f>
        <v>422.27777777777777</v>
      </c>
      <c r="S67" s="60">
        <f>(('Costo por negocio'!$B$3-DATA!R67)*DATA!O67)+('Costo por negocio'!$C$3-DATA!R67)*DATA!P67</f>
        <v>-317.49999999999994</v>
      </c>
      <c r="T67" s="58">
        <v>46093</v>
      </c>
      <c r="U67" s="57" t="s">
        <v>81</v>
      </c>
      <c r="V67" s="57" t="s">
        <v>81</v>
      </c>
      <c r="W67" s="57" t="s">
        <v>81</v>
      </c>
      <c r="X67" s="57"/>
      <c r="Y67" s="57" t="s">
        <v>182</v>
      </c>
      <c r="Z67" s="58">
        <v>46094</v>
      </c>
      <c r="AA67" s="57">
        <v>96640</v>
      </c>
      <c r="AB67" s="57"/>
      <c r="AC67" s="57">
        <v>111</v>
      </c>
      <c r="AD67" s="59">
        <v>88518</v>
      </c>
      <c r="AE67" s="61">
        <v>46090.708333333336</v>
      </c>
      <c r="AF67" s="59">
        <v>89125</v>
      </c>
      <c r="AG67" s="61">
        <v>46094.381249999999</v>
      </c>
      <c r="AH67" s="59">
        <f t="shared" si="363"/>
        <v>607</v>
      </c>
      <c r="AI67" s="57">
        <v>3</v>
      </c>
      <c r="AJ67" s="57">
        <f t="shared" ref="AJ67" si="374">+AI67*5</f>
        <v>15</v>
      </c>
      <c r="AK67" s="57">
        <f t="shared" ref="AK67" si="375">+Q67-AJ67</f>
        <v>-6</v>
      </c>
      <c r="AM67" s="43">
        <f t="shared" ref="AM67" si="376">+AH67/Q67</f>
        <v>67.444444444444443</v>
      </c>
      <c r="AN67" s="43">
        <f t="shared" ref="AN67" si="377">+Q67/AI67</f>
        <v>3</v>
      </c>
      <c r="AQ67" s="34">
        <f t="shared" ref="AQ67" si="378">+N67/78.54</f>
        <v>48.389355742296914</v>
      </c>
      <c r="AR67" s="34">
        <f t="shared" ref="AR67" si="379">+AH67/11</f>
        <v>55.18181818181818</v>
      </c>
      <c r="AS67" s="34">
        <f t="shared" ref="AS67" si="380">+AR67-AQ67</f>
        <v>6.792462439521266</v>
      </c>
      <c r="AT67" s="34">
        <f t="shared" ref="AT67" si="381">+AH67/AQ67</f>
        <v>12.544081041968163</v>
      </c>
    </row>
    <row r="68" spans="1:51" s="11" customFormat="1" x14ac:dyDescent="0.25">
      <c r="A68" s="56">
        <v>67</v>
      </c>
      <c r="B68" s="57" t="s">
        <v>7</v>
      </c>
      <c r="C68" s="57">
        <v>3154</v>
      </c>
      <c r="D68" s="57">
        <v>3</v>
      </c>
      <c r="E68" s="57" t="s">
        <v>162</v>
      </c>
      <c r="F68" s="58">
        <v>46091</v>
      </c>
      <c r="G68" s="58">
        <v>46093</v>
      </c>
      <c r="H68" s="59">
        <v>5000</v>
      </c>
      <c r="I68" s="57">
        <v>15</v>
      </c>
      <c r="J68" s="57" t="s">
        <v>86</v>
      </c>
      <c r="K68" s="57" t="s">
        <v>3</v>
      </c>
      <c r="L68" s="57"/>
      <c r="M68" s="60">
        <f t="shared" si="344"/>
        <v>-2479</v>
      </c>
      <c r="N68" s="60">
        <v>2521</v>
      </c>
      <c r="O68" s="59">
        <f>7+6</f>
        <v>13</v>
      </c>
      <c r="P68" s="59"/>
      <c r="Q68" s="59">
        <f t="shared" ref="Q68" si="382">+P68+O68</f>
        <v>13</v>
      </c>
      <c r="R68" s="60">
        <f t="shared" ref="R68" si="383">(N68/Q68)</f>
        <v>193.92307692307693</v>
      </c>
      <c r="S68" s="60">
        <f>(('Costo por negocio'!$B$3-DATA!R68)*DATA!O68)+('Costo por negocio'!$C$3-DATA!R68)*DATA!P68</f>
        <v>858.99999999999989</v>
      </c>
      <c r="T68" s="58">
        <v>46093</v>
      </c>
      <c r="U68" s="57" t="s">
        <v>81</v>
      </c>
      <c r="V68" s="57" t="s">
        <v>81</v>
      </c>
      <c r="W68" s="57" t="s">
        <v>81</v>
      </c>
      <c r="X68" s="57"/>
      <c r="Y68" s="57" t="s">
        <v>183</v>
      </c>
      <c r="Z68" s="58">
        <v>46094</v>
      </c>
      <c r="AA68" s="57">
        <v>96641</v>
      </c>
      <c r="AB68" s="57"/>
      <c r="AC68" s="57">
        <v>111</v>
      </c>
      <c r="AD68" s="59">
        <v>73410</v>
      </c>
      <c r="AE68" s="61">
        <v>46091.4375</v>
      </c>
      <c r="AF68" s="59">
        <v>74034</v>
      </c>
      <c r="AG68" s="61">
        <v>46094.378472222219</v>
      </c>
      <c r="AH68" s="59">
        <f t="shared" si="363"/>
        <v>624</v>
      </c>
      <c r="AI68" s="57">
        <v>3</v>
      </c>
      <c r="AJ68" s="57">
        <f t="shared" ref="AJ68" si="384">+AI68*5</f>
        <v>15</v>
      </c>
      <c r="AK68" s="57">
        <f t="shared" ref="AK68" si="385">+Q68-AJ68</f>
        <v>-2</v>
      </c>
      <c r="AM68" s="43">
        <f t="shared" ref="AM68" si="386">+AH68/Q68</f>
        <v>48</v>
      </c>
      <c r="AN68" s="43">
        <f t="shared" ref="AN68" si="387">+Q68/AI68</f>
        <v>4.333333333333333</v>
      </c>
      <c r="AQ68" s="34">
        <f t="shared" ref="AQ68" si="388">+N68/78.54</f>
        <v>32.098293862999746</v>
      </c>
      <c r="AR68" s="34">
        <f t="shared" ref="AR68" si="389">+AH68/11</f>
        <v>56.727272727272727</v>
      </c>
      <c r="AS68" s="34">
        <f t="shared" ref="AS68" si="390">+AR68-AQ68</f>
        <v>24.62897886427298</v>
      </c>
      <c r="AT68" s="34">
        <f t="shared" ref="AT68" si="391">+AH68/AQ68</f>
        <v>19.440285600952002</v>
      </c>
    </row>
    <row r="69" spans="1:51" s="11" customFormat="1" x14ac:dyDescent="0.25">
      <c r="A69" s="56">
        <v>68</v>
      </c>
      <c r="B69" s="57" t="s">
        <v>66</v>
      </c>
      <c r="C69" s="57">
        <v>3075</v>
      </c>
      <c r="D69" s="57">
        <v>3</v>
      </c>
      <c r="E69" s="57" t="s">
        <v>162</v>
      </c>
      <c r="F69" s="58">
        <v>46091</v>
      </c>
      <c r="G69" s="58">
        <v>46093</v>
      </c>
      <c r="H69" s="59">
        <v>8000</v>
      </c>
      <c r="I69" s="57">
        <v>15</v>
      </c>
      <c r="J69" s="57" t="s">
        <v>147</v>
      </c>
      <c r="K69" s="57" t="s">
        <v>3</v>
      </c>
      <c r="L69" s="57"/>
      <c r="M69" s="60">
        <f t="shared" ref="M69:M71" si="392">+N69-H69</f>
        <v>-3228.8999999999996</v>
      </c>
      <c r="N69" s="60">
        <f>2671+2100.1</f>
        <v>4771.1000000000004</v>
      </c>
      <c r="O69" s="59"/>
      <c r="P69" s="59">
        <f>20+2</f>
        <v>22</v>
      </c>
      <c r="Q69" s="59">
        <f t="shared" ref="Q69:Q70" si="393">+P69+O69</f>
        <v>22</v>
      </c>
      <c r="R69" s="60">
        <f t="shared" ref="R69:R70" si="394">(N69/Q69)</f>
        <v>216.86818181818182</v>
      </c>
      <c r="S69" s="60">
        <f>(('Costo por negocio'!$B$3-DATA!R69)*DATA!O69)+('Costo por negocio'!$C$3-DATA!R69)*DATA!P69</f>
        <v>3742.8999999999996</v>
      </c>
      <c r="T69" s="58">
        <v>46093</v>
      </c>
      <c r="U69" s="57" t="s">
        <v>81</v>
      </c>
      <c r="V69" s="57" t="s">
        <v>81</v>
      </c>
      <c r="W69" s="57" t="s">
        <v>81</v>
      </c>
      <c r="X69" s="57"/>
      <c r="Y69" s="57" t="s">
        <v>181</v>
      </c>
      <c r="Z69" s="58">
        <v>46094</v>
      </c>
      <c r="AA69" s="57">
        <v>96631</v>
      </c>
      <c r="AB69" s="57"/>
      <c r="AC69" s="57">
        <v>111</v>
      </c>
      <c r="AD69" s="59">
        <v>91037</v>
      </c>
      <c r="AE69" s="61">
        <v>46090.666666666664</v>
      </c>
      <c r="AF69" s="59">
        <v>91822</v>
      </c>
      <c r="AG69" s="61">
        <v>46093.375</v>
      </c>
      <c r="AH69" s="59">
        <f t="shared" si="363"/>
        <v>785</v>
      </c>
      <c r="AI69" s="57">
        <v>2</v>
      </c>
      <c r="AJ69" s="57">
        <f t="shared" ref="AJ69" si="395">+AI69*5</f>
        <v>10</v>
      </c>
      <c r="AK69" s="57">
        <f t="shared" ref="AK69" si="396">+Q69-AJ69</f>
        <v>12</v>
      </c>
      <c r="AM69" s="43">
        <f t="shared" ref="AM69" si="397">+AH69/Q69</f>
        <v>35.68181818181818</v>
      </c>
      <c r="AN69" s="43">
        <f t="shared" ref="AN69" si="398">+Q69/AI69</f>
        <v>11</v>
      </c>
      <c r="AQ69" s="34">
        <f t="shared" ref="AQ69" si="399">+N69/78.54</f>
        <v>60.747389865036922</v>
      </c>
      <c r="AR69" s="34">
        <f t="shared" ref="AR69" si="400">+AH69/11</f>
        <v>71.36363636363636</v>
      </c>
      <c r="AS69" s="34">
        <f t="shared" ref="AS69" si="401">+AR69-AQ69</f>
        <v>10.616246498599438</v>
      </c>
      <c r="AT69" s="34">
        <f t="shared" ref="AT69" si="402">+AH69/AQ69</f>
        <v>12.922365911425038</v>
      </c>
    </row>
    <row r="70" spans="1:51" s="11" customFormat="1" x14ac:dyDescent="0.25">
      <c r="A70" s="56">
        <v>69</v>
      </c>
      <c r="B70" s="57" t="s">
        <v>9</v>
      </c>
      <c r="C70" s="57">
        <v>1618</v>
      </c>
      <c r="D70" s="57">
        <v>3</v>
      </c>
      <c r="E70" s="57" t="s">
        <v>162</v>
      </c>
      <c r="F70" s="58">
        <v>46091</v>
      </c>
      <c r="G70" s="58">
        <v>46093</v>
      </c>
      <c r="H70" s="59">
        <v>4500</v>
      </c>
      <c r="I70" s="57">
        <v>15</v>
      </c>
      <c r="J70" s="57" t="s">
        <v>164</v>
      </c>
      <c r="K70" s="57" t="s">
        <v>3</v>
      </c>
      <c r="L70" s="57"/>
      <c r="M70" s="60">
        <f t="shared" si="392"/>
        <v>-1149.1999999999998</v>
      </c>
      <c r="N70" s="60">
        <f>1960+1390.8</f>
        <v>3350.8</v>
      </c>
      <c r="O70" s="59">
        <v>8</v>
      </c>
      <c r="P70" s="59"/>
      <c r="Q70" s="59">
        <f t="shared" si="393"/>
        <v>8</v>
      </c>
      <c r="R70" s="60">
        <f t="shared" si="394"/>
        <v>418.85</v>
      </c>
      <c r="S70" s="60">
        <f>(('Costo por negocio'!$B$3-DATA!R70)*DATA!O70)+('Costo por negocio'!$C$3-DATA!R70)*DATA!P70</f>
        <v>-1270.8000000000002</v>
      </c>
      <c r="T70" s="58">
        <v>46101</v>
      </c>
      <c r="U70" s="57" t="s">
        <v>81</v>
      </c>
      <c r="V70" s="57" t="s">
        <v>81</v>
      </c>
      <c r="W70" s="57" t="s">
        <v>81</v>
      </c>
      <c r="X70" s="57"/>
      <c r="Y70" s="57" t="s">
        <v>191</v>
      </c>
      <c r="Z70" s="58">
        <v>46101</v>
      </c>
      <c r="AA70" s="57">
        <v>93180</v>
      </c>
      <c r="AB70" s="57"/>
      <c r="AC70" s="57">
        <v>111</v>
      </c>
      <c r="AD70" s="59">
        <v>58655</v>
      </c>
      <c r="AE70" s="61">
        <v>46090.708333333336</v>
      </c>
      <c r="AF70" s="59">
        <v>59463</v>
      </c>
      <c r="AG70" s="61">
        <v>46094.375</v>
      </c>
      <c r="AH70" s="59">
        <f t="shared" si="363"/>
        <v>808</v>
      </c>
      <c r="AI70" s="57">
        <v>2</v>
      </c>
      <c r="AJ70" s="57">
        <f t="shared" ref="AJ70" si="403">+AI70*5</f>
        <v>10</v>
      </c>
      <c r="AK70" s="57">
        <f t="shared" ref="AK70" si="404">+Q70-AJ70</f>
        <v>-2</v>
      </c>
      <c r="AM70" s="43">
        <f t="shared" ref="AM70" si="405">+AH70/Q70</f>
        <v>101</v>
      </c>
      <c r="AN70" s="43">
        <f t="shared" ref="AN70" si="406">+Q70/AI70</f>
        <v>4</v>
      </c>
      <c r="AQ70" s="34">
        <f t="shared" ref="AQ70" si="407">+N70/78.54</f>
        <v>42.663610898905013</v>
      </c>
      <c r="AR70" s="34">
        <f t="shared" ref="AR70" si="408">+AH70/11</f>
        <v>73.454545454545453</v>
      </c>
      <c r="AS70" s="34">
        <f t="shared" ref="AS70" si="409">+AR70-AQ70</f>
        <v>30.79093455564044</v>
      </c>
      <c r="AT70" s="34">
        <f t="shared" ref="AT70" si="410">+AH70/AQ70</f>
        <v>18.938856392503283</v>
      </c>
    </row>
    <row r="71" spans="1:51" s="11" customFormat="1" x14ac:dyDescent="0.25">
      <c r="A71" s="56">
        <v>70</v>
      </c>
      <c r="B71" s="57" t="s">
        <v>0</v>
      </c>
      <c r="C71" s="57">
        <v>3007</v>
      </c>
      <c r="D71" s="57">
        <v>4</v>
      </c>
      <c r="E71" s="57" t="s">
        <v>165</v>
      </c>
      <c r="F71" s="58">
        <v>46090</v>
      </c>
      <c r="G71" s="58">
        <v>46093</v>
      </c>
      <c r="H71" s="59">
        <v>3000</v>
      </c>
      <c r="I71" s="57">
        <v>20</v>
      </c>
      <c r="J71" s="57" t="s">
        <v>86</v>
      </c>
      <c r="K71" s="57" t="s">
        <v>3</v>
      </c>
      <c r="L71" s="57"/>
      <c r="M71" s="60">
        <f t="shared" si="392"/>
        <v>1160.5500000000002</v>
      </c>
      <c r="N71" s="60">
        <f>2800+1360.55</f>
        <v>4160.55</v>
      </c>
      <c r="O71" s="59">
        <f>7+12</f>
        <v>19</v>
      </c>
      <c r="P71" s="59">
        <f>13+2</f>
        <v>15</v>
      </c>
      <c r="Q71" s="59">
        <f t="shared" ref="Q71" si="411">+P71+O71</f>
        <v>34</v>
      </c>
      <c r="R71" s="60">
        <f t="shared" ref="R71" si="412">(N71/Q71)</f>
        <v>122.36911764705883</v>
      </c>
      <c r="S71" s="60">
        <f>(('Costo por negocio'!$B$3-DATA!R71)*DATA!O71)+('Costo por negocio'!$C$3-DATA!R71)*DATA!P71</f>
        <v>6584.45</v>
      </c>
      <c r="T71" s="58">
        <v>46094</v>
      </c>
      <c r="U71" s="57" t="s">
        <v>81</v>
      </c>
      <c r="V71" s="57" t="s">
        <v>81</v>
      </c>
      <c r="W71" s="57" t="s">
        <v>81</v>
      </c>
      <c r="X71" s="57"/>
      <c r="Y71" s="57" t="s">
        <v>184</v>
      </c>
      <c r="Z71" s="58">
        <v>46094</v>
      </c>
      <c r="AA71" s="57">
        <v>96644</v>
      </c>
      <c r="AB71" s="57"/>
      <c r="AC71" s="57">
        <v>148</v>
      </c>
      <c r="AD71" s="59">
        <v>71550</v>
      </c>
      <c r="AE71" s="61">
        <v>46090.375</v>
      </c>
      <c r="AF71" s="59">
        <v>72231</v>
      </c>
      <c r="AG71" s="61">
        <v>46094.396527777775</v>
      </c>
      <c r="AH71" s="59">
        <f t="shared" si="363"/>
        <v>681</v>
      </c>
      <c r="AI71" s="57">
        <v>4</v>
      </c>
      <c r="AJ71" s="57">
        <f t="shared" ref="AJ71" si="413">+AI71*5</f>
        <v>20</v>
      </c>
      <c r="AK71" s="57">
        <f t="shared" ref="AK71" si="414">+Q71-AJ71</f>
        <v>14</v>
      </c>
      <c r="AM71" s="43">
        <f t="shared" ref="AM71" si="415">+AH71/Q71</f>
        <v>20.029411764705884</v>
      </c>
      <c r="AN71" s="43">
        <f t="shared" ref="AN71" si="416">+Q71/AI71</f>
        <v>8.5</v>
      </c>
      <c r="AQ71" s="34">
        <f t="shared" ref="AQ71" si="417">+N71/78.54</f>
        <v>52.973644003055767</v>
      </c>
      <c r="AR71" s="34">
        <f t="shared" ref="AR71" si="418">+AH71/11</f>
        <v>61.909090909090907</v>
      </c>
      <c r="AS71" s="34">
        <f t="shared" ref="AS71" si="419">+AR71-AQ71</f>
        <v>8.9354469060351391</v>
      </c>
      <c r="AT71" s="34">
        <f t="shared" ref="AT71" si="420">+AH71/AQ71</f>
        <v>12.855449399718788</v>
      </c>
    </row>
    <row r="72" spans="1:51" s="11" customFormat="1" x14ac:dyDescent="0.25">
      <c r="A72" s="56">
        <v>71</v>
      </c>
      <c r="B72" s="57" t="s">
        <v>169</v>
      </c>
      <c r="C72" s="57">
        <v>2030</v>
      </c>
      <c r="D72" s="57">
        <v>3</v>
      </c>
      <c r="E72" s="57" t="s">
        <v>152</v>
      </c>
      <c r="F72" s="58">
        <v>46084</v>
      </c>
      <c r="G72" s="58">
        <v>46086</v>
      </c>
      <c r="H72" s="59"/>
      <c r="I72" s="57">
        <v>15</v>
      </c>
      <c r="J72" s="57" t="s">
        <v>170</v>
      </c>
      <c r="K72" s="57" t="s">
        <v>3</v>
      </c>
      <c r="L72" s="57"/>
      <c r="M72" s="60">
        <f t="shared" ref="M72:M76" si="421">+N72-H72</f>
        <v>9944.9000000000015</v>
      </c>
      <c r="N72" s="60">
        <f>3000.6+3844+3100.3</f>
        <v>9944.9000000000015</v>
      </c>
      <c r="O72" s="59"/>
      <c r="P72" s="59">
        <f>20+18</f>
        <v>38</v>
      </c>
      <c r="Q72" s="59">
        <f t="shared" ref="Q72" si="422">+P72+O72</f>
        <v>38</v>
      </c>
      <c r="R72" s="60">
        <f t="shared" ref="R72" si="423">(N72/Q72)</f>
        <v>261.70789473684215</v>
      </c>
      <c r="S72" s="60">
        <f>(('Costo por negocio'!$B$3-DATA!R72)*DATA!O72)+('Costo por negocio'!$C$3-DATA!R72)*DATA!P72</f>
        <v>4761.0999999999985</v>
      </c>
      <c r="T72" s="58">
        <v>46087</v>
      </c>
      <c r="U72" s="57" t="s">
        <v>81</v>
      </c>
      <c r="V72" s="57" t="s">
        <v>81</v>
      </c>
      <c r="W72" s="57" t="s">
        <v>81</v>
      </c>
      <c r="X72" s="57"/>
      <c r="Y72" s="57" t="s">
        <v>171</v>
      </c>
      <c r="Z72" s="58">
        <v>46087</v>
      </c>
      <c r="AA72" s="57">
        <v>95595</v>
      </c>
      <c r="AB72" s="57"/>
      <c r="AC72" s="57">
        <v>111</v>
      </c>
      <c r="AD72" s="59">
        <v>88875</v>
      </c>
      <c r="AE72" s="61">
        <v>46083.6875</v>
      </c>
      <c r="AF72" s="59">
        <v>90127</v>
      </c>
      <c r="AG72" s="61">
        <v>46087.395833333336</v>
      </c>
      <c r="AH72" s="59">
        <f t="shared" si="363"/>
        <v>1252</v>
      </c>
      <c r="AI72" s="57">
        <v>3</v>
      </c>
      <c r="AJ72" s="57">
        <f t="shared" ref="AJ72" si="424">+AI72*5</f>
        <v>15</v>
      </c>
      <c r="AK72" s="57">
        <f t="shared" ref="AK72" si="425">+Q72-AJ72</f>
        <v>23</v>
      </c>
      <c r="AM72" s="43">
        <f t="shared" ref="AM72" si="426">+AH72/Q72</f>
        <v>32.94736842105263</v>
      </c>
      <c r="AN72" s="43">
        <f t="shared" ref="AN72" si="427">+Q72/AI72</f>
        <v>12.666666666666666</v>
      </c>
      <c r="AQ72" s="34">
        <f t="shared" ref="AQ72" si="428">+N72/78.54</f>
        <v>126.62210338680927</v>
      </c>
      <c r="AR72" s="34">
        <f t="shared" ref="AR72" si="429">+AH72/11</f>
        <v>113.81818181818181</v>
      </c>
      <c r="AS72" s="34">
        <f t="shared" ref="AS72" si="430">+AR72-AQ72</f>
        <v>-12.803921568627459</v>
      </c>
      <c r="AT72" s="34">
        <f t="shared" ref="AT72" si="431">+AH72/AQ72</f>
        <v>9.8876891673118887</v>
      </c>
      <c r="AU72" s="11" t="s">
        <v>172</v>
      </c>
      <c r="AV72" s="11" t="s">
        <v>7</v>
      </c>
      <c r="AY72" s="11">
        <v>1</v>
      </c>
    </row>
    <row r="73" spans="1:51" s="11" customFormat="1" x14ac:dyDescent="0.25">
      <c r="A73" s="56">
        <v>72</v>
      </c>
      <c r="B73" s="57" t="s">
        <v>103</v>
      </c>
      <c r="C73" s="57">
        <v>3065</v>
      </c>
      <c r="D73" s="57">
        <v>8</v>
      </c>
      <c r="E73" s="57" t="s">
        <v>176</v>
      </c>
      <c r="F73" s="58">
        <v>46082</v>
      </c>
      <c r="G73" s="58">
        <v>46092</v>
      </c>
      <c r="H73" s="59"/>
      <c r="I73" s="57"/>
      <c r="J73" s="57" t="s">
        <v>86</v>
      </c>
      <c r="K73" s="57" t="s">
        <v>87</v>
      </c>
      <c r="L73" s="57"/>
      <c r="M73" s="60">
        <f t="shared" si="421"/>
        <v>4637.1000000000004</v>
      </c>
      <c r="N73" s="60">
        <f>2650.1+1987</f>
        <v>4637.1000000000004</v>
      </c>
      <c r="O73" s="59">
        <f>19+5</f>
        <v>24</v>
      </c>
      <c r="P73" s="59"/>
      <c r="Q73" s="59">
        <f t="shared" ref="Q73" si="432">+P73+O73</f>
        <v>24</v>
      </c>
      <c r="R73" s="60">
        <f t="shared" ref="R73" si="433">(N73/Q73)</f>
        <v>193.21250000000001</v>
      </c>
      <c r="S73" s="60">
        <f>(('Costo por negocio'!$B$3-DATA!R73)*DATA!O73)+('Costo por negocio'!$C$3-DATA!R73)*DATA!P73</f>
        <v>1602.8999999999999</v>
      </c>
      <c r="T73" s="58">
        <v>46093</v>
      </c>
      <c r="U73" s="57" t="s">
        <v>81</v>
      </c>
      <c r="V73" s="57" t="s">
        <v>81</v>
      </c>
      <c r="W73" s="57" t="s">
        <v>81</v>
      </c>
      <c r="X73" s="57"/>
      <c r="Y73" s="57" t="s">
        <v>105</v>
      </c>
      <c r="Z73" s="58">
        <v>46094</v>
      </c>
      <c r="AA73" s="57"/>
      <c r="AB73" s="57"/>
      <c r="AC73" s="57"/>
      <c r="AD73" s="59"/>
      <c r="AE73" s="61"/>
      <c r="AF73" s="59"/>
      <c r="AG73" s="61"/>
      <c r="AH73" s="59"/>
      <c r="AI73" s="57"/>
      <c r="AJ73" s="57"/>
      <c r="AK73" s="57"/>
      <c r="AM73" s="43"/>
      <c r="AN73" s="43"/>
      <c r="AQ73" s="34"/>
      <c r="AR73" s="34"/>
      <c r="AS73" s="34"/>
      <c r="AT73" s="34"/>
    </row>
    <row r="74" spans="1:51" s="11" customFormat="1" x14ac:dyDescent="0.25">
      <c r="A74" s="56">
        <v>73</v>
      </c>
      <c r="B74" s="57" t="s">
        <v>123</v>
      </c>
      <c r="C74" s="57">
        <v>3064</v>
      </c>
      <c r="D74" s="57">
        <v>3</v>
      </c>
      <c r="E74" s="57" t="s">
        <v>119</v>
      </c>
      <c r="F74" s="58">
        <v>46056</v>
      </c>
      <c r="G74" s="58">
        <v>46058</v>
      </c>
      <c r="H74" s="59"/>
      <c r="I74" s="57"/>
      <c r="J74" s="57" t="s">
        <v>78</v>
      </c>
      <c r="K74" s="57" t="s">
        <v>87</v>
      </c>
      <c r="L74" s="57"/>
      <c r="M74" s="60">
        <f t="shared" si="421"/>
        <v>2340</v>
      </c>
      <c r="N74" s="60">
        <v>2340</v>
      </c>
      <c r="O74" s="59">
        <f>9+3</f>
        <v>12</v>
      </c>
      <c r="P74" s="59"/>
      <c r="Q74" s="59">
        <f t="shared" ref="Q74" si="434">+P74+O74</f>
        <v>12</v>
      </c>
      <c r="R74" s="60">
        <f t="shared" ref="R74" si="435">(N74/Q74)</f>
        <v>195</v>
      </c>
      <c r="S74" s="60">
        <f>(('Costo por negocio'!$B$3-DATA!R74)*DATA!O74)+('Costo por negocio'!$C$3-DATA!R74)*DATA!P74</f>
        <v>780</v>
      </c>
      <c r="T74" s="58">
        <v>46093</v>
      </c>
      <c r="U74" s="57" t="s">
        <v>81</v>
      </c>
      <c r="V74" s="57" t="s">
        <v>81</v>
      </c>
      <c r="W74" s="57" t="s">
        <v>81</v>
      </c>
      <c r="X74" s="57"/>
      <c r="Y74" s="57" t="s">
        <v>124</v>
      </c>
      <c r="Z74" s="58">
        <v>46094</v>
      </c>
      <c r="AA74" s="57"/>
      <c r="AB74" s="57"/>
      <c r="AC74" s="57"/>
      <c r="AD74" s="59"/>
      <c r="AE74" s="61"/>
      <c r="AF74" s="59"/>
      <c r="AG74" s="61"/>
      <c r="AH74" s="59"/>
      <c r="AI74" s="57"/>
      <c r="AJ74" s="57"/>
      <c r="AK74" s="57"/>
      <c r="AM74" s="43"/>
      <c r="AN74" s="43"/>
      <c r="AQ74" s="34"/>
      <c r="AR74" s="34"/>
      <c r="AS74" s="34"/>
      <c r="AT74" s="34"/>
    </row>
    <row r="75" spans="1:51" s="11" customFormat="1" x14ac:dyDescent="0.25">
      <c r="A75" s="56">
        <v>74</v>
      </c>
      <c r="B75" s="57" t="s">
        <v>123</v>
      </c>
      <c r="C75" s="57">
        <v>3064</v>
      </c>
      <c r="D75" s="57">
        <v>3</v>
      </c>
      <c r="E75" s="57" t="s">
        <v>119</v>
      </c>
      <c r="F75" s="58">
        <v>46056</v>
      </c>
      <c r="G75" s="58">
        <v>46058</v>
      </c>
      <c r="H75" s="59"/>
      <c r="I75" s="57">
        <v>15</v>
      </c>
      <c r="J75" s="57" t="s">
        <v>78</v>
      </c>
      <c r="K75" s="57" t="s">
        <v>3</v>
      </c>
      <c r="L75" s="57"/>
      <c r="M75" s="60">
        <f t="shared" si="421"/>
        <v>750</v>
      </c>
      <c r="N75" s="60">
        <v>750</v>
      </c>
      <c r="O75" s="59">
        <v>9</v>
      </c>
      <c r="P75" s="59"/>
      <c r="Q75" s="59">
        <f t="shared" ref="Q75" si="436">+P75+O75</f>
        <v>9</v>
      </c>
      <c r="R75" s="60">
        <f t="shared" ref="R75" si="437">(N75/Q75)</f>
        <v>83.333333333333329</v>
      </c>
      <c r="S75" s="60">
        <f>(('Costo por negocio'!$B$3-DATA!R75)*DATA!O75)+('Costo por negocio'!$C$3-DATA!R75)*DATA!P75</f>
        <v>1590.0000000000002</v>
      </c>
      <c r="T75" s="58">
        <v>46093</v>
      </c>
      <c r="U75" s="57" t="s">
        <v>81</v>
      </c>
      <c r="V75" s="57" t="s">
        <v>81</v>
      </c>
      <c r="W75" s="57" t="s">
        <v>81</v>
      </c>
      <c r="X75" s="57"/>
      <c r="Y75" s="57" t="s">
        <v>177</v>
      </c>
      <c r="Z75" s="58">
        <v>46094</v>
      </c>
      <c r="AA75" s="57">
        <v>96630</v>
      </c>
      <c r="AB75" s="57"/>
      <c r="AC75" s="57">
        <v>74</v>
      </c>
      <c r="AD75" s="59">
        <v>15590</v>
      </c>
      <c r="AE75" s="61">
        <v>46091.388888888891</v>
      </c>
      <c r="AF75" s="59">
        <v>15763</v>
      </c>
      <c r="AG75" s="61">
        <v>46092.746527777781</v>
      </c>
      <c r="AH75" s="59">
        <f>+AF75-AD75</f>
        <v>173</v>
      </c>
      <c r="AI75" s="57">
        <v>2</v>
      </c>
      <c r="AJ75" s="57">
        <f t="shared" ref="AJ75" si="438">+AI75*5</f>
        <v>10</v>
      </c>
      <c r="AK75" s="57">
        <f t="shared" ref="AK75" si="439">+Q75-AJ75</f>
        <v>-1</v>
      </c>
      <c r="AM75" s="43">
        <f t="shared" ref="AM75" si="440">+AH75/Q75</f>
        <v>19.222222222222221</v>
      </c>
      <c r="AN75" s="43">
        <f t="shared" ref="AN75" si="441">+Q75/AI75</f>
        <v>4.5</v>
      </c>
      <c r="AQ75" s="34">
        <f t="shared" ref="AQ75" si="442">+N75/78.54</f>
        <v>9.5492742551566074</v>
      </c>
      <c r="AR75" s="34">
        <f t="shared" ref="AR75" si="443">+AH75/11</f>
        <v>15.727272727272727</v>
      </c>
      <c r="AS75" s="34">
        <f t="shared" ref="AS75" si="444">+AR75-AQ75</f>
        <v>6.1779984721161192</v>
      </c>
      <c r="AT75" s="34">
        <f t="shared" ref="AT75" si="445">+AH75/AQ75</f>
        <v>18.11656</v>
      </c>
    </row>
    <row r="76" spans="1:51" s="11" customFormat="1" x14ac:dyDescent="0.25">
      <c r="A76" s="56">
        <v>75</v>
      </c>
      <c r="B76" s="57" t="s">
        <v>101</v>
      </c>
      <c r="C76" s="57">
        <v>3152</v>
      </c>
      <c r="D76" s="57">
        <v>8</v>
      </c>
      <c r="E76" s="57" t="s">
        <v>176</v>
      </c>
      <c r="F76" s="58">
        <v>46082</v>
      </c>
      <c r="G76" s="58">
        <v>46092</v>
      </c>
      <c r="H76" s="59"/>
      <c r="I76" s="57"/>
      <c r="J76" s="57" t="s">
        <v>78</v>
      </c>
      <c r="K76" s="57" t="s">
        <v>87</v>
      </c>
      <c r="L76" s="57"/>
      <c r="M76" s="60">
        <f t="shared" si="421"/>
        <v>7799.04</v>
      </c>
      <c r="N76" s="60">
        <f>2050+1300.04+1859+789+1031+770</f>
        <v>7799.04</v>
      </c>
      <c r="O76" s="59">
        <f>20+10</f>
        <v>30</v>
      </c>
      <c r="P76" s="59"/>
      <c r="Q76" s="59">
        <f t="shared" ref="Q76:Q77" si="446">+P76+O76</f>
        <v>30</v>
      </c>
      <c r="R76" s="60">
        <f t="shared" ref="R76:R77" si="447">(N76/Q76)</f>
        <v>259.96800000000002</v>
      </c>
      <c r="S76" s="60">
        <f>(('Costo por negocio'!$B$3-DATA!R76)*DATA!O76)+('Costo por negocio'!$C$3-DATA!R76)*DATA!P76</f>
        <v>0.95999999999946795</v>
      </c>
      <c r="T76" s="58">
        <v>46093</v>
      </c>
      <c r="U76" s="57" t="s">
        <v>81</v>
      </c>
      <c r="V76" s="57" t="s">
        <v>81</v>
      </c>
      <c r="W76" s="57" t="s">
        <v>81</v>
      </c>
      <c r="X76" s="57"/>
      <c r="Y76" s="57" t="s">
        <v>102</v>
      </c>
      <c r="Z76" s="58">
        <v>46094</v>
      </c>
      <c r="AA76" s="57"/>
      <c r="AB76" s="57"/>
      <c r="AC76" s="57"/>
      <c r="AD76" s="59"/>
      <c r="AE76" s="61"/>
      <c r="AF76" s="59"/>
      <c r="AG76" s="61"/>
      <c r="AH76" s="59"/>
      <c r="AI76" s="57"/>
      <c r="AJ76" s="57"/>
      <c r="AK76" s="57"/>
      <c r="AM76" s="43"/>
      <c r="AN76" s="43"/>
      <c r="AQ76" s="34"/>
      <c r="AR76" s="34"/>
      <c r="AS76" s="34"/>
      <c r="AT76" s="34"/>
    </row>
    <row r="77" spans="1:51" s="11" customFormat="1" x14ac:dyDescent="0.25">
      <c r="A77" s="56">
        <v>76</v>
      </c>
      <c r="B77" s="57" t="s">
        <v>4</v>
      </c>
      <c r="C77" s="57">
        <v>2005</v>
      </c>
      <c r="D77" s="57">
        <v>3</v>
      </c>
      <c r="E77" s="57" t="s">
        <v>174</v>
      </c>
      <c r="F77" s="58">
        <v>46098</v>
      </c>
      <c r="G77" s="58">
        <v>46100</v>
      </c>
      <c r="H77" s="59">
        <f>20*260</f>
        <v>5200</v>
      </c>
      <c r="I77" s="57">
        <v>15</v>
      </c>
      <c r="J77" s="57" t="s">
        <v>6</v>
      </c>
      <c r="K77" s="57" t="s">
        <v>3</v>
      </c>
      <c r="L77" s="57"/>
      <c r="M77" s="60">
        <f>+N77-H77</f>
        <v>-2315.8000000000002</v>
      </c>
      <c r="N77" s="60">
        <v>2884.2</v>
      </c>
      <c r="O77" s="59">
        <f>19+2</f>
        <v>21</v>
      </c>
      <c r="P77" s="59"/>
      <c r="Q77" s="59">
        <f t="shared" si="446"/>
        <v>21</v>
      </c>
      <c r="R77" s="60">
        <f t="shared" si="447"/>
        <v>137.34285714285713</v>
      </c>
      <c r="S77" s="60">
        <f>(('Costo por negocio'!$B$3-DATA!R77)*DATA!O77)+('Costo por negocio'!$C$3-DATA!R77)*DATA!P77</f>
        <v>2575.8000000000002</v>
      </c>
      <c r="T77" s="58">
        <v>46105</v>
      </c>
      <c r="U77" s="57" t="s">
        <v>81</v>
      </c>
      <c r="V77" s="57" t="s">
        <v>81</v>
      </c>
      <c r="W77" s="57" t="s">
        <v>81</v>
      </c>
      <c r="X77" s="57"/>
      <c r="Y77" s="57" t="s">
        <v>196</v>
      </c>
      <c r="Z77" s="58">
        <v>46105</v>
      </c>
      <c r="AA77" s="57">
        <v>96699</v>
      </c>
      <c r="AB77" s="57"/>
      <c r="AC77" s="57">
        <v>111</v>
      </c>
      <c r="AD77" s="59">
        <v>113081</v>
      </c>
      <c r="AE77" s="61">
        <v>46097.708333333336</v>
      </c>
      <c r="AF77" s="59">
        <v>113512</v>
      </c>
      <c r="AG77" s="61">
        <v>46101.379861111112</v>
      </c>
      <c r="AH77" s="59">
        <f>+AF77-AD77</f>
        <v>431</v>
      </c>
      <c r="AI77" s="57">
        <v>3</v>
      </c>
      <c r="AJ77" s="57">
        <f t="shared" ref="AJ77" si="448">+AI77*5</f>
        <v>15</v>
      </c>
      <c r="AK77" s="57">
        <f t="shared" ref="AK77" si="449">+Q77-AJ77</f>
        <v>6</v>
      </c>
      <c r="AM77" s="43">
        <f t="shared" ref="AM77" si="450">+AH77/Q77</f>
        <v>20.523809523809526</v>
      </c>
      <c r="AN77" s="43">
        <f t="shared" ref="AN77" si="451">+Q77/AI77</f>
        <v>7</v>
      </c>
      <c r="AQ77" s="34">
        <f t="shared" ref="AQ77" si="452">+N77/78.54</f>
        <v>36.72268907563025</v>
      </c>
      <c r="AR77" s="34">
        <f t="shared" ref="AR77" si="453">+AH77/11</f>
        <v>39.18181818181818</v>
      </c>
      <c r="AS77" s="34">
        <f t="shared" ref="AS77" si="454">+AR77-AQ77</f>
        <v>2.4591291061879303</v>
      </c>
      <c r="AT77" s="34">
        <f t="shared" ref="AT77" si="455">+AH77/AQ77</f>
        <v>11.736613272311214</v>
      </c>
    </row>
    <row r="78" spans="1:51" s="11" customFormat="1" x14ac:dyDescent="0.25">
      <c r="A78" s="50">
        <v>77</v>
      </c>
      <c r="B78" s="51" t="s">
        <v>11</v>
      </c>
      <c r="C78" s="51">
        <v>1512</v>
      </c>
      <c r="D78" s="51">
        <v>3</v>
      </c>
      <c r="E78" s="51" t="s">
        <v>174</v>
      </c>
      <c r="F78" s="52">
        <v>46098</v>
      </c>
      <c r="G78" s="52">
        <v>46100</v>
      </c>
      <c r="H78" s="53">
        <v>6500</v>
      </c>
      <c r="I78" s="51">
        <v>15</v>
      </c>
      <c r="J78" s="51" t="s">
        <v>78</v>
      </c>
      <c r="K78" s="51" t="s">
        <v>3</v>
      </c>
      <c r="L78" s="51"/>
      <c r="M78" s="54"/>
      <c r="N78" s="54"/>
      <c r="O78" s="53"/>
      <c r="P78" s="53"/>
      <c r="Q78" s="53"/>
      <c r="R78" s="54"/>
      <c r="S78" s="54"/>
      <c r="T78" s="52"/>
      <c r="U78" s="51"/>
      <c r="V78" s="51"/>
      <c r="W78" s="51"/>
      <c r="X78" s="51" t="s">
        <v>187</v>
      </c>
      <c r="Y78" s="51"/>
      <c r="Z78" s="51"/>
      <c r="AA78" s="51"/>
      <c r="AB78" s="51"/>
      <c r="AC78" s="51"/>
      <c r="AD78" s="53"/>
      <c r="AE78" s="55"/>
      <c r="AF78" s="53"/>
      <c r="AG78" s="55"/>
      <c r="AH78" s="53"/>
      <c r="AI78" s="51"/>
      <c r="AJ78" s="51"/>
      <c r="AK78" s="51"/>
      <c r="AM78" s="43"/>
      <c r="AN78" s="43"/>
      <c r="AQ78" s="34"/>
      <c r="AR78" s="34"/>
      <c r="AS78" s="34"/>
      <c r="AT78" s="34"/>
    </row>
    <row r="79" spans="1:51" s="11" customFormat="1" x14ac:dyDescent="0.25">
      <c r="A79" s="56">
        <v>78</v>
      </c>
      <c r="B79" s="57" t="s">
        <v>125</v>
      </c>
      <c r="C79" s="57">
        <v>3117</v>
      </c>
      <c r="D79" s="57">
        <v>3</v>
      </c>
      <c r="E79" s="57" t="s">
        <v>174</v>
      </c>
      <c r="F79" s="58">
        <v>46098</v>
      </c>
      <c r="G79" s="58">
        <v>46100</v>
      </c>
      <c r="H79" s="59">
        <v>5000</v>
      </c>
      <c r="I79" s="57">
        <v>15</v>
      </c>
      <c r="J79" s="57" t="s">
        <v>97</v>
      </c>
      <c r="K79" s="57" t="s">
        <v>3</v>
      </c>
      <c r="L79" s="57"/>
      <c r="M79" s="60">
        <f>+N79-H79</f>
        <v>-2811.2</v>
      </c>
      <c r="N79" s="60">
        <v>2188.8000000000002</v>
      </c>
      <c r="O79" s="59">
        <f>11+11</f>
        <v>22</v>
      </c>
      <c r="P79" s="59"/>
      <c r="Q79" s="59">
        <f t="shared" ref="Q79" si="456">+P79+O79</f>
        <v>22</v>
      </c>
      <c r="R79" s="60">
        <f t="shared" ref="R79" si="457">(N79/Q79)</f>
        <v>99.490909090909099</v>
      </c>
      <c r="S79" s="60">
        <f>(('Costo por negocio'!$B$3-DATA!R79)*DATA!O79)+('Costo por negocio'!$C$3-DATA!R79)*DATA!P79</f>
        <v>3531.2</v>
      </c>
      <c r="T79" s="58">
        <v>46101</v>
      </c>
      <c r="U79" s="57" t="s">
        <v>81</v>
      </c>
      <c r="V79" s="57" t="s">
        <v>81</v>
      </c>
      <c r="W79" s="57" t="s">
        <v>81</v>
      </c>
      <c r="X79" s="57"/>
      <c r="Y79" s="57" t="s">
        <v>136</v>
      </c>
      <c r="Z79" s="58">
        <v>46101</v>
      </c>
      <c r="AA79" s="57">
        <v>96697</v>
      </c>
      <c r="AB79" s="57"/>
      <c r="AC79" s="57">
        <v>111</v>
      </c>
      <c r="AD79" s="59">
        <v>106418</v>
      </c>
      <c r="AE79" s="61">
        <v>46098.4375</v>
      </c>
      <c r="AF79" s="59">
        <v>106694</v>
      </c>
      <c r="AG79" s="61">
        <v>46101.37777777778</v>
      </c>
      <c r="AH79" s="59">
        <f>+AF79-AD79</f>
        <v>276</v>
      </c>
      <c r="AI79" s="57">
        <v>3</v>
      </c>
      <c r="AJ79" s="57">
        <f t="shared" ref="AJ79" si="458">+AI79*5</f>
        <v>15</v>
      </c>
      <c r="AK79" s="57">
        <f t="shared" ref="AK79" si="459">+Q79-AJ79</f>
        <v>7</v>
      </c>
      <c r="AM79" s="43">
        <f t="shared" ref="AM79" si="460">+AH79/Q79</f>
        <v>12.545454545454545</v>
      </c>
      <c r="AN79" s="43">
        <f t="shared" ref="AN79" si="461">+Q79/AI79</f>
        <v>7.333333333333333</v>
      </c>
      <c r="AQ79" s="34">
        <f t="shared" ref="AQ79" si="462">+N79/78.54</f>
        <v>27.868601986249047</v>
      </c>
      <c r="AR79" s="34">
        <f t="shared" ref="AR79" si="463">+AH79/11</f>
        <v>25.09090909090909</v>
      </c>
      <c r="AS79" s="34">
        <f t="shared" ref="AS79" si="464">+AR79-AQ79</f>
        <v>-2.7776928953399569</v>
      </c>
      <c r="AT79" s="34">
        <f t="shared" ref="AT79" si="465">+AH79/AQ79</f>
        <v>9.9036184210526308</v>
      </c>
    </row>
    <row r="80" spans="1:51" s="11" customFormat="1" x14ac:dyDescent="0.25">
      <c r="A80" s="56">
        <v>79</v>
      </c>
      <c r="B80" s="57" t="s">
        <v>0</v>
      </c>
      <c r="C80" s="57">
        <v>3007</v>
      </c>
      <c r="D80" s="57">
        <v>4</v>
      </c>
      <c r="E80" s="57" t="s">
        <v>179</v>
      </c>
      <c r="F80" s="58">
        <v>46097</v>
      </c>
      <c r="G80" s="58">
        <v>46100</v>
      </c>
      <c r="H80" s="59">
        <v>6000</v>
      </c>
      <c r="I80" s="57">
        <v>20</v>
      </c>
      <c r="J80" s="57" t="s">
        <v>178</v>
      </c>
      <c r="K80" s="57" t="s">
        <v>3</v>
      </c>
      <c r="L80" s="57"/>
      <c r="M80" s="60">
        <f>+N80-H80</f>
        <v>1798.8000000000002</v>
      </c>
      <c r="N80" s="60">
        <f>2601.6+2302+2895.2</f>
        <v>7798.8</v>
      </c>
      <c r="O80" s="59">
        <f>8+6</f>
        <v>14</v>
      </c>
      <c r="P80" s="59">
        <f>12+14</f>
        <v>26</v>
      </c>
      <c r="Q80" s="59">
        <f t="shared" ref="Q80" si="466">+P80+O80</f>
        <v>40</v>
      </c>
      <c r="R80" s="60">
        <f t="shared" ref="R80" si="467">(N80/Q80)</f>
        <v>194.97</v>
      </c>
      <c r="S80" s="60">
        <f>(('Costo por negocio'!$B$3-DATA!R80)*DATA!O80)+('Costo por negocio'!$C$3-DATA!R80)*DATA!P80</f>
        <v>5903.2</v>
      </c>
      <c r="T80" s="58">
        <v>46101</v>
      </c>
      <c r="U80" s="57" t="s">
        <v>81</v>
      </c>
      <c r="V80" s="57" t="s">
        <v>81</v>
      </c>
      <c r="W80" s="57" t="s">
        <v>81</v>
      </c>
      <c r="X80" s="57"/>
      <c r="Y80" s="57" t="s">
        <v>137</v>
      </c>
      <c r="Z80" s="58">
        <v>46101</v>
      </c>
      <c r="AA80" s="57">
        <v>96703</v>
      </c>
      <c r="AB80" s="57"/>
      <c r="AC80" s="57">
        <v>148</v>
      </c>
      <c r="AD80" s="59">
        <v>76119</v>
      </c>
      <c r="AE80" s="61">
        <v>46097.375</v>
      </c>
      <c r="AF80" s="59">
        <v>77500</v>
      </c>
      <c r="AG80" s="61">
        <v>46101.412499999999</v>
      </c>
      <c r="AH80" s="59">
        <f>+AF80-AD80</f>
        <v>1381</v>
      </c>
      <c r="AI80" s="57">
        <v>4</v>
      </c>
      <c r="AJ80" s="57">
        <f t="shared" ref="AJ80" si="468">+AI80*5</f>
        <v>20</v>
      </c>
      <c r="AK80" s="57">
        <f t="shared" ref="AK80" si="469">+Q80-AJ80</f>
        <v>20</v>
      </c>
      <c r="AM80" s="43">
        <f t="shared" ref="AM80" si="470">+AH80/Q80</f>
        <v>34.524999999999999</v>
      </c>
      <c r="AN80" s="43">
        <f t="shared" ref="AN80" si="471">+Q80/AI80</f>
        <v>10</v>
      </c>
      <c r="AQ80" s="34">
        <f t="shared" ref="AQ80" si="472">+N80/78.54</f>
        <v>99.297173414820463</v>
      </c>
      <c r="AR80" s="34">
        <f t="shared" ref="AR80" si="473">+AH80/11</f>
        <v>125.54545454545455</v>
      </c>
      <c r="AS80" s="34">
        <f t="shared" ref="AS80" si="474">+AR80-AQ80</f>
        <v>26.248281130634084</v>
      </c>
      <c r="AT80" s="34">
        <f t="shared" ref="AT80" si="475">+AH80/AQ80</f>
        <v>13.9077473457455</v>
      </c>
    </row>
    <row r="81" spans="1:51" s="11" customFormat="1" x14ac:dyDescent="0.25">
      <c r="A81" s="50">
        <v>80</v>
      </c>
      <c r="B81" s="51" t="s">
        <v>103</v>
      </c>
      <c r="C81" s="51">
        <v>3065</v>
      </c>
      <c r="D81" s="51">
        <v>14</v>
      </c>
      <c r="E81" s="51" t="s">
        <v>175</v>
      </c>
      <c r="F81" s="52">
        <v>46093</v>
      </c>
      <c r="G81" s="52">
        <v>46112</v>
      </c>
      <c r="H81" s="53">
        <v>8000</v>
      </c>
      <c r="I81" s="51">
        <v>31</v>
      </c>
      <c r="J81" s="51" t="s">
        <v>86</v>
      </c>
      <c r="K81" s="51" t="s">
        <v>87</v>
      </c>
      <c r="L81" s="51"/>
      <c r="M81" s="54"/>
      <c r="N81" s="54"/>
      <c r="O81" s="53"/>
      <c r="P81" s="53"/>
      <c r="Q81" s="53"/>
      <c r="R81" s="54"/>
      <c r="S81" s="54"/>
      <c r="T81" s="52"/>
      <c r="U81" s="51"/>
      <c r="V81" s="51"/>
      <c r="W81" s="51"/>
      <c r="X81" s="51" t="s">
        <v>207</v>
      </c>
      <c r="Y81" s="51"/>
      <c r="Z81" s="51"/>
      <c r="AA81" s="51"/>
      <c r="AB81" s="51"/>
      <c r="AC81" s="51"/>
      <c r="AD81" s="53"/>
      <c r="AE81" s="55"/>
      <c r="AF81" s="53"/>
      <c r="AG81" s="55"/>
      <c r="AH81" s="53"/>
      <c r="AI81" s="51"/>
      <c r="AJ81" s="51"/>
      <c r="AK81" s="51"/>
      <c r="AM81" s="43"/>
      <c r="AN81" s="43"/>
      <c r="AQ81" s="34"/>
      <c r="AR81" s="34"/>
      <c r="AS81" s="34"/>
      <c r="AT81" s="34"/>
    </row>
    <row r="82" spans="1:51" s="11" customFormat="1" x14ac:dyDescent="0.25">
      <c r="A82" s="56">
        <v>81</v>
      </c>
      <c r="B82" s="57" t="s">
        <v>4</v>
      </c>
      <c r="C82" s="57">
        <v>2005</v>
      </c>
      <c r="D82" s="57">
        <v>3</v>
      </c>
      <c r="E82" s="57" t="s">
        <v>186</v>
      </c>
      <c r="F82" s="58">
        <v>46105</v>
      </c>
      <c r="G82" s="58">
        <v>46107</v>
      </c>
      <c r="H82" s="59">
        <f>20*260</f>
        <v>5200</v>
      </c>
      <c r="I82" s="57">
        <v>15</v>
      </c>
      <c r="J82" s="57" t="s">
        <v>6</v>
      </c>
      <c r="K82" s="57" t="s">
        <v>3</v>
      </c>
      <c r="L82" s="57"/>
      <c r="M82" s="60">
        <f>+N82-H82</f>
        <v>-1440.29</v>
      </c>
      <c r="N82" s="60">
        <f>3659+100.71</f>
        <v>3759.71</v>
      </c>
      <c r="O82" s="59">
        <v>17</v>
      </c>
      <c r="P82" s="59"/>
      <c r="Q82" s="59">
        <f>+P82+O82</f>
        <v>17</v>
      </c>
      <c r="R82" s="60">
        <f>(N82/Q82)</f>
        <v>221.15941176470588</v>
      </c>
      <c r="S82" s="60">
        <f>(('Costo por negocio'!$B$3-DATA!R82)*DATA!O82)+('Costo por negocio'!$C$3-DATA!R82)*DATA!P82</f>
        <v>660.29000000000008</v>
      </c>
      <c r="T82" s="58">
        <v>46112</v>
      </c>
      <c r="U82" s="57" t="s">
        <v>81</v>
      </c>
      <c r="V82" s="57" t="s">
        <v>81</v>
      </c>
      <c r="W82" s="57" t="s">
        <v>81</v>
      </c>
      <c r="X82" s="57"/>
      <c r="Y82" s="57" t="s">
        <v>180</v>
      </c>
      <c r="Z82" s="58">
        <v>46112</v>
      </c>
      <c r="AA82" s="57">
        <v>96756</v>
      </c>
      <c r="AB82" s="57"/>
      <c r="AC82" s="57">
        <v>111</v>
      </c>
      <c r="AD82" s="59">
        <v>81181</v>
      </c>
      <c r="AE82" s="61">
        <v>46104.6875</v>
      </c>
      <c r="AF82" s="59">
        <v>81858</v>
      </c>
      <c r="AG82" s="61">
        <v>46108.375</v>
      </c>
      <c r="AH82" s="59">
        <f t="shared" ref="AH82:AH89" si="476">+AF82-AD82</f>
        <v>677</v>
      </c>
      <c r="AI82" s="57">
        <v>3</v>
      </c>
      <c r="AJ82" s="57">
        <f t="shared" ref="AJ82" si="477">+AI82*5</f>
        <v>15</v>
      </c>
      <c r="AK82" s="57">
        <f t="shared" ref="AK82" si="478">+Q82-AJ82</f>
        <v>2</v>
      </c>
      <c r="AM82" s="43">
        <f t="shared" ref="AM82" si="479">+AH82/Q82</f>
        <v>39.823529411764703</v>
      </c>
      <c r="AN82" s="43">
        <f t="shared" ref="AN82" si="480">+Q82/AI82</f>
        <v>5.666666666666667</v>
      </c>
      <c r="AQ82" s="34">
        <f t="shared" ref="AQ82" si="481">+N82/78.54</f>
        <v>47.870002546473131</v>
      </c>
      <c r="AR82" s="34">
        <f t="shared" ref="AR82" si="482">+AH82/11</f>
        <v>61.545454545454547</v>
      </c>
      <c r="AS82" s="34">
        <f t="shared" ref="AS82" si="483">+AR82-AQ82</f>
        <v>13.675451998981416</v>
      </c>
      <c r="AT82" s="34">
        <f t="shared" ref="AT82" si="484">+AH82/AQ82</f>
        <v>14.142468435065471</v>
      </c>
    </row>
    <row r="83" spans="1:51" s="11" customFormat="1" x14ac:dyDescent="0.25">
      <c r="A83" s="56">
        <v>82</v>
      </c>
      <c r="B83" s="57" t="s">
        <v>11</v>
      </c>
      <c r="C83" s="57">
        <v>1512</v>
      </c>
      <c r="D83" s="57">
        <v>3</v>
      </c>
      <c r="E83" s="57" t="s">
        <v>186</v>
      </c>
      <c r="F83" s="58">
        <v>46105</v>
      </c>
      <c r="G83" s="58">
        <v>46107</v>
      </c>
      <c r="H83" s="59">
        <v>4000</v>
      </c>
      <c r="I83" s="57">
        <v>15</v>
      </c>
      <c r="J83" s="57" t="s">
        <v>86</v>
      </c>
      <c r="K83" s="57" t="s">
        <v>3</v>
      </c>
      <c r="L83" s="57"/>
      <c r="M83" s="60">
        <f t="shared" ref="M83:M84" si="485">+N83-H83</f>
        <v>-2699.9</v>
      </c>
      <c r="N83" s="60">
        <v>1300.0999999999999</v>
      </c>
      <c r="O83" s="59">
        <v>6</v>
      </c>
      <c r="P83" s="59"/>
      <c r="Q83" s="59">
        <f t="shared" ref="Q83" si="486">+P83+O83</f>
        <v>6</v>
      </c>
      <c r="R83" s="60">
        <f t="shared" ref="R83" si="487">(N83/Q83)</f>
        <v>216.68333333333331</v>
      </c>
      <c r="S83" s="60">
        <f>(('Costo por negocio'!$B$3-DATA!R83)*DATA!O83)+('Costo por negocio'!$C$3-DATA!R83)*DATA!P83</f>
        <v>259.90000000000015</v>
      </c>
      <c r="T83" s="58">
        <v>46108</v>
      </c>
      <c r="U83" s="57" t="s">
        <v>81</v>
      </c>
      <c r="V83" s="57" t="s">
        <v>81</v>
      </c>
      <c r="W83" s="57" t="s">
        <v>81</v>
      </c>
      <c r="X83" s="57"/>
      <c r="Y83" s="57" t="s">
        <v>200</v>
      </c>
      <c r="Z83" s="58">
        <v>46108</v>
      </c>
      <c r="AA83" s="57">
        <v>96758</v>
      </c>
      <c r="AB83" s="57"/>
      <c r="AC83" s="57">
        <v>111</v>
      </c>
      <c r="AD83" s="59">
        <v>53704</v>
      </c>
      <c r="AE83" s="61">
        <v>46104.6875</v>
      </c>
      <c r="AF83" s="59">
        <v>53866</v>
      </c>
      <c r="AG83" s="61">
        <v>46108.380555555559</v>
      </c>
      <c r="AH83" s="59">
        <f t="shared" si="476"/>
        <v>162</v>
      </c>
      <c r="AI83" s="57">
        <v>3</v>
      </c>
      <c r="AJ83" s="57">
        <f t="shared" ref="AJ83" si="488">+AI83*5</f>
        <v>15</v>
      </c>
      <c r="AK83" s="57">
        <f t="shared" ref="AK83" si="489">+Q83-AJ83</f>
        <v>-9</v>
      </c>
      <c r="AM83" s="43">
        <f t="shared" ref="AM83" si="490">+AH83/Q83</f>
        <v>27</v>
      </c>
      <c r="AN83" s="43">
        <f t="shared" ref="AN83" si="491">+Q83/AI83</f>
        <v>2</v>
      </c>
      <c r="AQ83" s="34">
        <f t="shared" ref="AQ83" si="492">+N83/78.54</f>
        <v>16.55334861217214</v>
      </c>
      <c r="AR83" s="34">
        <f t="shared" ref="AR83" si="493">+AH83/11</f>
        <v>14.727272727272727</v>
      </c>
      <c r="AS83" s="34">
        <f t="shared" ref="AS83" si="494">+AR83-AQ83</f>
        <v>-1.8260758848994136</v>
      </c>
      <c r="AT83" s="34">
        <f t="shared" ref="AT83" si="495">+AH83/AQ83</f>
        <v>9.7865394969617725</v>
      </c>
    </row>
    <row r="84" spans="1:51" s="11" customFormat="1" x14ac:dyDescent="0.25">
      <c r="A84" s="56">
        <v>83</v>
      </c>
      <c r="B84" s="57" t="s">
        <v>9</v>
      </c>
      <c r="C84" s="57">
        <v>1618</v>
      </c>
      <c r="D84" s="57">
        <v>3</v>
      </c>
      <c r="E84" s="57" t="s">
        <v>186</v>
      </c>
      <c r="F84" s="58">
        <v>46105</v>
      </c>
      <c r="G84" s="58">
        <v>46107</v>
      </c>
      <c r="H84" s="59">
        <v>4500</v>
      </c>
      <c r="I84" s="57">
        <v>15</v>
      </c>
      <c r="J84" s="57" t="s">
        <v>188</v>
      </c>
      <c r="K84" s="57" t="s">
        <v>3</v>
      </c>
      <c r="L84" s="57"/>
      <c r="M84" s="60">
        <f t="shared" si="485"/>
        <v>-826.5</v>
      </c>
      <c r="N84" s="60">
        <f>2176.5+1497</f>
        <v>3673.5</v>
      </c>
      <c r="O84" s="59">
        <v>10</v>
      </c>
      <c r="P84" s="59"/>
      <c r="Q84" s="59">
        <f>+P84+O84</f>
        <v>10</v>
      </c>
      <c r="R84" s="60">
        <f>(N84/Q84)</f>
        <v>367.35</v>
      </c>
      <c r="S84" s="60">
        <f>(('Costo por negocio'!$B$3-DATA!R84)*DATA!O84)+('Costo por negocio'!$C$3-DATA!R84)*DATA!P84</f>
        <v>-1073.5000000000002</v>
      </c>
      <c r="T84" s="58">
        <v>46112</v>
      </c>
      <c r="U84" s="57" t="s">
        <v>81</v>
      </c>
      <c r="V84" s="57" t="s">
        <v>81</v>
      </c>
      <c r="W84" s="57" t="s">
        <v>81</v>
      </c>
      <c r="X84" s="57"/>
      <c r="Y84" s="57" t="s">
        <v>206</v>
      </c>
      <c r="Z84" s="58">
        <v>46112</v>
      </c>
      <c r="AA84" s="57">
        <v>95008</v>
      </c>
      <c r="AB84" s="57"/>
      <c r="AC84" s="57">
        <v>111</v>
      </c>
      <c r="AD84" s="59">
        <v>127400</v>
      </c>
      <c r="AE84" s="61">
        <v>46104.708333333336</v>
      </c>
      <c r="AF84" s="59">
        <v>128235</v>
      </c>
      <c r="AG84" s="61">
        <v>46108.375</v>
      </c>
      <c r="AH84" s="59">
        <f t="shared" si="476"/>
        <v>835</v>
      </c>
      <c r="AI84" s="57">
        <v>3</v>
      </c>
      <c r="AJ84" s="57">
        <f t="shared" ref="AJ84" si="496">+AI84*5</f>
        <v>15</v>
      </c>
      <c r="AK84" s="57">
        <f t="shared" ref="AK84" si="497">+Q84-AJ84</f>
        <v>-5</v>
      </c>
      <c r="AM84" s="43">
        <f t="shared" ref="AM84" si="498">+AH84/Q84</f>
        <v>83.5</v>
      </c>
      <c r="AN84" s="43">
        <f t="shared" ref="AN84" si="499">+Q84/AI84</f>
        <v>3.3333333333333335</v>
      </c>
      <c r="AQ84" s="34">
        <f t="shared" ref="AQ84" si="500">+N84/78.54</f>
        <v>46.772345301757063</v>
      </c>
      <c r="AR84" s="34">
        <f t="shared" ref="AR84" si="501">+AH84/11</f>
        <v>75.909090909090907</v>
      </c>
      <c r="AS84" s="34">
        <f t="shared" ref="AS84" si="502">+AR84-AQ84</f>
        <v>29.136745607333843</v>
      </c>
      <c r="AT84" s="34">
        <f t="shared" ref="AT84" si="503">+AH84/AQ84</f>
        <v>17.852429563086975</v>
      </c>
    </row>
    <row r="85" spans="1:51" s="11" customFormat="1" x14ac:dyDescent="0.25">
      <c r="A85" s="56">
        <v>84</v>
      </c>
      <c r="B85" s="57" t="s">
        <v>66</v>
      </c>
      <c r="C85" s="57">
        <v>3075</v>
      </c>
      <c r="D85" s="57">
        <v>3</v>
      </c>
      <c r="E85" s="57" t="s">
        <v>186</v>
      </c>
      <c r="F85" s="58">
        <v>46105</v>
      </c>
      <c r="G85" s="58">
        <v>46107</v>
      </c>
      <c r="H85" s="59">
        <v>8000</v>
      </c>
      <c r="I85" s="57">
        <v>15</v>
      </c>
      <c r="J85" s="57" t="s">
        <v>79</v>
      </c>
      <c r="K85" s="57" t="s">
        <v>3</v>
      </c>
      <c r="L85" s="57"/>
      <c r="M85" s="60">
        <f t="shared" ref="M85" si="504">+N85-H85</f>
        <v>-100</v>
      </c>
      <c r="N85" s="60">
        <f>1053.5+2600.1+2246.4+1500+500</f>
        <v>7900</v>
      </c>
      <c r="O85" s="59"/>
      <c r="P85" s="59">
        <f>20+6</f>
        <v>26</v>
      </c>
      <c r="Q85" s="59">
        <f t="shared" ref="Q85" si="505">+P85+O85</f>
        <v>26</v>
      </c>
      <c r="R85" s="60">
        <f t="shared" ref="R85" si="506">(N85/Q85)</f>
        <v>303.84615384615387</v>
      </c>
      <c r="S85" s="60">
        <f>(('Costo por negocio'!$B$3-DATA!R85)*DATA!O85)+('Costo por negocio'!$C$3-DATA!R85)*DATA!P85</f>
        <v>2161.9999999999995</v>
      </c>
      <c r="T85" s="58">
        <v>46108</v>
      </c>
      <c r="U85" s="57" t="s">
        <v>81</v>
      </c>
      <c r="V85" s="57" t="s">
        <v>81</v>
      </c>
      <c r="W85" s="57" t="s">
        <v>81</v>
      </c>
      <c r="X85" s="57"/>
      <c r="Y85" s="57" t="s">
        <v>181</v>
      </c>
      <c r="Z85" s="58">
        <v>46108</v>
      </c>
      <c r="AA85" s="57">
        <v>96760</v>
      </c>
      <c r="AB85" s="57"/>
      <c r="AC85" s="57">
        <v>111</v>
      </c>
      <c r="AD85" s="59">
        <v>93373</v>
      </c>
      <c r="AE85" s="61">
        <v>46104.708333333336</v>
      </c>
      <c r="AF85" s="59">
        <v>94693</v>
      </c>
      <c r="AG85" s="61">
        <v>46108.384027777778</v>
      </c>
      <c r="AH85" s="59">
        <f t="shared" si="476"/>
        <v>1320</v>
      </c>
      <c r="AI85" s="57">
        <v>3</v>
      </c>
      <c r="AJ85" s="57">
        <f t="shared" ref="AJ85" si="507">+AI85*5</f>
        <v>15</v>
      </c>
      <c r="AK85" s="57">
        <f t="shared" ref="AK85" si="508">+Q85-AJ85</f>
        <v>11</v>
      </c>
      <c r="AM85" s="43">
        <f t="shared" ref="AM85" si="509">+AH85/Q85</f>
        <v>50.769230769230766</v>
      </c>
      <c r="AN85" s="43">
        <f t="shared" ref="AN85" si="510">+Q85/AI85</f>
        <v>8.6666666666666661</v>
      </c>
      <c r="AQ85" s="34">
        <f t="shared" ref="AQ85" si="511">+N85/78.54</f>
        <v>100.58568882098292</v>
      </c>
      <c r="AR85" s="34">
        <f t="shared" ref="AR85" si="512">+AH85/11</f>
        <v>120</v>
      </c>
      <c r="AS85" s="34">
        <f t="shared" ref="AS85" si="513">+AR85-AQ85</f>
        <v>19.414311179017076</v>
      </c>
      <c r="AT85" s="34">
        <f t="shared" ref="AT85" si="514">+AH85/AQ85</f>
        <v>13.123139240506331</v>
      </c>
    </row>
    <row r="86" spans="1:51" s="11" customFormat="1" x14ac:dyDescent="0.25">
      <c r="A86" s="56">
        <v>85</v>
      </c>
      <c r="B86" s="57" t="s">
        <v>0</v>
      </c>
      <c r="C86" s="57">
        <v>3007</v>
      </c>
      <c r="D86" s="57">
        <v>4</v>
      </c>
      <c r="E86" s="57" t="s">
        <v>189</v>
      </c>
      <c r="F86" s="58">
        <v>46104</v>
      </c>
      <c r="G86" s="58">
        <v>46107</v>
      </c>
      <c r="H86" s="59">
        <v>3000</v>
      </c>
      <c r="I86" s="57">
        <v>20</v>
      </c>
      <c r="J86" s="57" t="s">
        <v>86</v>
      </c>
      <c r="K86" s="57" t="s">
        <v>3</v>
      </c>
      <c r="L86" s="57"/>
      <c r="M86" s="60">
        <f>+N86-H86</f>
        <v>320.85999999999967</v>
      </c>
      <c r="N86" s="60">
        <f>2920.7+400.16</f>
        <v>3320.8599999999997</v>
      </c>
      <c r="O86" s="59">
        <f>20+13</f>
        <v>33</v>
      </c>
      <c r="P86" s="59"/>
      <c r="Q86" s="59">
        <f t="shared" ref="Q86" si="515">+P86+O86</f>
        <v>33</v>
      </c>
      <c r="R86" s="60">
        <f t="shared" ref="R86" si="516">(N86/Q86)</f>
        <v>100.63212121212121</v>
      </c>
      <c r="S86" s="60">
        <f>(('Costo por negocio'!$B$3-DATA!R86)*DATA!O86)+('Costo por negocio'!$C$3-DATA!R86)*DATA!P86</f>
        <v>5259.14</v>
      </c>
      <c r="T86" s="58">
        <v>46108</v>
      </c>
      <c r="U86" s="57" t="s">
        <v>81</v>
      </c>
      <c r="V86" s="57" t="s">
        <v>81</v>
      </c>
      <c r="W86" s="57" t="s">
        <v>81</v>
      </c>
      <c r="X86" s="57"/>
      <c r="Y86" s="57" t="s">
        <v>157</v>
      </c>
      <c r="Z86" s="58">
        <v>46108</v>
      </c>
      <c r="AA86" s="57">
        <v>96761</v>
      </c>
      <c r="AB86" s="57"/>
      <c r="AC86" s="57">
        <v>148</v>
      </c>
      <c r="AD86" s="59">
        <v>85980</v>
      </c>
      <c r="AE86" s="61">
        <v>46104.444444444445</v>
      </c>
      <c r="AF86" s="59">
        <v>86654</v>
      </c>
      <c r="AG86" s="61">
        <v>46108.395833333336</v>
      </c>
      <c r="AH86" s="59">
        <f t="shared" si="476"/>
        <v>674</v>
      </c>
      <c r="AI86" s="57">
        <v>4</v>
      </c>
      <c r="AJ86" s="57">
        <f t="shared" ref="AJ86" si="517">+AI86*5</f>
        <v>20</v>
      </c>
      <c r="AK86" s="57">
        <f t="shared" ref="AK86" si="518">+Q86-AJ86</f>
        <v>13</v>
      </c>
      <c r="AM86" s="43">
        <f t="shared" ref="AM86" si="519">+AH86/Q86</f>
        <v>20.424242424242426</v>
      </c>
      <c r="AN86" s="43">
        <f t="shared" ref="AN86" si="520">+Q86/AI86</f>
        <v>8.25</v>
      </c>
      <c r="AQ86" s="34">
        <f t="shared" ref="AQ86" si="521">+N86/78.54</f>
        <v>42.282403870639158</v>
      </c>
      <c r="AR86" s="34">
        <f t="shared" ref="AR86" si="522">+AH86/11</f>
        <v>61.272727272727273</v>
      </c>
      <c r="AS86" s="34">
        <f t="shared" ref="AS86" si="523">+AR86-AQ86</f>
        <v>18.990323402088116</v>
      </c>
      <c r="AT86" s="34">
        <f t="shared" ref="AT86" si="524">+AH86/AQ86</f>
        <v>15.940437115686903</v>
      </c>
    </row>
    <row r="87" spans="1:51" s="11" customFormat="1" x14ac:dyDescent="0.25">
      <c r="A87" s="56">
        <v>86</v>
      </c>
      <c r="B87" s="57" t="s">
        <v>101</v>
      </c>
      <c r="C87" s="57">
        <v>3152</v>
      </c>
      <c r="D87" s="57">
        <v>2</v>
      </c>
      <c r="E87" s="57" t="s">
        <v>192</v>
      </c>
      <c r="F87" s="58">
        <v>46099</v>
      </c>
      <c r="G87" s="58">
        <v>46100</v>
      </c>
      <c r="H87" s="59"/>
      <c r="I87" s="57">
        <v>10</v>
      </c>
      <c r="J87" s="57" t="s">
        <v>164</v>
      </c>
      <c r="K87" s="57" t="s">
        <v>3</v>
      </c>
      <c r="L87" s="57"/>
      <c r="M87" s="60">
        <f t="shared" ref="M87" si="525">+N87-H87</f>
        <v>2201</v>
      </c>
      <c r="N87" s="60">
        <v>2201</v>
      </c>
      <c r="O87" s="59">
        <v>4</v>
      </c>
      <c r="P87" s="59">
        <v>3</v>
      </c>
      <c r="Q87" s="59">
        <f t="shared" ref="Q87:Q88" si="526">+P87+O87</f>
        <v>7</v>
      </c>
      <c r="R87" s="60">
        <f t="shared" ref="R87:R88" si="527">(N87/Q87)</f>
        <v>314.42857142857144</v>
      </c>
      <c r="S87" s="60">
        <f>(('Costo por negocio'!$B$3-DATA!R87)*DATA!O87)+('Costo por negocio'!$C$3-DATA!R87)*DATA!P87</f>
        <v>0</v>
      </c>
      <c r="T87" s="58">
        <v>46101</v>
      </c>
      <c r="U87" s="57" t="s">
        <v>81</v>
      </c>
      <c r="V87" s="57" t="s">
        <v>81</v>
      </c>
      <c r="W87" s="57" t="s">
        <v>81</v>
      </c>
      <c r="X87" s="57"/>
      <c r="Y87" s="57" t="s">
        <v>135</v>
      </c>
      <c r="Z87" s="58">
        <v>46101</v>
      </c>
      <c r="AA87" s="57"/>
      <c r="AB87" s="57"/>
      <c r="AC87" s="57"/>
      <c r="AD87" s="59">
        <v>112853</v>
      </c>
      <c r="AE87" s="61">
        <v>46098.708333333336</v>
      </c>
      <c r="AF87" s="59">
        <v>113282</v>
      </c>
      <c r="AG87" s="61">
        <v>46100.75</v>
      </c>
      <c r="AH87" s="59">
        <f t="shared" si="476"/>
        <v>429</v>
      </c>
      <c r="AI87" s="57">
        <v>2</v>
      </c>
      <c r="AJ87" s="57">
        <f t="shared" ref="AJ87:AJ89" si="528">+AI87*5</f>
        <v>10</v>
      </c>
      <c r="AK87" s="57">
        <f t="shared" ref="AK87:AK89" si="529">+Q87-AJ87</f>
        <v>-3</v>
      </c>
      <c r="AM87" s="43">
        <f t="shared" ref="AM87:AM89" si="530">+AH87/Q87</f>
        <v>61.285714285714285</v>
      </c>
      <c r="AN87" s="43">
        <f t="shared" ref="AN87:AN89" si="531">+Q87/AI87</f>
        <v>3.5</v>
      </c>
      <c r="AQ87" s="34">
        <f t="shared" ref="AQ87:AQ89" si="532">+N87/78.54</f>
        <v>28.023936847466256</v>
      </c>
      <c r="AR87" s="34">
        <f t="shared" ref="AR87:AR89" si="533">+AH87/11</f>
        <v>39</v>
      </c>
      <c r="AS87" s="34">
        <f t="shared" ref="AS87:AS89" si="534">+AR87-AQ87</f>
        <v>10.976063152533744</v>
      </c>
      <c r="AT87" s="34">
        <f t="shared" ref="AT87:AT89" si="535">+AH87/AQ87</f>
        <v>15.30834166288051</v>
      </c>
    </row>
    <row r="88" spans="1:51" s="11" customFormat="1" x14ac:dyDescent="0.25">
      <c r="A88" s="56">
        <v>87</v>
      </c>
      <c r="B88" s="57" t="s">
        <v>66</v>
      </c>
      <c r="C88" s="57">
        <v>3075</v>
      </c>
      <c r="D88" s="57">
        <v>2</v>
      </c>
      <c r="E88" s="57" t="s">
        <v>193</v>
      </c>
      <c r="F88" s="58">
        <v>46098</v>
      </c>
      <c r="G88" s="58">
        <v>46099</v>
      </c>
      <c r="H88" s="59"/>
      <c r="I88" s="57">
        <v>15</v>
      </c>
      <c r="J88" s="57" t="s">
        <v>80</v>
      </c>
      <c r="K88" s="57" t="s">
        <v>3</v>
      </c>
      <c r="L88" s="57"/>
      <c r="M88" s="60">
        <f t="shared" ref="M88:M91" si="536">+N88-H88</f>
        <v>5572.1</v>
      </c>
      <c r="N88" s="60">
        <f>2620.1+2952</f>
        <v>5572.1</v>
      </c>
      <c r="O88" s="59"/>
      <c r="P88" s="59">
        <f>20+6</f>
        <v>26</v>
      </c>
      <c r="Q88" s="59">
        <f t="shared" si="526"/>
        <v>26</v>
      </c>
      <c r="R88" s="60">
        <f t="shared" si="527"/>
        <v>214.31153846153848</v>
      </c>
      <c r="S88" s="60">
        <f>(('Costo por negocio'!$B$3-DATA!R88)*DATA!O88)+('Costo por negocio'!$C$3-DATA!R88)*DATA!P88</f>
        <v>4489.8999999999996</v>
      </c>
      <c r="T88" s="58">
        <v>46101</v>
      </c>
      <c r="U88" s="57" t="s">
        <v>81</v>
      </c>
      <c r="V88" s="57" t="s">
        <v>81</v>
      </c>
      <c r="W88" s="57" t="s">
        <v>81</v>
      </c>
      <c r="X88" s="57"/>
      <c r="Y88" s="57" t="s">
        <v>190</v>
      </c>
      <c r="Z88" s="58">
        <v>46101</v>
      </c>
      <c r="AA88" s="57">
        <v>96681</v>
      </c>
      <c r="AB88" s="57"/>
      <c r="AC88" s="57">
        <v>74</v>
      </c>
      <c r="AD88" s="59">
        <v>114913</v>
      </c>
      <c r="AE88" s="61">
        <v>46097.6875</v>
      </c>
      <c r="AF88" s="59">
        <v>115766</v>
      </c>
      <c r="AG88" s="61">
        <v>46100.379166666666</v>
      </c>
      <c r="AH88" s="59">
        <f t="shared" si="476"/>
        <v>853</v>
      </c>
      <c r="AI88" s="57">
        <v>2</v>
      </c>
      <c r="AJ88" s="57">
        <f t="shared" si="528"/>
        <v>10</v>
      </c>
      <c r="AK88" s="57">
        <f t="shared" si="529"/>
        <v>16</v>
      </c>
      <c r="AM88" s="43">
        <f t="shared" si="530"/>
        <v>32.807692307692307</v>
      </c>
      <c r="AN88" s="43">
        <f t="shared" si="531"/>
        <v>13</v>
      </c>
      <c r="AQ88" s="34">
        <f t="shared" si="532"/>
        <v>70.946014769544178</v>
      </c>
      <c r="AR88" s="34">
        <f t="shared" si="533"/>
        <v>77.545454545454547</v>
      </c>
      <c r="AS88" s="34">
        <f t="shared" si="534"/>
        <v>6.5994397759103691</v>
      </c>
      <c r="AT88" s="34">
        <f t="shared" si="535"/>
        <v>12.023226431686439</v>
      </c>
    </row>
    <row r="89" spans="1:51" s="11" customFormat="1" x14ac:dyDescent="0.25">
      <c r="A89" s="56">
        <v>88</v>
      </c>
      <c r="B89" s="57" t="s">
        <v>169</v>
      </c>
      <c r="C89" s="57">
        <v>2030</v>
      </c>
      <c r="D89" s="57">
        <v>3</v>
      </c>
      <c r="E89" s="57" t="s">
        <v>174</v>
      </c>
      <c r="F89" s="58">
        <v>46098</v>
      </c>
      <c r="G89" s="58">
        <v>46100</v>
      </c>
      <c r="H89" s="59"/>
      <c r="I89" s="57">
        <v>15</v>
      </c>
      <c r="J89" s="57" t="s">
        <v>194</v>
      </c>
      <c r="K89" s="57" t="s">
        <v>3</v>
      </c>
      <c r="L89" s="57"/>
      <c r="M89" s="60">
        <f t="shared" si="536"/>
        <v>6340.3</v>
      </c>
      <c r="N89" s="60">
        <f>2139.2+2250.4+1950.7</f>
        <v>6340.3</v>
      </c>
      <c r="O89" s="59">
        <v>5</v>
      </c>
      <c r="P89" s="59">
        <v>11</v>
      </c>
      <c r="Q89" s="59">
        <f t="shared" ref="Q89" si="537">+P89+O89</f>
        <v>16</v>
      </c>
      <c r="R89" s="60">
        <f t="shared" ref="R89" si="538">(N89/Q89)</f>
        <v>396.26875000000001</v>
      </c>
      <c r="S89" s="60">
        <f>(('Costo por negocio'!$B$3-DATA!R89)*DATA!O89)+('Costo por negocio'!$C$3-DATA!R89)*DATA!P89</f>
        <v>-783.30000000000018</v>
      </c>
      <c r="T89" s="58">
        <v>46101</v>
      </c>
      <c r="U89" s="57" t="s">
        <v>81</v>
      </c>
      <c r="V89" s="57" t="s">
        <v>81</v>
      </c>
      <c r="W89" s="57" t="s">
        <v>81</v>
      </c>
      <c r="X89" s="57"/>
      <c r="Y89" s="57" t="s">
        <v>148</v>
      </c>
      <c r="Z89" s="58">
        <v>46101</v>
      </c>
      <c r="AA89" s="57">
        <v>96700</v>
      </c>
      <c r="AB89" s="57"/>
      <c r="AC89" s="57">
        <v>111</v>
      </c>
      <c r="AD89" s="59">
        <v>104261</v>
      </c>
      <c r="AE89" s="61">
        <v>46097.666666666664</v>
      </c>
      <c r="AF89" s="59">
        <v>105154</v>
      </c>
      <c r="AG89" s="61">
        <v>46101.381944444445</v>
      </c>
      <c r="AH89" s="59">
        <f t="shared" si="476"/>
        <v>893</v>
      </c>
      <c r="AI89" s="57">
        <v>3</v>
      </c>
      <c r="AJ89" s="57">
        <f t="shared" si="528"/>
        <v>15</v>
      </c>
      <c r="AK89" s="57">
        <f t="shared" si="529"/>
        <v>1</v>
      </c>
      <c r="AM89" s="43">
        <f t="shared" si="530"/>
        <v>55.8125</v>
      </c>
      <c r="AN89" s="43">
        <f t="shared" si="531"/>
        <v>5.333333333333333</v>
      </c>
      <c r="AQ89" s="34">
        <f t="shared" si="532"/>
        <v>80.727018079959251</v>
      </c>
      <c r="AR89" s="34">
        <f t="shared" si="533"/>
        <v>81.181818181818187</v>
      </c>
      <c r="AS89" s="34">
        <f t="shared" si="534"/>
        <v>0.45480010185893605</v>
      </c>
      <c r="AT89" s="34">
        <f t="shared" si="535"/>
        <v>11.061971830985916</v>
      </c>
      <c r="AU89" s="11" t="s">
        <v>11</v>
      </c>
      <c r="AV89" s="11" t="s">
        <v>9</v>
      </c>
      <c r="AY89" s="11">
        <v>1</v>
      </c>
    </row>
    <row r="90" spans="1:51" s="11" customFormat="1" x14ac:dyDescent="0.25">
      <c r="A90" s="56">
        <v>89</v>
      </c>
      <c r="B90" s="57" t="s">
        <v>0</v>
      </c>
      <c r="C90" s="57">
        <v>3007</v>
      </c>
      <c r="D90" s="57">
        <v>14</v>
      </c>
      <c r="E90" s="57" t="s">
        <v>175</v>
      </c>
      <c r="F90" s="58">
        <v>46093</v>
      </c>
      <c r="G90" s="58">
        <v>46112</v>
      </c>
      <c r="H90" s="59"/>
      <c r="I90" s="57"/>
      <c r="J90" s="57" t="s">
        <v>86</v>
      </c>
      <c r="K90" s="57" t="s">
        <v>87</v>
      </c>
      <c r="L90" s="57"/>
      <c r="M90" s="60">
        <f t="shared" si="536"/>
        <v>2300</v>
      </c>
      <c r="N90" s="60">
        <v>2300</v>
      </c>
      <c r="O90" s="59">
        <v>9</v>
      </c>
      <c r="P90" s="59"/>
      <c r="Q90" s="59">
        <f t="shared" ref="Q90" si="539">+P90+O90</f>
        <v>9</v>
      </c>
      <c r="R90" s="60">
        <f t="shared" ref="R90" si="540">(N90/Q90)</f>
        <v>255.55555555555554</v>
      </c>
      <c r="S90" s="60">
        <f>(('Costo por negocio'!$B$3-DATA!R90)*DATA!O90)+('Costo por negocio'!$C$3-DATA!R90)*DATA!P90</f>
        <v>40.000000000000114</v>
      </c>
      <c r="T90" s="58">
        <v>46105</v>
      </c>
      <c r="U90" s="57" t="s">
        <v>81</v>
      </c>
      <c r="V90" s="57" t="s">
        <v>81</v>
      </c>
      <c r="W90" s="57" t="s">
        <v>81</v>
      </c>
      <c r="X90" s="57"/>
      <c r="Y90" s="57" t="s">
        <v>88</v>
      </c>
      <c r="Z90" s="58">
        <v>46105</v>
      </c>
      <c r="AA90" s="57"/>
      <c r="AB90" s="57"/>
      <c r="AC90" s="57"/>
      <c r="AD90" s="59"/>
      <c r="AE90" s="61"/>
      <c r="AF90" s="59"/>
      <c r="AG90" s="61"/>
      <c r="AH90" s="59"/>
      <c r="AI90" s="57"/>
      <c r="AJ90" s="57"/>
      <c r="AK90" s="57"/>
      <c r="AM90" s="43"/>
      <c r="AN90" s="43"/>
      <c r="AQ90" s="34"/>
      <c r="AR90" s="34"/>
      <c r="AS90" s="34"/>
      <c r="AT90" s="34"/>
    </row>
    <row r="91" spans="1:51" s="11" customFormat="1" ht="14.25" customHeight="1" x14ac:dyDescent="0.25">
      <c r="A91" s="56">
        <v>90</v>
      </c>
      <c r="B91" s="57" t="s">
        <v>103</v>
      </c>
      <c r="C91" s="57">
        <v>3065</v>
      </c>
      <c r="D91" s="57">
        <v>2</v>
      </c>
      <c r="E91" s="57" t="s">
        <v>197</v>
      </c>
      <c r="F91" s="58">
        <v>46100</v>
      </c>
      <c r="G91" s="58">
        <v>46101</v>
      </c>
      <c r="H91" s="59"/>
      <c r="I91" s="57">
        <v>10</v>
      </c>
      <c r="J91" s="57" t="s">
        <v>86</v>
      </c>
      <c r="K91" s="57" t="s">
        <v>3</v>
      </c>
      <c r="L91" s="57"/>
      <c r="M91" s="60">
        <f t="shared" si="536"/>
        <v>1878.33</v>
      </c>
      <c r="N91" s="60">
        <v>1878.33</v>
      </c>
      <c r="O91" s="59">
        <f>19+5</f>
        <v>24</v>
      </c>
      <c r="P91" s="59"/>
      <c r="Q91" s="59">
        <f t="shared" ref="Q91" si="541">+P91+O91</f>
        <v>24</v>
      </c>
      <c r="R91" s="60">
        <f t="shared" ref="R91" si="542">(N91/Q91)</f>
        <v>78.263750000000002</v>
      </c>
      <c r="S91" s="60">
        <f>(('Costo por negocio'!$B$3-DATA!R91)*DATA!O91)+('Costo por negocio'!$C$3-DATA!R91)*DATA!P91</f>
        <v>4361.67</v>
      </c>
      <c r="T91" s="58">
        <v>46106</v>
      </c>
      <c r="U91" s="57" t="s">
        <v>81</v>
      </c>
      <c r="V91" s="57" t="s">
        <v>81</v>
      </c>
      <c r="W91" s="57" t="s">
        <v>81</v>
      </c>
      <c r="X91" s="57"/>
      <c r="Y91" s="57" t="s">
        <v>198</v>
      </c>
      <c r="Z91" s="58">
        <v>46106</v>
      </c>
      <c r="AA91" s="57">
        <v>96724</v>
      </c>
      <c r="AB91" s="57"/>
      <c r="AC91" s="57">
        <v>134</v>
      </c>
      <c r="AD91" s="59">
        <v>72951</v>
      </c>
      <c r="AE91" s="61">
        <v>46100.40902777778</v>
      </c>
      <c r="AF91" s="59">
        <v>73199</v>
      </c>
      <c r="AG91" s="61">
        <v>46102.396527777775</v>
      </c>
      <c r="AH91" s="59">
        <f>+AF91-AD91</f>
        <v>248</v>
      </c>
      <c r="AI91" s="57">
        <v>2</v>
      </c>
      <c r="AJ91" s="57">
        <f t="shared" ref="AJ91" si="543">+AI91*5</f>
        <v>10</v>
      </c>
      <c r="AK91" s="57">
        <f t="shared" ref="AK91" si="544">+Q91-AJ91</f>
        <v>14</v>
      </c>
      <c r="AM91" s="43">
        <f t="shared" ref="AM91" si="545">+AH91/Q91</f>
        <v>10.333333333333334</v>
      </c>
      <c r="AN91" s="43">
        <f t="shared" ref="AN91" si="546">+Q91/AI91</f>
        <v>12</v>
      </c>
      <c r="AQ91" s="34">
        <f t="shared" ref="AQ91" si="547">+N91/78.54</f>
        <v>23.915584415584412</v>
      </c>
      <c r="AR91" s="34">
        <f t="shared" ref="AR91" si="548">+AH91/11</f>
        <v>22.545454545454547</v>
      </c>
      <c r="AS91" s="34">
        <f t="shared" ref="AS91" si="549">+AR91-AQ91</f>
        <v>-1.3701298701298654</v>
      </c>
      <c r="AT91" s="34">
        <f t="shared" ref="AT91" si="550">+AH91/AQ91</f>
        <v>10.369807222373067</v>
      </c>
    </row>
    <row r="92" spans="1:51" s="11" customFormat="1" x14ac:dyDescent="0.25">
      <c r="A92" s="56">
        <v>91</v>
      </c>
      <c r="B92" s="57" t="s">
        <v>4</v>
      </c>
      <c r="C92" s="57">
        <v>2005</v>
      </c>
      <c r="D92" s="57">
        <v>2</v>
      </c>
      <c r="E92" s="57" t="s">
        <v>195</v>
      </c>
      <c r="F92" s="58">
        <v>46112</v>
      </c>
      <c r="G92" s="58">
        <v>46113</v>
      </c>
      <c r="H92" s="59">
        <f>20*387</f>
        <v>7740</v>
      </c>
      <c r="I92" s="57">
        <v>15</v>
      </c>
      <c r="J92" s="57" t="s">
        <v>97</v>
      </c>
      <c r="K92" s="57" t="s">
        <v>3</v>
      </c>
      <c r="L92" s="57"/>
      <c r="M92" s="60">
        <f t="shared" ref="M92:M97" si="551">+N92-H92</f>
        <v>-4782</v>
      </c>
      <c r="N92" s="60">
        <v>2958</v>
      </c>
      <c r="O92" s="59">
        <v>7</v>
      </c>
      <c r="P92" s="59">
        <v>10</v>
      </c>
      <c r="Q92" s="59">
        <f t="shared" ref="Q92:Q99" si="552">+P92+O92</f>
        <v>17</v>
      </c>
      <c r="R92" s="60">
        <f t="shared" ref="R92:R99" si="553">(N92/Q92)</f>
        <v>174</v>
      </c>
      <c r="S92" s="60">
        <f>(('Costo por negocio'!$B$4-DATA!R92)*DATA!O92)+('Costo por negocio'!$C$4-DATA!R92)*DATA!P92</f>
        <v>3128</v>
      </c>
      <c r="T92" s="58">
        <v>46118</v>
      </c>
      <c r="U92" s="57" t="s">
        <v>81</v>
      </c>
      <c r="V92" s="57" t="s">
        <v>81</v>
      </c>
      <c r="W92" s="57" t="s">
        <v>81</v>
      </c>
      <c r="X92" s="57"/>
      <c r="Y92" s="57" t="s">
        <v>208</v>
      </c>
      <c r="Z92" s="58">
        <v>46118</v>
      </c>
      <c r="AA92" s="57"/>
      <c r="AB92" s="57"/>
      <c r="AC92" s="57"/>
      <c r="AD92" s="59">
        <v>76813</v>
      </c>
      <c r="AE92" s="61">
        <v>46111.657638888886</v>
      </c>
      <c r="AF92" s="59">
        <v>77437</v>
      </c>
      <c r="AG92" s="61">
        <v>46114.378472222219</v>
      </c>
      <c r="AH92" s="59">
        <f>+AF92-AD92</f>
        <v>624</v>
      </c>
      <c r="AI92" s="57">
        <v>2</v>
      </c>
      <c r="AJ92" s="57">
        <f t="shared" ref="AJ92" si="554">+AI92*5</f>
        <v>10</v>
      </c>
      <c r="AK92" s="57">
        <f t="shared" ref="AK92" si="555">+Q92-AJ92</f>
        <v>7</v>
      </c>
      <c r="AM92" s="43">
        <f t="shared" ref="AM92" si="556">+AH92/Q92</f>
        <v>36.705882352941174</v>
      </c>
      <c r="AN92" s="43">
        <f t="shared" ref="AN92" si="557">+Q92/AI92</f>
        <v>8.5</v>
      </c>
      <c r="AQ92" s="34">
        <f t="shared" ref="AQ92" si="558">+N92/78.54</f>
        <v>37.662337662337663</v>
      </c>
      <c r="AR92" s="34">
        <f t="shared" ref="AR92" si="559">+AH92/11</f>
        <v>56.727272727272727</v>
      </c>
      <c r="AS92" s="34">
        <f t="shared" ref="AS92" si="560">+AR92-AQ92</f>
        <v>19.064935064935064</v>
      </c>
      <c r="AT92" s="34">
        <f t="shared" ref="AT92" si="561">+AH92/AQ92</f>
        <v>16.568275862068965</v>
      </c>
    </row>
    <row r="93" spans="1:51" s="11" customFormat="1" x14ac:dyDescent="0.25">
      <c r="A93" s="56">
        <v>92</v>
      </c>
      <c r="B93" s="57" t="s">
        <v>0</v>
      </c>
      <c r="C93" s="57">
        <v>3007</v>
      </c>
      <c r="D93" s="57">
        <v>3</v>
      </c>
      <c r="E93" s="57" t="s">
        <v>199</v>
      </c>
      <c r="F93" s="58">
        <v>46111</v>
      </c>
      <c r="G93" s="58">
        <v>46113</v>
      </c>
      <c r="H93" s="59">
        <v>3000</v>
      </c>
      <c r="I93" s="57">
        <v>15</v>
      </c>
      <c r="J93" s="57" t="s">
        <v>146</v>
      </c>
      <c r="K93" s="57" t="s">
        <v>3</v>
      </c>
      <c r="L93" s="57"/>
      <c r="M93" s="60">
        <f t="shared" si="551"/>
        <v>541</v>
      </c>
      <c r="N93" s="60">
        <v>3541</v>
      </c>
      <c r="O93" s="59">
        <v>15</v>
      </c>
      <c r="P93" s="59">
        <v>0</v>
      </c>
      <c r="Q93" s="59">
        <f t="shared" si="552"/>
        <v>15</v>
      </c>
      <c r="R93" s="60">
        <f t="shared" si="553"/>
        <v>236.06666666666666</v>
      </c>
      <c r="S93" s="60">
        <f>(('Costo por negocio'!$B$4-DATA!R93)*DATA!O93)+('Costo por negocio'!$C$4-DATA!R93)*DATA!P93</f>
        <v>629</v>
      </c>
      <c r="T93" s="58">
        <v>46118</v>
      </c>
      <c r="U93" s="57" t="s">
        <v>81</v>
      </c>
      <c r="V93" s="57" t="s">
        <v>81</v>
      </c>
      <c r="W93" s="57" t="s">
        <v>81</v>
      </c>
      <c r="X93" s="57" t="s">
        <v>210</v>
      </c>
      <c r="Y93" s="57" t="s">
        <v>209</v>
      </c>
      <c r="Z93" s="58">
        <v>46118</v>
      </c>
      <c r="AA93" s="57"/>
      <c r="AB93" s="57"/>
      <c r="AC93" s="57">
        <v>225</v>
      </c>
      <c r="AD93" s="59">
        <v>67699</v>
      </c>
      <c r="AE93" s="61">
        <v>46111.375</v>
      </c>
      <c r="AF93" s="59">
        <v>68453</v>
      </c>
      <c r="AG93" s="61">
        <v>46113.725694444445</v>
      </c>
      <c r="AH93" s="59">
        <f>+AF93-AD93</f>
        <v>754</v>
      </c>
      <c r="AI93" s="57">
        <v>3</v>
      </c>
      <c r="AJ93" s="57">
        <f>+AI93*5</f>
        <v>15</v>
      </c>
      <c r="AK93" s="57">
        <f>+Q93-AJ93</f>
        <v>0</v>
      </c>
      <c r="AM93" s="43">
        <f>+AH93/Q93</f>
        <v>50.266666666666666</v>
      </c>
      <c r="AN93" s="43">
        <f>+Q93/AI93</f>
        <v>5</v>
      </c>
      <c r="AQ93" s="34">
        <f>+N93/78.54</f>
        <v>45.085306850012728</v>
      </c>
      <c r="AR93" s="34">
        <f>+AH93/11</f>
        <v>68.545454545454547</v>
      </c>
      <c r="AS93" s="34">
        <f>+AR93-AQ93</f>
        <v>23.460147695441819</v>
      </c>
      <c r="AT93" s="34">
        <f>+AH93/AQ93</f>
        <v>16.723852019203616</v>
      </c>
    </row>
    <row r="94" spans="1:51" s="11" customFormat="1" x14ac:dyDescent="0.25">
      <c r="A94" s="56">
        <v>93</v>
      </c>
      <c r="B94" s="57" t="s">
        <v>169</v>
      </c>
      <c r="C94" s="57">
        <v>2030</v>
      </c>
      <c r="D94" s="57">
        <v>3</v>
      </c>
      <c r="E94" s="57" t="s">
        <v>186</v>
      </c>
      <c r="F94" s="58">
        <v>46105</v>
      </c>
      <c r="G94" s="58">
        <v>46107</v>
      </c>
      <c r="H94" s="59"/>
      <c r="I94" s="57">
        <v>15</v>
      </c>
      <c r="J94" s="57" t="s">
        <v>78</v>
      </c>
      <c r="K94" s="57" t="s">
        <v>3</v>
      </c>
      <c r="L94" s="57"/>
      <c r="M94" s="60">
        <f t="shared" si="551"/>
        <v>3458</v>
      </c>
      <c r="N94" s="60">
        <v>3458</v>
      </c>
      <c r="O94" s="59">
        <v>15</v>
      </c>
      <c r="P94" s="59"/>
      <c r="Q94" s="59">
        <f t="shared" si="552"/>
        <v>15</v>
      </c>
      <c r="R94" s="60">
        <f t="shared" si="553"/>
        <v>230.53333333333333</v>
      </c>
      <c r="S94" s="60">
        <f>(('Costo por negocio'!$B$3-DATA!R94)*DATA!O94)+('Costo por negocio'!$C$3-DATA!R94)*DATA!P94</f>
        <v>442</v>
      </c>
      <c r="T94" s="58">
        <v>46111</v>
      </c>
      <c r="U94" s="57" t="s">
        <v>81</v>
      </c>
      <c r="V94" s="57" t="s">
        <v>81</v>
      </c>
      <c r="W94" s="57" t="s">
        <v>81</v>
      </c>
      <c r="X94" s="57"/>
      <c r="Y94" s="57" t="s">
        <v>180</v>
      </c>
      <c r="Z94" s="58">
        <v>46111</v>
      </c>
      <c r="AA94" s="57">
        <v>96757</v>
      </c>
      <c r="AB94" s="57"/>
      <c r="AC94" s="57">
        <v>74</v>
      </c>
      <c r="AD94" s="59">
        <v>128051</v>
      </c>
      <c r="AE94" s="61">
        <v>46106.37777777778</v>
      </c>
      <c r="AF94" s="59">
        <v>128754</v>
      </c>
      <c r="AG94" s="61">
        <v>46108.37777777778</v>
      </c>
      <c r="AH94" s="59">
        <f>+AF94-AD94</f>
        <v>703</v>
      </c>
      <c r="AI94" s="57">
        <v>3</v>
      </c>
      <c r="AJ94" s="57">
        <f>+AI94*5</f>
        <v>15</v>
      </c>
      <c r="AK94" s="57">
        <f>+Q94-AJ94</f>
        <v>0</v>
      </c>
      <c r="AM94" s="43">
        <f>+AH94/Q94</f>
        <v>46.866666666666667</v>
      </c>
      <c r="AN94" s="43">
        <f>+Q94/AI94</f>
        <v>5</v>
      </c>
      <c r="AQ94" s="34">
        <f>+N94/78.54</f>
        <v>44.02852049910873</v>
      </c>
      <c r="AR94" s="34">
        <f>+AH94/11</f>
        <v>63.909090909090907</v>
      </c>
      <c r="AS94" s="34">
        <f>+AR94-AQ94</f>
        <v>19.880570409982177</v>
      </c>
      <c r="AT94" s="34">
        <f>+AH94/AQ94</f>
        <v>15.966923076923079</v>
      </c>
      <c r="AU94" s="11" t="s">
        <v>123</v>
      </c>
      <c r="AY94" s="11">
        <v>1</v>
      </c>
    </row>
    <row r="95" spans="1:51" s="11" customFormat="1" x14ac:dyDescent="0.25">
      <c r="A95" s="56">
        <v>94</v>
      </c>
      <c r="B95" s="57" t="s">
        <v>125</v>
      </c>
      <c r="C95" s="57">
        <v>3117</v>
      </c>
      <c r="D95" s="57">
        <v>14</v>
      </c>
      <c r="E95" s="57" t="s">
        <v>175</v>
      </c>
      <c r="F95" s="58">
        <v>46093</v>
      </c>
      <c r="G95" s="58">
        <v>46112</v>
      </c>
      <c r="H95" s="59"/>
      <c r="I95" s="57"/>
      <c r="J95" s="57" t="s">
        <v>86</v>
      </c>
      <c r="K95" s="57" t="s">
        <v>87</v>
      </c>
      <c r="L95" s="57"/>
      <c r="M95" s="60">
        <f t="shared" si="551"/>
        <v>3700</v>
      </c>
      <c r="N95" s="60">
        <f>2000+1700</f>
        <v>3700</v>
      </c>
      <c r="O95" s="59">
        <v>12</v>
      </c>
      <c r="P95" s="59"/>
      <c r="Q95" s="59">
        <f t="shared" si="552"/>
        <v>12</v>
      </c>
      <c r="R95" s="60">
        <f t="shared" si="553"/>
        <v>308.33333333333331</v>
      </c>
      <c r="S95" s="60">
        <f>(('Costo por negocio'!$B$3-DATA!R95)*DATA!O95)+('Costo por negocio'!$C$3-DATA!R95)*DATA!P95</f>
        <v>-579.99999999999977</v>
      </c>
      <c r="T95" s="58">
        <v>46112</v>
      </c>
      <c r="U95" s="57" t="s">
        <v>81</v>
      </c>
      <c r="V95" s="57" t="s">
        <v>81</v>
      </c>
      <c r="W95" s="57" t="s">
        <v>81</v>
      </c>
      <c r="X95" s="57"/>
      <c r="Y95" s="57" t="s">
        <v>126</v>
      </c>
      <c r="Z95" s="58">
        <v>46112</v>
      </c>
      <c r="AA95" s="57"/>
      <c r="AB95" s="57"/>
      <c r="AC95" s="57"/>
      <c r="AD95" s="59"/>
      <c r="AE95" s="61"/>
      <c r="AF95" s="59"/>
      <c r="AG95" s="61"/>
      <c r="AH95" s="59"/>
      <c r="AI95" s="57"/>
      <c r="AJ95" s="57"/>
      <c r="AK95" s="57"/>
      <c r="AM95" s="43"/>
      <c r="AN95" s="43"/>
      <c r="AQ95" s="34"/>
      <c r="AR95" s="34"/>
      <c r="AS95" s="34"/>
      <c r="AT95" s="34"/>
    </row>
    <row r="96" spans="1:51" s="11" customFormat="1" x14ac:dyDescent="0.25">
      <c r="A96" s="56">
        <v>95</v>
      </c>
      <c r="B96" s="57" t="s">
        <v>103</v>
      </c>
      <c r="C96" s="57">
        <v>3065</v>
      </c>
      <c r="D96" s="57">
        <v>2</v>
      </c>
      <c r="E96" s="57" t="s">
        <v>201</v>
      </c>
      <c r="F96" s="58">
        <v>46106</v>
      </c>
      <c r="G96" s="58">
        <v>46107</v>
      </c>
      <c r="H96" s="59"/>
      <c r="I96" s="57">
        <v>10</v>
      </c>
      <c r="J96" s="57" t="s">
        <v>86</v>
      </c>
      <c r="K96" s="57" t="s">
        <v>3</v>
      </c>
      <c r="L96" s="57"/>
      <c r="M96" s="60">
        <f t="shared" si="551"/>
        <v>2611</v>
      </c>
      <c r="N96" s="60">
        <v>2611</v>
      </c>
      <c r="O96" s="59">
        <f>20+1</f>
        <v>21</v>
      </c>
      <c r="P96" s="59"/>
      <c r="Q96" s="59">
        <f t="shared" si="552"/>
        <v>21</v>
      </c>
      <c r="R96" s="60">
        <f t="shared" si="553"/>
        <v>124.33333333333333</v>
      </c>
      <c r="S96" s="60">
        <f>(('Costo por negocio'!$B$3-DATA!R96)*DATA!O96)+('Costo por negocio'!$C$3-DATA!R96)*DATA!P96</f>
        <v>2849.0000000000005</v>
      </c>
      <c r="T96" s="58">
        <v>46112</v>
      </c>
      <c r="U96" s="57" t="s">
        <v>81</v>
      </c>
      <c r="V96" s="57" t="s">
        <v>81</v>
      </c>
      <c r="W96" s="57" t="s">
        <v>81</v>
      </c>
      <c r="X96" s="57" t="s">
        <v>205</v>
      </c>
      <c r="Y96" s="57" t="s">
        <v>202</v>
      </c>
      <c r="Z96" s="58">
        <v>46112</v>
      </c>
      <c r="AA96" s="57">
        <v>96759</v>
      </c>
      <c r="AB96" s="57"/>
      <c r="AC96" s="57">
        <v>150</v>
      </c>
      <c r="AD96" s="59">
        <v>79305</v>
      </c>
      <c r="AE96" s="61">
        <v>46106.375</v>
      </c>
      <c r="AF96" s="59">
        <v>79541</v>
      </c>
      <c r="AG96" s="61">
        <v>46108.381944444445</v>
      </c>
      <c r="AH96" s="59">
        <f>+AF96-AD96</f>
        <v>236</v>
      </c>
      <c r="AI96" s="57">
        <v>2</v>
      </c>
      <c r="AJ96" s="57">
        <f t="shared" ref="AJ96" si="562">+AI96*5</f>
        <v>10</v>
      </c>
      <c r="AK96" s="57">
        <f t="shared" ref="AK96" si="563">+Q96-AJ96</f>
        <v>11</v>
      </c>
      <c r="AM96" s="43">
        <f t="shared" ref="AM96" si="564">+AH96/Q96</f>
        <v>11.238095238095237</v>
      </c>
      <c r="AN96" s="43">
        <f t="shared" ref="AN96" si="565">+Q96/AI96</f>
        <v>10.5</v>
      </c>
      <c r="AQ96" s="34">
        <f>+N96/78.54</f>
        <v>33.244206773618536</v>
      </c>
      <c r="AR96" s="34">
        <f t="shared" ref="AR96" si="566">+AH96/11</f>
        <v>21.454545454545453</v>
      </c>
      <c r="AS96" s="34">
        <f t="shared" ref="AS96" si="567">+AR96-AQ96</f>
        <v>-11.789661319073083</v>
      </c>
      <c r="AT96" s="34">
        <f t="shared" ref="AT96" si="568">+AH96/AQ96</f>
        <v>7.0989812332439683</v>
      </c>
    </row>
    <row r="97" spans="1:51" s="11" customFormat="1" x14ac:dyDescent="0.25">
      <c r="A97" s="56">
        <v>96</v>
      </c>
      <c r="B97" s="57" t="s">
        <v>0</v>
      </c>
      <c r="C97" s="57">
        <v>3007</v>
      </c>
      <c r="D97" s="57">
        <v>2</v>
      </c>
      <c r="E97" s="57" t="s">
        <v>217</v>
      </c>
      <c r="F97" s="58">
        <v>46119</v>
      </c>
      <c r="G97" s="58">
        <v>46120</v>
      </c>
      <c r="H97" s="59">
        <v>3000</v>
      </c>
      <c r="I97" s="57">
        <v>10</v>
      </c>
      <c r="J97" s="57" t="s">
        <v>146</v>
      </c>
      <c r="K97" s="57" t="s">
        <v>3</v>
      </c>
      <c r="L97" s="57"/>
      <c r="M97" s="60">
        <f t="shared" si="551"/>
        <v>-859</v>
      </c>
      <c r="N97" s="60">
        <v>2141</v>
      </c>
      <c r="O97" s="59">
        <v>28</v>
      </c>
      <c r="P97" s="59"/>
      <c r="Q97" s="59">
        <f t="shared" si="552"/>
        <v>28</v>
      </c>
      <c r="R97" s="60">
        <f t="shared" si="553"/>
        <v>76.464285714285708</v>
      </c>
      <c r="S97" s="60">
        <f>(('Costo por negocio'!$B$4-DATA!R97)*DATA!O97)+('Costo por negocio'!$C$4-DATA!R97)*DATA!P97</f>
        <v>5643</v>
      </c>
      <c r="T97" s="58">
        <v>46122</v>
      </c>
      <c r="U97" s="57" t="s">
        <v>81</v>
      </c>
      <c r="V97" s="57" t="s">
        <v>81</v>
      </c>
      <c r="W97" s="57" t="s">
        <v>81</v>
      </c>
      <c r="X97" s="57"/>
      <c r="Y97" s="57" t="s">
        <v>218</v>
      </c>
      <c r="Z97" s="58">
        <v>46122</v>
      </c>
      <c r="AA97" s="57"/>
      <c r="AB97" s="57"/>
      <c r="AC97" s="57"/>
      <c r="AD97" s="59">
        <v>96392</v>
      </c>
      <c r="AE97" s="61">
        <v>46119.449305555558</v>
      </c>
      <c r="AF97" s="59">
        <v>96563</v>
      </c>
      <c r="AG97" s="61">
        <v>46121.44027777778</v>
      </c>
      <c r="AH97" s="59">
        <f>+AF97-AD97</f>
        <v>171</v>
      </c>
      <c r="AI97" s="57">
        <v>2</v>
      </c>
      <c r="AJ97" s="57">
        <f t="shared" ref="AJ97" si="569">+AI97*5</f>
        <v>10</v>
      </c>
      <c r="AK97" s="57">
        <f t="shared" ref="AK97" si="570">+Q97-AJ97</f>
        <v>18</v>
      </c>
      <c r="AM97" s="43">
        <f t="shared" ref="AM97" si="571">+AH97/Q97</f>
        <v>6.1071428571428568</v>
      </c>
      <c r="AN97" s="43">
        <f t="shared" ref="AN97" si="572">+Q97/AI97</f>
        <v>14</v>
      </c>
      <c r="AQ97" s="34">
        <f>+N97/82.27</f>
        <v>26.024067096146833</v>
      </c>
      <c r="AR97" s="34">
        <f t="shared" ref="AR97" si="573">+AH97/11</f>
        <v>15.545454545454545</v>
      </c>
      <c r="AS97" s="34">
        <f t="shared" ref="AS97" si="574">+AR97-AQ97</f>
        <v>-10.478612550692288</v>
      </c>
      <c r="AT97" s="34">
        <f t="shared" ref="AT97" si="575">+AH97/AQ97</f>
        <v>6.5708407286314809</v>
      </c>
    </row>
    <row r="98" spans="1:51" s="11" customFormat="1" x14ac:dyDescent="0.25">
      <c r="A98" s="56">
        <v>97</v>
      </c>
      <c r="B98" s="57" t="s">
        <v>66</v>
      </c>
      <c r="C98" s="57">
        <v>3075</v>
      </c>
      <c r="D98" s="57">
        <v>3</v>
      </c>
      <c r="E98" s="57" t="s">
        <v>204</v>
      </c>
      <c r="F98" s="58">
        <v>46119</v>
      </c>
      <c r="G98" s="58">
        <v>46121</v>
      </c>
      <c r="H98" s="59">
        <v>7000</v>
      </c>
      <c r="I98" s="57">
        <v>15</v>
      </c>
      <c r="J98" s="57" t="s">
        <v>133</v>
      </c>
      <c r="K98" s="57" t="s">
        <v>3</v>
      </c>
      <c r="L98" s="57"/>
      <c r="M98" s="60">
        <f t="shared" ref="M98:M106" si="576">+N98-H98</f>
        <v>-1217</v>
      </c>
      <c r="N98" s="60">
        <f>1425+2810+1548</f>
        <v>5783</v>
      </c>
      <c r="O98" s="59"/>
      <c r="P98" s="59">
        <f>20+7</f>
        <v>27</v>
      </c>
      <c r="Q98" s="59">
        <f t="shared" si="552"/>
        <v>27</v>
      </c>
      <c r="R98" s="60">
        <f t="shared" si="553"/>
        <v>214.18518518518519</v>
      </c>
      <c r="S98" s="60">
        <f>(('Costo por negocio'!$B$4-DATA!R98)*DATA!O98)+('Costo por negocio'!$C$4-DATA!R98)*DATA!P98</f>
        <v>5395</v>
      </c>
      <c r="T98" s="58">
        <v>46122</v>
      </c>
      <c r="U98" s="57" t="s">
        <v>81</v>
      </c>
      <c r="V98" s="57" t="s">
        <v>81</v>
      </c>
      <c r="W98" s="57" t="s">
        <v>81</v>
      </c>
      <c r="X98" s="57"/>
      <c r="Y98" s="57" t="s">
        <v>216</v>
      </c>
      <c r="Z98" s="58">
        <v>46122</v>
      </c>
      <c r="AA98" s="57"/>
      <c r="AB98" s="57"/>
      <c r="AC98" s="57"/>
      <c r="AD98" s="59">
        <v>73468</v>
      </c>
      <c r="AE98" s="61">
        <v>46118.708333333336</v>
      </c>
      <c r="AF98" s="59">
        <v>74465</v>
      </c>
      <c r="AG98" s="61">
        <v>46121.650694444441</v>
      </c>
      <c r="AH98" s="59">
        <f>+AF98-AD98</f>
        <v>997</v>
      </c>
      <c r="AI98" s="57">
        <v>3</v>
      </c>
      <c r="AJ98" s="57">
        <f t="shared" ref="AJ98" si="577">+AI98*5</f>
        <v>15</v>
      </c>
      <c r="AK98" s="57">
        <f t="shared" ref="AK98" si="578">+Q98-AJ98</f>
        <v>12</v>
      </c>
      <c r="AM98" s="43">
        <f t="shared" ref="AM98" si="579">+AH98/Q98</f>
        <v>36.925925925925924</v>
      </c>
      <c r="AN98" s="43">
        <f t="shared" ref="AN98" si="580">+Q98/AI98</f>
        <v>9</v>
      </c>
      <c r="AQ98" s="34">
        <f>+N98/82.27</f>
        <v>70.292937887443784</v>
      </c>
      <c r="AR98" s="34">
        <f t="shared" ref="AR98" si="581">+AH98/11</f>
        <v>90.63636363636364</v>
      </c>
      <c r="AS98" s="34">
        <f t="shared" ref="AS98" si="582">+AR98-AQ98</f>
        <v>20.343425748919856</v>
      </c>
      <c r="AT98" s="34">
        <f t="shared" ref="AT98" si="583">+AH98/AQ98</f>
        <v>14.183501642745979</v>
      </c>
    </row>
    <row r="99" spans="1:51" s="11" customFormat="1" x14ac:dyDescent="0.25">
      <c r="A99" s="56">
        <v>98</v>
      </c>
      <c r="B99" s="57" t="s">
        <v>4</v>
      </c>
      <c r="C99" s="57">
        <v>2005</v>
      </c>
      <c r="D99" s="57">
        <v>3</v>
      </c>
      <c r="E99" s="57" t="s">
        <v>204</v>
      </c>
      <c r="F99" s="58">
        <v>46119</v>
      </c>
      <c r="G99" s="58">
        <v>46121</v>
      </c>
      <c r="H99" s="59">
        <f>20*260</f>
        <v>5200</v>
      </c>
      <c r="I99" s="57">
        <v>15</v>
      </c>
      <c r="J99" s="57" t="s">
        <v>213</v>
      </c>
      <c r="K99" s="57" t="s">
        <v>3</v>
      </c>
      <c r="L99" s="57"/>
      <c r="M99" s="60">
        <f t="shared" si="576"/>
        <v>-2118</v>
      </c>
      <c r="N99" s="60">
        <v>3082</v>
      </c>
      <c r="O99" s="59">
        <v>5</v>
      </c>
      <c r="P99" s="59">
        <v>15</v>
      </c>
      <c r="Q99" s="59">
        <f t="shared" si="552"/>
        <v>20</v>
      </c>
      <c r="R99" s="60">
        <f t="shared" si="553"/>
        <v>154.1</v>
      </c>
      <c r="S99" s="60">
        <f>(('Costo por negocio'!$B$4-DATA!R99)*DATA!O99)+('Costo por negocio'!$C$4-DATA!R99)*DATA!P99</f>
        <v>4518</v>
      </c>
      <c r="T99" s="58">
        <v>46122</v>
      </c>
      <c r="U99" s="57" t="s">
        <v>81</v>
      </c>
      <c r="V99" s="57" t="s">
        <v>81</v>
      </c>
      <c r="W99" s="57" t="s">
        <v>81</v>
      </c>
      <c r="X99" s="57"/>
      <c r="Y99" s="57" t="s">
        <v>214</v>
      </c>
      <c r="Z99" s="58">
        <v>46122</v>
      </c>
      <c r="AA99" s="57"/>
      <c r="AB99" s="57"/>
      <c r="AC99" s="57"/>
      <c r="AD99" s="59">
        <v>10338</v>
      </c>
      <c r="AE99" s="61">
        <v>46119.385416666664</v>
      </c>
      <c r="AF99" s="59">
        <v>10917</v>
      </c>
      <c r="AG99" s="61">
        <v>46122.375</v>
      </c>
      <c r="AH99" s="59">
        <f>+AF99-AD99</f>
        <v>579</v>
      </c>
      <c r="AI99" s="57">
        <v>3</v>
      </c>
      <c r="AJ99" s="57">
        <f t="shared" ref="AJ99" si="584">+AI99*5</f>
        <v>15</v>
      </c>
      <c r="AK99" s="57">
        <f t="shared" ref="AK99" si="585">+Q99-AJ99</f>
        <v>5</v>
      </c>
      <c r="AM99" s="43">
        <f t="shared" ref="AM99" si="586">+AH99/Q99</f>
        <v>28.95</v>
      </c>
      <c r="AN99" s="43">
        <f t="shared" ref="AN99" si="587">+Q99/AI99</f>
        <v>6.666666666666667</v>
      </c>
      <c r="AQ99" s="34">
        <f>+N99/82.27</f>
        <v>37.462015315424821</v>
      </c>
      <c r="AR99" s="34">
        <f t="shared" ref="AR99" si="588">+AH99/11</f>
        <v>52.636363636363633</v>
      </c>
      <c r="AS99" s="34">
        <f t="shared" ref="AS99" si="589">+AR99-AQ99</f>
        <v>15.174348320938812</v>
      </c>
      <c r="AT99" s="34">
        <f t="shared" ref="AT99" si="590">+AH99/AQ99</f>
        <v>15.455655418559378</v>
      </c>
    </row>
    <row r="100" spans="1:51" s="11" customFormat="1" x14ac:dyDescent="0.25">
      <c r="A100" s="56">
        <v>99</v>
      </c>
      <c r="B100" s="57" t="s">
        <v>9</v>
      </c>
      <c r="C100" s="57">
        <v>1618</v>
      </c>
      <c r="D100" s="57">
        <v>3</v>
      </c>
      <c r="E100" s="57" t="s">
        <v>204</v>
      </c>
      <c r="F100" s="58">
        <v>46119</v>
      </c>
      <c r="G100" s="58">
        <v>46121</v>
      </c>
      <c r="H100" s="59">
        <v>3500</v>
      </c>
      <c r="I100" s="57">
        <v>15</v>
      </c>
      <c r="J100" s="57" t="s">
        <v>10</v>
      </c>
      <c r="K100" s="57" t="s">
        <v>3</v>
      </c>
      <c r="L100" s="57"/>
      <c r="M100" s="60">
        <f t="shared" si="576"/>
        <v>674.80000000000018</v>
      </c>
      <c r="N100" s="60">
        <v>4174.8</v>
      </c>
      <c r="O100" s="59">
        <v>10</v>
      </c>
      <c r="P100" s="59"/>
      <c r="Q100" s="59">
        <f t="shared" ref="Q100" si="591">+P100+O100</f>
        <v>10</v>
      </c>
      <c r="R100" s="60">
        <f t="shared" ref="R100" si="592">(N100/Q100)</f>
        <v>417.48</v>
      </c>
      <c r="S100" s="60">
        <f>(('Costo por negocio'!$B$4-DATA!R100)*DATA!O100)+('Costo por negocio'!$C$4-DATA!R100)*DATA!P100</f>
        <v>-1394.8000000000002</v>
      </c>
      <c r="T100" s="58">
        <v>46126</v>
      </c>
      <c r="U100" s="57" t="s">
        <v>81</v>
      </c>
      <c r="V100" s="57" t="s">
        <v>81</v>
      </c>
      <c r="W100" s="57" t="s">
        <v>81</v>
      </c>
      <c r="X100" s="57"/>
      <c r="Y100" s="57" t="s">
        <v>158</v>
      </c>
      <c r="Z100" s="58">
        <v>46126</v>
      </c>
      <c r="AA100" s="57"/>
      <c r="AB100" s="57"/>
      <c r="AC100" s="57"/>
      <c r="AD100" s="59">
        <v>124847</v>
      </c>
      <c r="AE100" s="61">
        <v>46118.708333333336</v>
      </c>
      <c r="AF100" s="59">
        <v>125677</v>
      </c>
      <c r="AG100" s="61">
        <v>46122.395833333336</v>
      </c>
      <c r="AH100" s="59">
        <f>+AF100-AD100</f>
        <v>830</v>
      </c>
      <c r="AI100" s="57">
        <v>3</v>
      </c>
      <c r="AJ100" s="57">
        <f t="shared" ref="AJ100" si="593">+AI100*5</f>
        <v>15</v>
      </c>
      <c r="AK100" s="57">
        <f t="shared" ref="AK100" si="594">+Q100-AJ100</f>
        <v>-5</v>
      </c>
      <c r="AM100" s="43">
        <f t="shared" ref="AM100" si="595">+AH100/Q100</f>
        <v>83</v>
      </c>
      <c r="AN100" s="43">
        <f t="shared" ref="AN100" si="596">+Q100/AI100</f>
        <v>3.3333333333333335</v>
      </c>
      <c r="AQ100" s="34">
        <f>+N100/82.27</f>
        <v>50.745107572626722</v>
      </c>
      <c r="AR100" s="34">
        <f t="shared" ref="AR100" si="597">+AH100/11</f>
        <v>75.454545454545453</v>
      </c>
      <c r="AS100" s="34">
        <f t="shared" ref="AS100" si="598">+AR100-AQ100</f>
        <v>24.709437881918731</v>
      </c>
      <c r="AT100" s="34">
        <f t="shared" ref="AT100" si="599">+AH100/AQ100</f>
        <v>16.356256587141896</v>
      </c>
    </row>
    <row r="101" spans="1:51" s="11" customFormat="1" x14ac:dyDescent="0.25">
      <c r="A101" s="56">
        <v>100</v>
      </c>
      <c r="B101" s="57" t="s">
        <v>66</v>
      </c>
      <c r="C101" s="57">
        <v>3075</v>
      </c>
      <c r="D101" s="57">
        <v>14</v>
      </c>
      <c r="E101" s="57" t="s">
        <v>175</v>
      </c>
      <c r="F101" s="58">
        <v>46093</v>
      </c>
      <c r="G101" s="58">
        <v>46112</v>
      </c>
      <c r="H101" s="59"/>
      <c r="I101" s="57"/>
      <c r="J101" s="57" t="s">
        <v>86</v>
      </c>
      <c r="K101" s="57" t="s">
        <v>87</v>
      </c>
      <c r="L101" s="57"/>
      <c r="M101" s="60">
        <f t="shared" si="576"/>
        <v>3000</v>
      </c>
      <c r="N101" s="60">
        <f>1000+2000</f>
        <v>3000</v>
      </c>
      <c r="O101" s="59">
        <f>9+1</f>
        <v>10</v>
      </c>
      <c r="P101" s="59"/>
      <c r="Q101" s="59">
        <f t="shared" ref="Q101:Q111" si="600">+P101+O101</f>
        <v>10</v>
      </c>
      <c r="R101" s="60">
        <f t="shared" ref="R101:R111" si="601">(N101/Q101)</f>
        <v>300</v>
      </c>
      <c r="S101" s="60">
        <f>(('Costo por negocio'!$B$3-DATA!R101)*DATA!O101)+('Costo por negocio'!$C$3-DATA!R101)*DATA!P101</f>
        <v>-400</v>
      </c>
      <c r="T101" s="58">
        <v>46113</v>
      </c>
      <c r="U101" s="57" t="s">
        <v>81</v>
      </c>
      <c r="V101" s="57" t="s">
        <v>81</v>
      </c>
      <c r="W101" s="57" t="s">
        <v>81</v>
      </c>
      <c r="X101" s="57"/>
      <c r="Y101" s="57" t="s">
        <v>121</v>
      </c>
      <c r="Z101" s="58">
        <v>46113</v>
      </c>
      <c r="AA101" s="57"/>
      <c r="AB101" s="57"/>
      <c r="AC101" s="57"/>
      <c r="AD101" s="59"/>
      <c r="AE101" s="61"/>
      <c r="AF101" s="59"/>
      <c r="AG101" s="61"/>
      <c r="AH101" s="59"/>
      <c r="AI101" s="57"/>
      <c r="AJ101" s="57"/>
      <c r="AK101" s="57"/>
      <c r="AM101" s="43"/>
      <c r="AN101" s="43"/>
      <c r="AQ101" s="34"/>
      <c r="AR101" s="34"/>
      <c r="AS101" s="34"/>
      <c r="AT101" s="34"/>
    </row>
    <row r="102" spans="1:51" s="11" customFormat="1" x14ac:dyDescent="0.25">
      <c r="A102" s="56">
        <v>101</v>
      </c>
      <c r="B102" s="57" t="s">
        <v>98</v>
      </c>
      <c r="C102" s="57">
        <v>1332</v>
      </c>
      <c r="D102" s="57">
        <v>14</v>
      </c>
      <c r="E102" s="57" t="s">
        <v>175</v>
      </c>
      <c r="F102" s="58">
        <v>46093</v>
      </c>
      <c r="G102" s="58">
        <v>46112</v>
      </c>
      <c r="H102" s="59"/>
      <c r="I102" s="57"/>
      <c r="J102" s="57" t="s">
        <v>99</v>
      </c>
      <c r="K102" s="57" t="s">
        <v>87</v>
      </c>
      <c r="L102" s="57"/>
      <c r="M102" s="60">
        <f t="shared" si="576"/>
        <v>2600</v>
      </c>
      <c r="N102" s="60">
        <f>1000+1600</f>
        <v>2600</v>
      </c>
      <c r="O102" s="59">
        <v>5</v>
      </c>
      <c r="P102" s="59">
        <v>3</v>
      </c>
      <c r="Q102" s="59">
        <f t="shared" si="600"/>
        <v>8</v>
      </c>
      <c r="R102" s="60">
        <f t="shared" si="601"/>
        <v>325</v>
      </c>
      <c r="S102" s="60">
        <f>(('Costo por negocio'!$B$3-DATA!R102)*DATA!O102)+('Costo por negocio'!$C$3-DATA!R102)*DATA!P102</f>
        <v>-139</v>
      </c>
      <c r="T102" s="58">
        <v>46113</v>
      </c>
      <c r="U102" s="57" t="s">
        <v>81</v>
      </c>
      <c r="V102" s="57" t="s">
        <v>81</v>
      </c>
      <c r="W102" s="57" t="s">
        <v>81</v>
      </c>
      <c r="X102" s="57"/>
      <c r="Y102" s="57" t="s">
        <v>100</v>
      </c>
      <c r="Z102" s="58">
        <v>46113</v>
      </c>
      <c r="AA102" s="57"/>
      <c r="AB102" s="57"/>
      <c r="AC102" s="57"/>
      <c r="AD102" s="59"/>
      <c r="AE102" s="61"/>
      <c r="AF102" s="59"/>
      <c r="AG102" s="61"/>
      <c r="AH102" s="59"/>
      <c r="AI102" s="57"/>
      <c r="AJ102" s="57"/>
      <c r="AK102" s="57"/>
      <c r="AM102" s="43"/>
      <c r="AN102" s="43"/>
      <c r="AQ102" s="34"/>
      <c r="AR102" s="34"/>
      <c r="AS102" s="34"/>
      <c r="AT102" s="34"/>
    </row>
    <row r="103" spans="1:51" s="11" customFormat="1" x14ac:dyDescent="0.25">
      <c r="A103" s="56">
        <v>102</v>
      </c>
      <c r="B103" s="57" t="s">
        <v>101</v>
      </c>
      <c r="C103" s="57">
        <v>3152</v>
      </c>
      <c r="D103" s="57">
        <v>14</v>
      </c>
      <c r="E103" s="57" t="s">
        <v>175</v>
      </c>
      <c r="F103" s="58">
        <v>46093</v>
      </c>
      <c r="G103" s="58">
        <v>46112</v>
      </c>
      <c r="H103" s="59"/>
      <c r="I103" s="57"/>
      <c r="J103" s="57" t="s">
        <v>188</v>
      </c>
      <c r="K103" s="57" t="s">
        <v>87</v>
      </c>
      <c r="L103" s="57"/>
      <c r="M103" s="60">
        <f t="shared" si="576"/>
        <v>7320</v>
      </c>
      <c r="N103" s="60">
        <f>1040+1560+520+1340+2000+860</f>
        <v>7320</v>
      </c>
      <c r="O103" s="59">
        <f>20+9</f>
        <v>29</v>
      </c>
      <c r="P103" s="59"/>
      <c r="Q103" s="59">
        <f t="shared" si="600"/>
        <v>29</v>
      </c>
      <c r="R103" s="60">
        <f t="shared" si="601"/>
        <v>252.41379310344828</v>
      </c>
      <c r="S103" s="60">
        <f>(('Costo por negocio'!$B$3-DATA!R103)*DATA!O103)+('Costo por negocio'!$C$3-DATA!R103)*DATA!P103</f>
        <v>219.99999999999974</v>
      </c>
      <c r="T103" s="58">
        <v>46113</v>
      </c>
      <c r="U103" s="57" t="s">
        <v>81</v>
      </c>
      <c r="V103" s="57" t="s">
        <v>81</v>
      </c>
      <c r="W103" s="57" t="s">
        <v>81</v>
      </c>
      <c r="X103" s="57"/>
      <c r="Y103" s="57" t="s">
        <v>122</v>
      </c>
      <c r="Z103" s="58">
        <v>46113</v>
      </c>
      <c r="AA103" s="57"/>
      <c r="AB103" s="57"/>
      <c r="AC103" s="57"/>
      <c r="AD103" s="59"/>
      <c r="AE103" s="61"/>
      <c r="AF103" s="59"/>
      <c r="AG103" s="61"/>
      <c r="AH103" s="59"/>
      <c r="AI103" s="57"/>
      <c r="AJ103" s="57"/>
      <c r="AK103" s="57"/>
      <c r="AM103" s="43"/>
      <c r="AN103" s="43"/>
      <c r="AQ103" s="34"/>
      <c r="AR103" s="34"/>
      <c r="AS103" s="34"/>
      <c r="AT103" s="34"/>
    </row>
    <row r="104" spans="1:51" s="11" customFormat="1" x14ac:dyDescent="0.25">
      <c r="A104" s="56">
        <v>103</v>
      </c>
      <c r="B104" s="57" t="s">
        <v>123</v>
      </c>
      <c r="C104" s="57">
        <v>3064</v>
      </c>
      <c r="D104" s="57">
        <v>14</v>
      </c>
      <c r="E104" s="57" t="s">
        <v>175</v>
      </c>
      <c r="F104" s="58">
        <v>46093</v>
      </c>
      <c r="G104" s="58">
        <v>46112</v>
      </c>
      <c r="H104" s="59"/>
      <c r="I104" s="57"/>
      <c r="J104" s="57" t="s">
        <v>78</v>
      </c>
      <c r="K104" s="57" t="s">
        <v>87</v>
      </c>
      <c r="L104" s="57"/>
      <c r="M104" s="60">
        <f t="shared" si="576"/>
        <v>3853</v>
      </c>
      <c r="N104" s="60">
        <v>3853</v>
      </c>
      <c r="O104" s="59">
        <f>21+5</f>
        <v>26</v>
      </c>
      <c r="P104" s="59"/>
      <c r="Q104" s="59">
        <f t="shared" si="600"/>
        <v>26</v>
      </c>
      <c r="R104" s="60">
        <f t="shared" si="601"/>
        <v>148.19230769230768</v>
      </c>
      <c r="S104" s="60">
        <f>(('Costo por negocio'!$B$3-DATA!R104)*DATA!O104)+('Costo por negocio'!$C$3-DATA!R104)*DATA!P104</f>
        <v>2907.0000000000005</v>
      </c>
      <c r="T104" s="58">
        <v>46113</v>
      </c>
      <c r="U104" s="57" t="s">
        <v>81</v>
      </c>
      <c r="V104" s="57" t="s">
        <v>81</v>
      </c>
      <c r="W104" s="57" t="s">
        <v>81</v>
      </c>
      <c r="X104" s="57"/>
      <c r="Y104" s="57" t="s">
        <v>124</v>
      </c>
      <c r="Z104" s="58">
        <v>46113</v>
      </c>
      <c r="AA104" s="57"/>
      <c r="AB104" s="57"/>
      <c r="AC104" s="57"/>
      <c r="AD104" s="59"/>
      <c r="AE104" s="61"/>
      <c r="AF104" s="59"/>
      <c r="AG104" s="61"/>
      <c r="AH104" s="59"/>
      <c r="AI104" s="57"/>
      <c r="AJ104" s="57"/>
      <c r="AK104" s="57"/>
      <c r="AM104" s="43"/>
      <c r="AN104" s="43"/>
      <c r="AQ104" s="34"/>
      <c r="AR104" s="34"/>
      <c r="AS104" s="34"/>
      <c r="AT104" s="34"/>
    </row>
    <row r="105" spans="1:51" s="11" customFormat="1" x14ac:dyDescent="0.25">
      <c r="A105" s="56">
        <v>104</v>
      </c>
      <c r="B105" s="57" t="s">
        <v>11</v>
      </c>
      <c r="C105" s="57">
        <v>1512</v>
      </c>
      <c r="D105" s="57">
        <v>3</v>
      </c>
      <c r="E105" s="57" t="s">
        <v>211</v>
      </c>
      <c r="F105" s="58">
        <v>46126</v>
      </c>
      <c r="G105" s="58">
        <v>46128</v>
      </c>
      <c r="H105" s="59">
        <v>6500</v>
      </c>
      <c r="I105" s="57">
        <v>15</v>
      </c>
      <c r="J105" s="57" t="s">
        <v>118</v>
      </c>
      <c r="K105" s="57" t="s">
        <v>3</v>
      </c>
      <c r="L105" s="57"/>
      <c r="M105" s="60">
        <f t="shared" si="576"/>
        <v>667.19999999999982</v>
      </c>
      <c r="N105" s="60">
        <f>2900.5+2366+1900.7</f>
        <v>7167.2</v>
      </c>
      <c r="O105" s="59"/>
      <c r="P105" s="59">
        <v>10</v>
      </c>
      <c r="Q105" s="59">
        <f t="shared" si="600"/>
        <v>10</v>
      </c>
      <c r="R105" s="60">
        <f t="shared" si="601"/>
        <v>716.72</v>
      </c>
      <c r="S105" s="60">
        <f>(('Costo por negocio'!$B$4-DATA!R105)*DATA!O105)+('Costo por negocio'!$C$4-DATA!R105)*DATA!P105</f>
        <v>-3027.2000000000003</v>
      </c>
      <c r="T105" s="58">
        <v>46129</v>
      </c>
      <c r="U105" s="57" t="s">
        <v>81</v>
      </c>
      <c r="V105" s="57" t="s">
        <v>81</v>
      </c>
      <c r="W105" s="57" t="s">
        <v>81</v>
      </c>
      <c r="X105" s="57"/>
      <c r="Y105" s="57" t="s">
        <v>216</v>
      </c>
      <c r="Z105" s="58">
        <v>46129</v>
      </c>
      <c r="AA105" s="57"/>
      <c r="AB105" s="57"/>
      <c r="AC105" s="57"/>
      <c r="AD105" s="59">
        <v>74886</v>
      </c>
      <c r="AE105" s="61">
        <v>46125.680555555555</v>
      </c>
      <c r="AF105" s="59">
        <v>75888</v>
      </c>
      <c r="AG105" s="61">
        <v>46129.375</v>
      </c>
      <c r="AH105" s="59">
        <f t="shared" ref="AH105:AH111" si="602">+AF105-AD105</f>
        <v>1002</v>
      </c>
      <c r="AI105" s="57">
        <v>3</v>
      </c>
      <c r="AJ105" s="57">
        <f t="shared" ref="AJ105" si="603">+AI105*5</f>
        <v>15</v>
      </c>
      <c r="AK105" s="57">
        <f t="shared" ref="AK105" si="604">+Q105-AJ105</f>
        <v>-5</v>
      </c>
      <c r="AM105" s="43">
        <f t="shared" ref="AM105" si="605">+AH105/Q105</f>
        <v>100.2</v>
      </c>
      <c r="AN105" s="43">
        <f t="shared" ref="AN105" si="606">+Q105/AI105</f>
        <v>3.3333333333333335</v>
      </c>
      <c r="AQ105" s="34">
        <f t="shared" ref="AQ105:AQ111" si="607">+N105/82.27</f>
        <v>87.118026011911994</v>
      </c>
      <c r="AR105" s="34">
        <f t="shared" ref="AR105" si="608">+AH105/11</f>
        <v>91.090909090909093</v>
      </c>
      <c r="AS105" s="34">
        <f t="shared" ref="AS105" si="609">+AR105-AQ105</f>
        <v>3.9728830789970999</v>
      </c>
      <c r="AT105" s="34">
        <f t="shared" ref="AT105" si="610">+AH105/AQ105</f>
        <v>11.501638017635898</v>
      </c>
    </row>
    <row r="106" spans="1:51" s="11" customFormat="1" x14ac:dyDescent="0.25">
      <c r="A106" s="56">
        <v>105</v>
      </c>
      <c r="B106" s="57" t="s">
        <v>0</v>
      </c>
      <c r="C106" s="57">
        <v>3007</v>
      </c>
      <c r="D106" s="57">
        <v>4</v>
      </c>
      <c r="E106" s="57" t="s">
        <v>212</v>
      </c>
      <c r="F106" s="58">
        <v>46125</v>
      </c>
      <c r="G106" s="58">
        <v>46128</v>
      </c>
      <c r="H106" s="59">
        <v>3000</v>
      </c>
      <c r="I106" s="57">
        <v>20</v>
      </c>
      <c r="J106" s="57" t="s">
        <v>86</v>
      </c>
      <c r="K106" s="57" t="s">
        <v>3</v>
      </c>
      <c r="L106" s="57"/>
      <c r="M106" s="60">
        <f t="shared" si="576"/>
        <v>2215.3999999999996</v>
      </c>
      <c r="N106" s="60">
        <f>3515.4+1200+500</f>
        <v>5215.3999999999996</v>
      </c>
      <c r="O106" s="59">
        <f>20+7</f>
        <v>27</v>
      </c>
      <c r="P106" s="59"/>
      <c r="Q106" s="59">
        <f t="shared" si="600"/>
        <v>27</v>
      </c>
      <c r="R106" s="60">
        <f t="shared" si="601"/>
        <v>193.16296296296295</v>
      </c>
      <c r="S106" s="60">
        <f>(('Costo por negocio'!$B$4-DATA!R106)*DATA!O106)+('Costo por negocio'!$C$4-DATA!R106)*DATA!P106</f>
        <v>2290.6000000000004</v>
      </c>
      <c r="T106" s="58">
        <v>46129</v>
      </c>
      <c r="U106" s="57" t="s">
        <v>81</v>
      </c>
      <c r="V106" s="57" t="s">
        <v>81</v>
      </c>
      <c r="W106" s="57" t="s">
        <v>81</v>
      </c>
      <c r="X106" s="57"/>
      <c r="Y106" s="57" t="s">
        <v>142</v>
      </c>
      <c r="Z106" s="58">
        <v>46129</v>
      </c>
      <c r="AA106" s="57"/>
      <c r="AB106" s="57"/>
      <c r="AC106" s="57"/>
      <c r="AD106" s="59">
        <v>88156</v>
      </c>
      <c r="AE106" s="61">
        <v>46125.375</v>
      </c>
      <c r="AF106" s="59">
        <v>88790</v>
      </c>
      <c r="AG106" s="61">
        <v>46129.395833333336</v>
      </c>
      <c r="AH106" s="59">
        <f t="shared" si="602"/>
        <v>634</v>
      </c>
      <c r="AI106" s="57">
        <v>4</v>
      </c>
      <c r="AJ106" s="57">
        <f t="shared" ref="AJ106" si="611">+AI106*5</f>
        <v>20</v>
      </c>
      <c r="AK106" s="57">
        <f t="shared" ref="AK106" si="612">+Q106-AJ106</f>
        <v>7</v>
      </c>
      <c r="AM106" s="43">
        <f t="shared" ref="AM106" si="613">+AH106/Q106</f>
        <v>23.481481481481481</v>
      </c>
      <c r="AN106" s="43">
        <f t="shared" ref="AN106" si="614">+Q106/AI106</f>
        <v>6.75</v>
      </c>
      <c r="AQ106" s="34">
        <f t="shared" si="607"/>
        <v>63.393703658684814</v>
      </c>
      <c r="AR106" s="34">
        <f t="shared" ref="AR106" si="615">+AH106/11</f>
        <v>57.636363636363633</v>
      </c>
      <c r="AS106" s="34">
        <f t="shared" ref="AS106" si="616">+AR106-AQ106</f>
        <v>-5.7573400223211806</v>
      </c>
      <c r="AT106" s="34">
        <f t="shared" ref="AT106" si="617">+AH106/AQ106</f>
        <v>10.000993212409403</v>
      </c>
    </row>
    <row r="107" spans="1:51" s="11" customFormat="1" x14ac:dyDescent="0.25">
      <c r="A107" s="56">
        <v>106</v>
      </c>
      <c r="B107" s="57" t="s">
        <v>11</v>
      </c>
      <c r="C107" s="57">
        <v>1512</v>
      </c>
      <c r="D107" s="57">
        <v>3</v>
      </c>
      <c r="E107" s="57" t="s">
        <v>204</v>
      </c>
      <c r="F107" s="58">
        <v>46119</v>
      </c>
      <c r="G107" s="58">
        <v>46121</v>
      </c>
      <c r="H107" s="59"/>
      <c r="I107" s="57">
        <v>15</v>
      </c>
      <c r="J107" s="57" t="s">
        <v>130</v>
      </c>
      <c r="K107" s="57" t="s">
        <v>3</v>
      </c>
      <c r="L107" s="57"/>
      <c r="M107" s="60">
        <f t="shared" ref="M107:M108" si="618">+N107-H107</f>
        <v>4119.8</v>
      </c>
      <c r="N107" s="60">
        <f>1729.6+1135.7+1254.5</f>
        <v>4119.8</v>
      </c>
      <c r="O107" s="59"/>
      <c r="P107" s="59">
        <v>11</v>
      </c>
      <c r="Q107" s="59">
        <f t="shared" si="600"/>
        <v>11</v>
      </c>
      <c r="R107" s="60">
        <f t="shared" si="601"/>
        <v>374.52727272727276</v>
      </c>
      <c r="S107" s="60">
        <f>(('Costo por negocio'!$B$4-DATA!R107)*DATA!O107)+('Costo por negocio'!$C$4-DATA!R107)*DATA!P107</f>
        <v>434.19999999999965</v>
      </c>
      <c r="T107" s="58">
        <v>46122</v>
      </c>
      <c r="U107" s="57" t="s">
        <v>81</v>
      </c>
      <c r="V107" s="57" t="s">
        <v>81</v>
      </c>
      <c r="W107" s="57" t="s">
        <v>81</v>
      </c>
      <c r="X107" s="57"/>
      <c r="Y107" s="57" t="s">
        <v>215</v>
      </c>
      <c r="Z107" s="58">
        <v>46122</v>
      </c>
      <c r="AA107" s="57"/>
      <c r="AB107" s="57"/>
      <c r="AC107" s="57"/>
      <c r="AD107" s="59">
        <v>71258</v>
      </c>
      <c r="AE107" s="61">
        <v>46118.649305555555</v>
      </c>
      <c r="AF107" s="59">
        <v>71783</v>
      </c>
      <c r="AG107" s="61">
        <v>46122.381944444445</v>
      </c>
      <c r="AH107" s="59">
        <f t="shared" si="602"/>
        <v>525</v>
      </c>
      <c r="AI107" s="57">
        <v>3</v>
      </c>
      <c r="AJ107" s="57">
        <f t="shared" ref="AJ107" si="619">+AI107*5</f>
        <v>15</v>
      </c>
      <c r="AK107" s="57">
        <f t="shared" ref="AK107" si="620">+Q107-AJ107</f>
        <v>-4</v>
      </c>
      <c r="AM107" s="43">
        <f t="shared" ref="AM107" si="621">+AH107/Q107</f>
        <v>47.727272727272727</v>
      </c>
      <c r="AN107" s="43">
        <f t="shared" ref="AN107" si="622">+Q107/AI107</f>
        <v>3.6666666666666665</v>
      </c>
      <c r="AQ107" s="34">
        <f t="shared" si="607"/>
        <v>50.076577124103565</v>
      </c>
      <c r="AR107" s="34">
        <f t="shared" ref="AR107" si="623">+AH107/11</f>
        <v>47.727272727272727</v>
      </c>
      <c r="AS107" s="34">
        <f t="shared" ref="AS107" si="624">+AR107-AQ107</f>
        <v>-2.3493043968308385</v>
      </c>
      <c r="AT107" s="34">
        <f t="shared" ref="AT107" si="625">+AH107/AQ107</f>
        <v>10.483943395310451</v>
      </c>
    </row>
    <row r="108" spans="1:51" s="11" customFormat="1" x14ac:dyDescent="0.25">
      <c r="A108" s="56">
        <v>107</v>
      </c>
      <c r="B108" s="57" t="s">
        <v>169</v>
      </c>
      <c r="C108" s="57">
        <v>2030</v>
      </c>
      <c r="D108" s="57">
        <v>2</v>
      </c>
      <c r="E108" s="57" t="s">
        <v>195</v>
      </c>
      <c r="F108" s="58">
        <v>46112</v>
      </c>
      <c r="G108" s="58">
        <v>46113</v>
      </c>
      <c r="H108" s="59"/>
      <c r="I108" s="57">
        <v>10</v>
      </c>
      <c r="J108" s="57" t="s">
        <v>86</v>
      </c>
      <c r="K108" s="57" t="s">
        <v>3</v>
      </c>
      <c r="L108" s="57"/>
      <c r="M108" s="60">
        <f t="shared" si="618"/>
        <v>3571.1000000000004</v>
      </c>
      <c r="N108" s="60">
        <f>1217.8+2353.3</f>
        <v>3571.1000000000004</v>
      </c>
      <c r="O108" s="59">
        <f>12+9</f>
        <v>21</v>
      </c>
      <c r="P108" s="59"/>
      <c r="Q108" s="59">
        <f t="shared" si="600"/>
        <v>21</v>
      </c>
      <c r="R108" s="60">
        <f t="shared" si="601"/>
        <v>170.05238095238096</v>
      </c>
      <c r="S108" s="60">
        <f>(('Costo por negocio'!$B$4-DATA!R108)*DATA!O108)+('Costo por negocio'!$C$4-DATA!R108)*DATA!P108</f>
        <v>2266.9</v>
      </c>
      <c r="T108" s="58">
        <v>46122</v>
      </c>
      <c r="U108" s="57" t="s">
        <v>81</v>
      </c>
      <c r="V108" s="57" t="s">
        <v>81</v>
      </c>
      <c r="W108" s="57" t="s">
        <v>81</v>
      </c>
      <c r="X108" s="57"/>
      <c r="Y108" s="57" t="s">
        <v>219</v>
      </c>
      <c r="Z108" s="58">
        <v>46122</v>
      </c>
      <c r="AA108" s="57"/>
      <c r="AB108" s="57"/>
      <c r="AC108" s="57"/>
      <c r="AD108" s="59">
        <v>71423</v>
      </c>
      <c r="AE108" s="61">
        <v>46111.659722222219</v>
      </c>
      <c r="AF108" s="59">
        <v>71853</v>
      </c>
      <c r="AG108" s="61">
        <v>46113.71597222222</v>
      </c>
      <c r="AH108" s="59">
        <f t="shared" si="602"/>
        <v>430</v>
      </c>
      <c r="AI108" s="57">
        <v>2</v>
      </c>
      <c r="AJ108" s="57">
        <f t="shared" ref="AJ108" si="626">+AI108*5</f>
        <v>10</v>
      </c>
      <c r="AK108" s="57">
        <f t="shared" ref="AK108" si="627">+Q108-AJ108</f>
        <v>11</v>
      </c>
      <c r="AM108" s="43">
        <f t="shared" ref="AM108" si="628">+AH108/Q108</f>
        <v>20.476190476190474</v>
      </c>
      <c r="AN108" s="43">
        <f t="shared" ref="AN108" si="629">+Q108/AI108</f>
        <v>10.5</v>
      </c>
      <c r="AQ108" s="34">
        <f t="shared" si="607"/>
        <v>43.40707426765529</v>
      </c>
      <c r="AR108" s="34">
        <f t="shared" ref="AR108" si="630">+AH108/11</f>
        <v>39.090909090909093</v>
      </c>
      <c r="AS108" s="34">
        <f t="shared" ref="AS108" si="631">+AR108-AQ108</f>
        <v>-4.3161651767461962</v>
      </c>
      <c r="AT108" s="34">
        <f t="shared" ref="AT108" si="632">+AH108/AQ108</f>
        <v>9.9062193721822389</v>
      </c>
      <c r="AU108" s="11" t="s">
        <v>172</v>
      </c>
      <c r="AV108" s="11" t="s">
        <v>220</v>
      </c>
      <c r="AY108" s="11">
        <v>1</v>
      </c>
    </row>
    <row r="109" spans="1:51" s="11" customFormat="1" x14ac:dyDescent="0.25">
      <c r="A109" s="56">
        <v>108</v>
      </c>
      <c r="B109" s="57" t="s">
        <v>169</v>
      </c>
      <c r="C109" s="57">
        <v>2030</v>
      </c>
      <c r="D109" s="57">
        <v>4</v>
      </c>
      <c r="E109" s="57" t="s">
        <v>203</v>
      </c>
      <c r="F109" s="58">
        <v>46118</v>
      </c>
      <c r="G109" s="58">
        <v>46121</v>
      </c>
      <c r="H109" s="59"/>
      <c r="I109" s="57">
        <v>20</v>
      </c>
      <c r="J109" s="57" t="s">
        <v>79</v>
      </c>
      <c r="K109" s="57" t="s">
        <v>3</v>
      </c>
      <c r="L109" s="57"/>
      <c r="M109" s="60">
        <f t="shared" ref="M109" si="633">+N109-H109</f>
        <v>9176.2999999999993</v>
      </c>
      <c r="N109" s="60">
        <f>3465.2+2134.1+2797+780</f>
        <v>9176.2999999999993</v>
      </c>
      <c r="O109" s="59">
        <v>12</v>
      </c>
      <c r="P109" s="59">
        <f>20+11</f>
        <v>31</v>
      </c>
      <c r="Q109" s="59">
        <f t="shared" si="600"/>
        <v>43</v>
      </c>
      <c r="R109" s="60">
        <f t="shared" si="601"/>
        <v>213.40232558139533</v>
      </c>
      <c r="S109" s="60">
        <f>(('Costo por negocio'!$B$4-DATA!R109)*DATA!O109)+('Costo por negocio'!$C$4-DATA!R109)*DATA!P109</f>
        <v>6993.7000000000007</v>
      </c>
      <c r="T109" s="58">
        <v>46122</v>
      </c>
      <c r="U109" s="57" t="s">
        <v>81</v>
      </c>
      <c r="V109" s="57" t="s">
        <v>81</v>
      </c>
      <c r="W109" s="57" t="s">
        <v>81</v>
      </c>
      <c r="X109" s="57"/>
      <c r="Y109" s="57" t="s">
        <v>221</v>
      </c>
      <c r="Z109" s="58">
        <v>46122</v>
      </c>
      <c r="AA109" s="57"/>
      <c r="AB109" s="57"/>
      <c r="AC109" s="57"/>
      <c r="AD109" s="59">
        <v>38134</v>
      </c>
      <c r="AE109" s="61">
        <v>46118.392361111109</v>
      </c>
      <c r="AF109" s="59">
        <v>39613</v>
      </c>
      <c r="AG109" s="61">
        <v>46122.392361111109</v>
      </c>
      <c r="AH109" s="59">
        <f t="shared" si="602"/>
        <v>1479</v>
      </c>
      <c r="AI109" s="57">
        <v>4</v>
      </c>
      <c r="AJ109" s="57">
        <f t="shared" ref="AJ109:AJ110" si="634">+AI109*5</f>
        <v>20</v>
      </c>
      <c r="AK109" s="57">
        <f t="shared" ref="AK109:AK110" si="635">+Q109-AJ109</f>
        <v>23</v>
      </c>
      <c r="AM109" s="43">
        <f t="shared" ref="AM109:AM110" si="636">+AH109/Q109</f>
        <v>34.395348837209305</v>
      </c>
      <c r="AN109" s="43">
        <f t="shared" ref="AN109:AN110" si="637">+Q109/AI109</f>
        <v>10.75</v>
      </c>
      <c r="AQ109" s="34">
        <f t="shared" si="607"/>
        <v>111.53883554150966</v>
      </c>
      <c r="AR109" s="34">
        <f t="shared" ref="AR109:AR110" si="638">+AH109/11</f>
        <v>134.45454545454547</v>
      </c>
      <c r="AS109" s="34">
        <f t="shared" ref="AS109:AS110" si="639">+AR109-AQ109</f>
        <v>22.915709913035812</v>
      </c>
      <c r="AT109" s="34">
        <f t="shared" ref="AT109:AT110" si="640">+AH109/AQ109</f>
        <v>13.259955537634996</v>
      </c>
      <c r="AU109" s="11" t="s">
        <v>172</v>
      </c>
      <c r="AV109" s="11" t="s">
        <v>220</v>
      </c>
      <c r="AW109" s="11" t="s">
        <v>0</v>
      </c>
      <c r="AY109" s="11">
        <v>1</v>
      </c>
    </row>
    <row r="110" spans="1:51" s="11" customFormat="1" x14ac:dyDescent="0.25">
      <c r="A110" s="62">
        <v>109</v>
      </c>
      <c r="B110" s="63" t="s">
        <v>125</v>
      </c>
      <c r="C110" s="63">
        <v>3117</v>
      </c>
      <c r="D110" s="63">
        <v>3</v>
      </c>
      <c r="E110" s="63" t="s">
        <v>222</v>
      </c>
      <c r="F110" s="64">
        <v>46133</v>
      </c>
      <c r="G110" s="64">
        <v>46135</v>
      </c>
      <c r="H110" s="65">
        <v>6000</v>
      </c>
      <c r="I110" s="63">
        <v>15</v>
      </c>
      <c r="J110" s="63" t="s">
        <v>86</v>
      </c>
      <c r="K110" s="63" t="s">
        <v>3</v>
      </c>
      <c r="L110" s="63"/>
      <c r="M110" s="66">
        <f t="shared" ref="M110:M114" si="641">+N110-H110</f>
        <v>-4001.3</v>
      </c>
      <c r="N110" s="66">
        <v>1998.7</v>
      </c>
      <c r="O110" s="65">
        <v>15</v>
      </c>
      <c r="P110" s="65"/>
      <c r="Q110" s="65">
        <f t="shared" si="600"/>
        <v>15</v>
      </c>
      <c r="R110" s="66">
        <f t="shared" si="601"/>
        <v>133.24666666666667</v>
      </c>
      <c r="S110" s="66">
        <f>(('Costo por negocio'!$B$4-DATA!R110)*DATA!O110)+('Costo por negocio'!$C$4-DATA!R110)*DATA!P110</f>
        <v>2171.3000000000002</v>
      </c>
      <c r="T110" s="64">
        <v>46136</v>
      </c>
      <c r="U110" s="63" t="s">
        <v>81</v>
      </c>
      <c r="V110" s="63" t="s">
        <v>81</v>
      </c>
      <c r="W110" s="63" t="s">
        <v>81</v>
      </c>
      <c r="X110" s="63"/>
      <c r="Y110" s="63" t="s">
        <v>235</v>
      </c>
      <c r="Z110" s="63"/>
      <c r="AA110" s="63"/>
      <c r="AB110" s="63"/>
      <c r="AC110" s="63"/>
      <c r="AD110" s="65">
        <v>41403</v>
      </c>
      <c r="AE110" s="67">
        <v>46132.708333333336</v>
      </c>
      <c r="AF110" s="65">
        <v>43705</v>
      </c>
      <c r="AG110" s="67">
        <v>46136.392361111109</v>
      </c>
      <c r="AH110" s="65">
        <f t="shared" si="602"/>
        <v>2302</v>
      </c>
      <c r="AI110" s="63">
        <v>3</v>
      </c>
      <c r="AJ110" s="63">
        <f t="shared" si="634"/>
        <v>15</v>
      </c>
      <c r="AK110" s="63">
        <f t="shared" si="635"/>
        <v>0</v>
      </c>
      <c r="AM110" s="43">
        <f t="shared" si="636"/>
        <v>153.46666666666667</v>
      </c>
      <c r="AN110" s="43">
        <f t="shared" si="637"/>
        <v>5</v>
      </c>
      <c r="AQ110" s="34">
        <f t="shared" si="607"/>
        <v>24.294396499331473</v>
      </c>
      <c r="AR110" s="34">
        <f t="shared" si="638"/>
        <v>209.27272727272728</v>
      </c>
      <c r="AS110" s="34">
        <f t="shared" si="639"/>
        <v>184.97833077339581</v>
      </c>
      <c r="AT110" s="34">
        <f t="shared" si="640"/>
        <v>94.754360334217225</v>
      </c>
    </row>
    <row r="111" spans="1:51" s="11" customFormat="1" x14ac:dyDescent="0.25">
      <c r="A111" s="28">
        <v>110</v>
      </c>
      <c r="B111" s="29" t="s">
        <v>4</v>
      </c>
      <c r="C111" s="29">
        <v>2005</v>
      </c>
      <c r="D111" s="29">
        <v>3</v>
      </c>
      <c r="E111" s="29" t="s">
        <v>222</v>
      </c>
      <c r="F111" s="30">
        <v>46133</v>
      </c>
      <c r="G111" s="30">
        <v>46135</v>
      </c>
      <c r="H111" s="31">
        <f>20*278</f>
        <v>5560</v>
      </c>
      <c r="I111" s="29">
        <v>15</v>
      </c>
      <c r="J111" s="29" t="s">
        <v>213</v>
      </c>
      <c r="K111" s="29" t="s">
        <v>3</v>
      </c>
      <c r="L111" s="29"/>
      <c r="M111" s="32">
        <f t="shared" si="641"/>
        <v>-2228.1</v>
      </c>
      <c r="N111" s="32">
        <f>2531+800.9</f>
        <v>3331.9</v>
      </c>
      <c r="O111" s="31">
        <v>20</v>
      </c>
      <c r="P111" s="31"/>
      <c r="Q111" s="31">
        <f t="shared" si="600"/>
        <v>20</v>
      </c>
      <c r="R111" s="32">
        <f t="shared" si="601"/>
        <v>166.595</v>
      </c>
      <c r="S111" s="32">
        <f>(('Costo por negocio'!$B$4-DATA!R111)*DATA!O111)+('Costo por negocio'!$C$4-DATA!R111)*DATA!P111</f>
        <v>2228.1</v>
      </c>
      <c r="T111" s="30">
        <v>46136</v>
      </c>
      <c r="U111" s="29" t="s">
        <v>81</v>
      </c>
      <c r="V111" s="29" t="s">
        <v>81</v>
      </c>
      <c r="W111" s="29" t="s">
        <v>81</v>
      </c>
      <c r="X111" s="29"/>
      <c r="Y111" s="29" t="s">
        <v>142</v>
      </c>
      <c r="Z111" s="29"/>
      <c r="AA111" s="29"/>
      <c r="AB111" s="29"/>
      <c r="AC111" s="29"/>
      <c r="AD111" s="31">
        <v>89154</v>
      </c>
      <c r="AE111" s="33">
        <v>46133.375</v>
      </c>
      <c r="AF111" s="31">
        <v>89654</v>
      </c>
      <c r="AG111" s="33">
        <v>46136.375</v>
      </c>
      <c r="AH111" s="31">
        <f t="shared" si="602"/>
        <v>500</v>
      </c>
      <c r="AI111" s="29">
        <v>3</v>
      </c>
      <c r="AJ111" s="29">
        <f t="shared" ref="AJ111" si="642">+AI111*5</f>
        <v>15</v>
      </c>
      <c r="AK111" s="29">
        <f t="shared" ref="AK111" si="643">+Q111-AJ111</f>
        <v>5</v>
      </c>
      <c r="AM111" s="43">
        <f t="shared" ref="AM111" si="644">+AH111/Q111</f>
        <v>25</v>
      </c>
      <c r="AN111" s="43">
        <f t="shared" ref="AN111" si="645">+Q111/AI111</f>
        <v>6.666666666666667</v>
      </c>
      <c r="AQ111" s="34">
        <f t="shared" si="607"/>
        <v>40.499574571532762</v>
      </c>
      <c r="AR111" s="34">
        <f t="shared" ref="AR111" si="646">+AH111/11</f>
        <v>45.454545454545453</v>
      </c>
      <c r="AS111" s="34">
        <f t="shared" ref="AS111" si="647">+AR111-AQ111</f>
        <v>4.9549708830126917</v>
      </c>
      <c r="AT111" s="34">
        <f t="shared" ref="AT111" si="648">+AH111/AQ111</f>
        <v>12.345808697740027</v>
      </c>
    </row>
    <row r="112" spans="1:51" s="11" customFormat="1" x14ac:dyDescent="0.25">
      <c r="A112" s="50">
        <v>111</v>
      </c>
      <c r="B112" s="51" t="s">
        <v>11</v>
      </c>
      <c r="C112" s="51">
        <v>1512</v>
      </c>
      <c r="D112" s="51">
        <v>3</v>
      </c>
      <c r="E112" s="51" t="s">
        <v>222</v>
      </c>
      <c r="F112" s="52">
        <v>46133</v>
      </c>
      <c r="G112" s="52">
        <v>46135</v>
      </c>
      <c r="H112" s="53">
        <v>6500</v>
      </c>
      <c r="I112" s="51">
        <v>15</v>
      </c>
      <c r="J112" s="51" t="s">
        <v>146</v>
      </c>
      <c r="K112" s="51" t="s">
        <v>3</v>
      </c>
      <c r="L112" s="51"/>
      <c r="M112" s="54"/>
      <c r="N112" s="54"/>
      <c r="O112" s="53"/>
      <c r="P112" s="53"/>
      <c r="Q112" s="53"/>
      <c r="R112" s="54"/>
      <c r="S112" s="54"/>
      <c r="T112" s="52"/>
      <c r="U112" s="51"/>
      <c r="V112" s="51"/>
      <c r="W112" s="51"/>
      <c r="X112" s="51" t="s">
        <v>226</v>
      </c>
      <c r="Y112" s="51"/>
      <c r="Z112" s="51"/>
      <c r="AA112" s="51"/>
      <c r="AB112" s="51"/>
      <c r="AC112" s="51"/>
      <c r="AD112" s="53"/>
      <c r="AE112" s="55"/>
      <c r="AF112" s="53"/>
      <c r="AG112" s="55"/>
      <c r="AH112" s="53"/>
      <c r="AI112" s="51"/>
      <c r="AJ112" s="51"/>
      <c r="AK112" s="51"/>
      <c r="AM112" s="43"/>
      <c r="AN112" s="43"/>
      <c r="AQ112" s="34"/>
      <c r="AR112" s="34"/>
      <c r="AS112" s="34"/>
      <c r="AT112" s="34"/>
    </row>
    <row r="113" spans="1:51" s="11" customFormat="1" x14ac:dyDescent="0.25">
      <c r="A113" s="28">
        <v>112</v>
      </c>
      <c r="B113" s="29" t="s">
        <v>0</v>
      </c>
      <c r="C113" s="29">
        <v>3007</v>
      </c>
      <c r="D113" s="29">
        <v>4</v>
      </c>
      <c r="E113" s="29" t="s">
        <v>223</v>
      </c>
      <c r="F113" s="30">
        <v>46125</v>
      </c>
      <c r="G113" s="30">
        <v>46128</v>
      </c>
      <c r="H113" s="31">
        <v>4500</v>
      </c>
      <c r="I113" s="29">
        <v>20</v>
      </c>
      <c r="J113" s="29" t="s">
        <v>97</v>
      </c>
      <c r="K113" s="29" t="s">
        <v>3</v>
      </c>
      <c r="L113" s="29"/>
      <c r="M113" s="32">
        <f t="shared" si="641"/>
        <v>459</v>
      </c>
      <c r="N113" s="32">
        <f>700+4259</f>
        <v>4959</v>
      </c>
      <c r="O113" s="31">
        <f>20+11</f>
        <v>31</v>
      </c>
      <c r="P113" s="31"/>
      <c r="Q113" s="31">
        <f t="shared" ref="Q113:Q121" si="649">+P113+O113</f>
        <v>31</v>
      </c>
      <c r="R113" s="32">
        <f t="shared" ref="R113:R121" si="650">(N113/Q113)</f>
        <v>159.96774193548387</v>
      </c>
      <c r="S113" s="32">
        <f>(('Costo por negocio'!$B$4-DATA!R113)*DATA!O113)+('Costo por negocio'!$C$4-DATA!R113)*DATA!P113</f>
        <v>3659</v>
      </c>
      <c r="T113" s="30">
        <v>46136</v>
      </c>
      <c r="U113" s="29" t="s">
        <v>81</v>
      </c>
      <c r="V113" s="29" t="s">
        <v>81</v>
      </c>
      <c r="W113" s="29" t="s">
        <v>81</v>
      </c>
      <c r="X113" s="29"/>
      <c r="Y113" s="29" t="s">
        <v>233</v>
      </c>
      <c r="Z113" s="29"/>
      <c r="AA113" s="29"/>
      <c r="AB113" s="29"/>
      <c r="AC113" s="29"/>
      <c r="AD113" s="31">
        <v>131332</v>
      </c>
      <c r="AE113" s="33">
        <v>46132.375</v>
      </c>
      <c r="AF113" s="31">
        <v>132039</v>
      </c>
      <c r="AG113" s="33">
        <v>46136.395833333336</v>
      </c>
      <c r="AH113" s="31">
        <f>+AF113-AD113</f>
        <v>707</v>
      </c>
      <c r="AI113" s="29">
        <v>4</v>
      </c>
      <c r="AJ113" s="29">
        <f t="shared" ref="AJ113" si="651">+AI113*5</f>
        <v>20</v>
      </c>
      <c r="AK113" s="29">
        <f t="shared" ref="AK113" si="652">+Q113-AJ113</f>
        <v>11</v>
      </c>
      <c r="AM113" s="43">
        <f t="shared" ref="AM113" si="653">+AH113/Q113</f>
        <v>22.806451612903224</v>
      </c>
      <c r="AN113" s="43">
        <f t="shared" ref="AN113" si="654">+Q113/AI113</f>
        <v>7.75</v>
      </c>
      <c r="AQ113" s="34">
        <f>+N113/82.27</f>
        <v>60.277136258660512</v>
      </c>
      <c r="AR113" s="34">
        <f t="shared" ref="AR113" si="655">+AH113/11</f>
        <v>64.272727272727266</v>
      </c>
      <c r="AS113" s="34">
        <f t="shared" ref="AS113" si="656">+AR113-AQ113</f>
        <v>3.9955910140667541</v>
      </c>
      <c r="AT113" s="34">
        <f t="shared" ref="AT113" si="657">+AH113/AQ113</f>
        <v>11.729157088122605</v>
      </c>
    </row>
    <row r="114" spans="1:51" s="11" customFormat="1" x14ac:dyDescent="0.25">
      <c r="A114" s="28">
        <v>113</v>
      </c>
      <c r="B114" s="29" t="s">
        <v>66</v>
      </c>
      <c r="C114" s="29">
        <v>3075</v>
      </c>
      <c r="D114" s="29">
        <v>3</v>
      </c>
      <c r="E114" s="29" t="s">
        <v>222</v>
      </c>
      <c r="F114" s="30">
        <v>46133</v>
      </c>
      <c r="G114" s="30">
        <v>46135</v>
      </c>
      <c r="H114" s="31">
        <v>7000</v>
      </c>
      <c r="I114" s="29">
        <v>15</v>
      </c>
      <c r="J114" s="29" t="s">
        <v>147</v>
      </c>
      <c r="K114" s="29" t="s">
        <v>3</v>
      </c>
      <c r="L114" s="29"/>
      <c r="M114" s="32">
        <f t="shared" si="641"/>
        <v>-1755.5</v>
      </c>
      <c r="N114" s="32">
        <f>2600.5+1029+1615</f>
        <v>5244.5</v>
      </c>
      <c r="O114" s="31"/>
      <c r="P114" s="31">
        <f>20+3</f>
        <v>23</v>
      </c>
      <c r="Q114" s="31">
        <f t="shared" si="649"/>
        <v>23</v>
      </c>
      <c r="R114" s="32">
        <f t="shared" si="650"/>
        <v>228.02173913043478</v>
      </c>
      <c r="S114" s="32">
        <f>(('Costo por negocio'!$B$4-DATA!R114)*DATA!O114)+('Costo por negocio'!$C$4-DATA!R114)*DATA!P114</f>
        <v>4277.5</v>
      </c>
      <c r="T114" s="30">
        <v>46136</v>
      </c>
      <c r="U114" s="29" t="s">
        <v>81</v>
      </c>
      <c r="V114" s="29" t="s">
        <v>81</v>
      </c>
      <c r="W114" s="29" t="s">
        <v>81</v>
      </c>
      <c r="X114" s="29"/>
      <c r="Y114" s="29" t="s">
        <v>234</v>
      </c>
      <c r="Z114" s="29"/>
      <c r="AA114" s="29"/>
      <c r="AB114" s="29"/>
      <c r="AC114" s="29"/>
      <c r="AD114" s="31">
        <v>12978</v>
      </c>
      <c r="AE114" s="33">
        <v>46132.6875</v>
      </c>
      <c r="AF114" s="31">
        <v>13338</v>
      </c>
      <c r="AG114" s="33">
        <v>46135.684027777781</v>
      </c>
      <c r="AH114" s="31">
        <f>+AF114-AD114</f>
        <v>360</v>
      </c>
      <c r="AI114" s="29">
        <v>3</v>
      </c>
      <c r="AJ114" s="29">
        <f t="shared" ref="AJ114" si="658">+AI114*5</f>
        <v>15</v>
      </c>
      <c r="AK114" s="29">
        <f t="shared" ref="AK114" si="659">+Q114-AJ114</f>
        <v>8</v>
      </c>
      <c r="AM114" s="43">
        <f t="shared" ref="AM114" si="660">+AH114/Q114</f>
        <v>15.652173913043478</v>
      </c>
      <c r="AN114" s="43">
        <f t="shared" ref="AN114" si="661">+Q114/AI114</f>
        <v>7.666666666666667</v>
      </c>
      <c r="AQ114" s="34">
        <f>+N114/82.27</f>
        <v>63.747417041448891</v>
      </c>
      <c r="AR114" s="34">
        <f t="shared" ref="AR114" si="662">+AH114/11</f>
        <v>32.727272727272727</v>
      </c>
      <c r="AS114" s="34">
        <f t="shared" ref="AS114" si="663">+AR114-AQ114</f>
        <v>-31.020144314176164</v>
      </c>
      <c r="AT114" s="34">
        <f t="shared" ref="AT114" si="664">+AH114/AQ114</f>
        <v>5.6472876346648864</v>
      </c>
    </row>
    <row r="115" spans="1:51" s="11" customFormat="1" x14ac:dyDescent="0.25">
      <c r="A115" s="56">
        <v>114</v>
      </c>
      <c r="B115" s="57" t="s">
        <v>98</v>
      </c>
      <c r="C115" s="57">
        <v>1332</v>
      </c>
      <c r="D115" s="57">
        <v>9</v>
      </c>
      <c r="E115" s="57" t="s">
        <v>224</v>
      </c>
      <c r="F115" s="58">
        <v>46113</v>
      </c>
      <c r="G115" s="58">
        <v>46127</v>
      </c>
      <c r="H115" s="59"/>
      <c r="I115" s="57"/>
      <c r="J115" s="57" t="s">
        <v>99</v>
      </c>
      <c r="K115" s="57" t="s">
        <v>87</v>
      </c>
      <c r="L115" s="57"/>
      <c r="M115" s="60">
        <f t="shared" ref="M115:M121" si="665">+N115-H115</f>
        <v>2000</v>
      </c>
      <c r="N115" s="60">
        <v>2000</v>
      </c>
      <c r="O115" s="59"/>
      <c r="P115" s="59">
        <v>5</v>
      </c>
      <c r="Q115" s="59">
        <f t="shared" si="649"/>
        <v>5</v>
      </c>
      <c r="R115" s="60">
        <f t="shared" si="650"/>
        <v>400</v>
      </c>
      <c r="S115" s="60">
        <f>(('Costo por negocio'!$B$4-DATA!R115)*DATA!O115)+('Costo por negocio'!$C$4-DATA!R115)*DATA!P115</f>
        <v>70</v>
      </c>
      <c r="T115" s="58">
        <v>46129</v>
      </c>
      <c r="U115" s="57" t="s">
        <v>81</v>
      </c>
      <c r="V115" s="57" t="s">
        <v>81</v>
      </c>
      <c r="W115" s="57" t="s">
        <v>81</v>
      </c>
      <c r="X115" s="57"/>
      <c r="Y115" s="57" t="s">
        <v>100</v>
      </c>
      <c r="Z115" s="58">
        <v>46129</v>
      </c>
      <c r="AA115" s="57"/>
      <c r="AB115" s="57"/>
      <c r="AC115" s="57"/>
      <c r="AD115" s="59"/>
      <c r="AE115" s="61"/>
      <c r="AF115" s="59"/>
      <c r="AG115" s="61"/>
      <c r="AH115" s="59"/>
      <c r="AI115" s="57"/>
      <c r="AJ115" s="57"/>
      <c r="AK115" s="57"/>
      <c r="AM115" s="43"/>
      <c r="AN115" s="43"/>
      <c r="AQ115" s="34"/>
      <c r="AR115" s="34"/>
      <c r="AS115" s="34"/>
      <c r="AT115" s="34"/>
    </row>
    <row r="116" spans="1:51" s="11" customFormat="1" x14ac:dyDescent="0.25">
      <c r="A116" s="56">
        <v>115</v>
      </c>
      <c r="B116" s="57" t="s">
        <v>123</v>
      </c>
      <c r="C116" s="57">
        <v>3064</v>
      </c>
      <c r="D116" s="57">
        <v>9</v>
      </c>
      <c r="E116" s="57" t="s">
        <v>224</v>
      </c>
      <c r="F116" s="58">
        <v>46113</v>
      </c>
      <c r="G116" s="58">
        <v>46127</v>
      </c>
      <c r="H116" s="59"/>
      <c r="I116" s="57"/>
      <c r="J116" s="57" t="s">
        <v>78</v>
      </c>
      <c r="K116" s="57" t="s">
        <v>87</v>
      </c>
      <c r="L116" s="57"/>
      <c r="M116" s="60">
        <f t="shared" si="665"/>
        <v>3954</v>
      </c>
      <c r="N116" s="60">
        <f>1621.5+2332.5</f>
        <v>3954</v>
      </c>
      <c r="O116" s="59">
        <f>7+5+1</f>
        <v>13</v>
      </c>
      <c r="P116" s="59"/>
      <c r="Q116" s="59">
        <f t="shared" si="649"/>
        <v>13</v>
      </c>
      <c r="R116" s="60">
        <f t="shared" si="650"/>
        <v>304.15384615384613</v>
      </c>
      <c r="S116" s="60">
        <f>(('Costo por negocio'!$B$4-DATA!R116)*DATA!O116)+('Costo por negocio'!$C$4-DATA!R116)*DATA!P116</f>
        <v>-339.99999999999972</v>
      </c>
      <c r="T116" s="58">
        <v>46129</v>
      </c>
      <c r="U116" s="57" t="s">
        <v>81</v>
      </c>
      <c r="V116" s="57" t="s">
        <v>81</v>
      </c>
      <c r="W116" s="57" t="s">
        <v>81</v>
      </c>
      <c r="X116" s="57"/>
      <c r="Y116" s="57" t="s">
        <v>124</v>
      </c>
      <c r="Z116" s="58">
        <v>46129</v>
      </c>
      <c r="AA116" s="57"/>
      <c r="AB116" s="57"/>
      <c r="AC116" s="57"/>
      <c r="AD116" s="59"/>
      <c r="AE116" s="61"/>
      <c r="AF116" s="59"/>
      <c r="AG116" s="61"/>
      <c r="AH116" s="59"/>
      <c r="AI116" s="57"/>
      <c r="AJ116" s="57"/>
      <c r="AK116" s="57"/>
      <c r="AM116" s="43"/>
      <c r="AN116" s="43"/>
      <c r="AQ116" s="34"/>
      <c r="AR116" s="34"/>
      <c r="AS116" s="34"/>
      <c r="AT116" s="34"/>
    </row>
    <row r="117" spans="1:51" s="11" customFormat="1" x14ac:dyDescent="0.25">
      <c r="A117" s="56">
        <v>116</v>
      </c>
      <c r="B117" s="57" t="s">
        <v>103</v>
      </c>
      <c r="C117" s="57">
        <v>3065</v>
      </c>
      <c r="D117" s="57">
        <v>9</v>
      </c>
      <c r="E117" s="57" t="s">
        <v>224</v>
      </c>
      <c r="F117" s="58">
        <v>46113</v>
      </c>
      <c r="G117" s="58">
        <v>46127</v>
      </c>
      <c r="H117" s="59"/>
      <c r="I117" s="57"/>
      <c r="J117" s="57" t="s">
        <v>86</v>
      </c>
      <c r="K117" s="57" t="s">
        <v>87</v>
      </c>
      <c r="L117" s="57"/>
      <c r="M117" s="60">
        <f t="shared" si="665"/>
        <v>4082</v>
      </c>
      <c r="N117" s="60">
        <v>4082</v>
      </c>
      <c r="O117" s="59">
        <v>14</v>
      </c>
      <c r="P117" s="59"/>
      <c r="Q117" s="59">
        <f t="shared" si="649"/>
        <v>14</v>
      </c>
      <c r="R117" s="60">
        <f t="shared" si="650"/>
        <v>291.57142857142856</v>
      </c>
      <c r="S117" s="60">
        <f>(('Costo por negocio'!$B$4-DATA!R117)*DATA!O117)+('Costo por negocio'!$C$4-DATA!R117)*DATA!P117</f>
        <v>-189.99999999999977</v>
      </c>
      <c r="T117" s="58">
        <v>46129</v>
      </c>
      <c r="U117" s="57" t="s">
        <v>81</v>
      </c>
      <c r="V117" s="57" t="s">
        <v>81</v>
      </c>
      <c r="W117" s="57" t="s">
        <v>81</v>
      </c>
      <c r="X117" s="57" t="s">
        <v>231</v>
      </c>
      <c r="Y117" s="57" t="s">
        <v>225</v>
      </c>
      <c r="Z117" s="58">
        <v>46129</v>
      </c>
      <c r="AA117" s="57"/>
      <c r="AB117" s="57"/>
      <c r="AC117" s="57"/>
      <c r="AD117" s="59"/>
      <c r="AE117" s="61"/>
      <c r="AF117" s="59"/>
      <c r="AG117" s="61"/>
      <c r="AH117" s="59"/>
      <c r="AI117" s="57"/>
      <c r="AJ117" s="57"/>
      <c r="AK117" s="57"/>
      <c r="AM117" s="43"/>
      <c r="AN117" s="43"/>
      <c r="AQ117" s="34"/>
      <c r="AR117" s="34"/>
      <c r="AS117" s="34"/>
      <c r="AT117" s="34"/>
    </row>
    <row r="118" spans="1:51" s="11" customFormat="1" x14ac:dyDescent="0.25">
      <c r="A118" s="56">
        <v>117</v>
      </c>
      <c r="B118" s="57" t="s">
        <v>101</v>
      </c>
      <c r="C118" s="57">
        <v>3152</v>
      </c>
      <c r="D118" s="57">
        <v>9</v>
      </c>
      <c r="E118" s="57" t="s">
        <v>224</v>
      </c>
      <c r="F118" s="58">
        <v>46113</v>
      </c>
      <c r="G118" s="58">
        <v>46127</v>
      </c>
      <c r="H118" s="59"/>
      <c r="I118" s="57"/>
      <c r="J118" s="57" t="s">
        <v>188</v>
      </c>
      <c r="K118" s="57" t="s">
        <v>87</v>
      </c>
      <c r="L118" s="57"/>
      <c r="M118" s="60">
        <f t="shared" si="665"/>
        <v>6116</v>
      </c>
      <c r="N118" s="60">
        <f>1000+1500+1500+1560+556</f>
        <v>6116</v>
      </c>
      <c r="O118" s="59">
        <v>22</v>
      </c>
      <c r="P118" s="59"/>
      <c r="Q118" s="59">
        <f t="shared" si="649"/>
        <v>22</v>
      </c>
      <c r="R118" s="60">
        <f t="shared" si="650"/>
        <v>278</v>
      </c>
      <c r="S118" s="60">
        <f>(('Costo por negocio'!$B$4-DATA!R118)*DATA!O118)+('Costo por negocio'!$C$4-DATA!R118)*DATA!P118</f>
        <v>0</v>
      </c>
      <c r="T118" s="58">
        <v>46129</v>
      </c>
      <c r="U118" s="57" t="s">
        <v>81</v>
      </c>
      <c r="V118" s="57" t="s">
        <v>81</v>
      </c>
      <c r="W118" s="57" t="s">
        <v>81</v>
      </c>
      <c r="X118" s="57"/>
      <c r="Y118" s="57" t="s">
        <v>122</v>
      </c>
      <c r="Z118" s="58">
        <v>46129</v>
      </c>
      <c r="AA118" s="57"/>
      <c r="AB118" s="57"/>
      <c r="AC118" s="57"/>
      <c r="AD118" s="59"/>
      <c r="AE118" s="61"/>
      <c r="AF118" s="59"/>
      <c r="AG118" s="61"/>
      <c r="AH118" s="59"/>
      <c r="AI118" s="57"/>
      <c r="AJ118" s="57"/>
      <c r="AK118" s="57"/>
      <c r="AM118" s="43"/>
      <c r="AN118" s="43"/>
      <c r="AQ118" s="34"/>
      <c r="AR118" s="34"/>
      <c r="AS118" s="34"/>
      <c r="AT118" s="34"/>
    </row>
    <row r="119" spans="1:51" s="11" customFormat="1" x14ac:dyDescent="0.25">
      <c r="A119" s="56">
        <v>118</v>
      </c>
      <c r="B119" s="57" t="s">
        <v>125</v>
      </c>
      <c r="C119" s="57">
        <v>3117</v>
      </c>
      <c r="D119" s="57">
        <v>9</v>
      </c>
      <c r="E119" s="57" t="s">
        <v>224</v>
      </c>
      <c r="F119" s="58">
        <v>46113</v>
      </c>
      <c r="G119" s="58">
        <v>46127</v>
      </c>
      <c r="H119" s="59"/>
      <c r="I119" s="57"/>
      <c r="J119" s="57" t="s">
        <v>86</v>
      </c>
      <c r="K119" s="57" t="s">
        <v>87</v>
      </c>
      <c r="L119" s="57"/>
      <c r="M119" s="60">
        <f t="shared" si="665"/>
        <v>2000</v>
      </c>
      <c r="N119" s="60">
        <v>2000</v>
      </c>
      <c r="O119" s="59">
        <v>5</v>
      </c>
      <c r="P119" s="59"/>
      <c r="Q119" s="59">
        <f t="shared" si="649"/>
        <v>5</v>
      </c>
      <c r="R119" s="60">
        <f t="shared" si="650"/>
        <v>400</v>
      </c>
      <c r="S119" s="60">
        <f>(('Costo por negocio'!$B$4-DATA!R119)*DATA!O119)+('Costo por negocio'!$C$4-DATA!R119)*DATA!P119</f>
        <v>-610</v>
      </c>
      <c r="T119" s="58">
        <v>46129</v>
      </c>
      <c r="U119" s="57" t="s">
        <v>81</v>
      </c>
      <c r="V119" s="57" t="s">
        <v>81</v>
      </c>
      <c r="W119" s="57" t="s">
        <v>81</v>
      </c>
      <c r="X119" s="57"/>
      <c r="Y119" s="57" t="s">
        <v>126</v>
      </c>
      <c r="Z119" s="58">
        <v>46129</v>
      </c>
      <c r="AA119" s="57"/>
      <c r="AB119" s="57"/>
      <c r="AC119" s="57"/>
      <c r="AD119" s="59"/>
      <c r="AE119" s="61"/>
      <c r="AF119" s="59"/>
      <c r="AG119" s="61"/>
      <c r="AH119" s="59"/>
      <c r="AI119" s="57"/>
      <c r="AJ119" s="57"/>
      <c r="AK119" s="57"/>
      <c r="AM119" s="43"/>
      <c r="AN119" s="43"/>
      <c r="AQ119" s="34"/>
      <c r="AR119" s="34"/>
      <c r="AS119" s="34"/>
      <c r="AT119" s="34"/>
    </row>
    <row r="120" spans="1:51" s="11" customFormat="1" x14ac:dyDescent="0.25">
      <c r="A120" s="56">
        <v>119</v>
      </c>
      <c r="B120" s="57" t="s">
        <v>66</v>
      </c>
      <c r="C120" s="57">
        <v>3075</v>
      </c>
      <c r="D120" s="57">
        <v>9</v>
      </c>
      <c r="E120" s="57" t="s">
        <v>224</v>
      </c>
      <c r="F120" s="58">
        <v>46113</v>
      </c>
      <c r="G120" s="58">
        <v>46127</v>
      </c>
      <c r="H120" s="59"/>
      <c r="I120" s="57"/>
      <c r="J120" s="57" t="s">
        <v>86</v>
      </c>
      <c r="K120" s="57" t="s">
        <v>87</v>
      </c>
      <c r="L120" s="57"/>
      <c r="M120" s="60">
        <f t="shared" si="665"/>
        <v>1500</v>
      </c>
      <c r="N120" s="60">
        <f>1000+500</f>
        <v>1500</v>
      </c>
      <c r="O120" s="59">
        <v>5</v>
      </c>
      <c r="P120" s="59"/>
      <c r="Q120" s="59">
        <f t="shared" si="649"/>
        <v>5</v>
      </c>
      <c r="R120" s="60">
        <f t="shared" si="650"/>
        <v>300</v>
      </c>
      <c r="S120" s="60">
        <f>(('Costo por negocio'!$B$4-DATA!R120)*DATA!O120)+('Costo por negocio'!$C$4-DATA!R120)*DATA!P120</f>
        <v>-110</v>
      </c>
      <c r="T120" s="58">
        <v>46129</v>
      </c>
      <c r="U120" s="57" t="s">
        <v>81</v>
      </c>
      <c r="V120" s="57" t="s">
        <v>81</v>
      </c>
      <c r="W120" s="57" t="s">
        <v>81</v>
      </c>
      <c r="X120" s="57"/>
      <c r="Y120" s="57" t="s">
        <v>121</v>
      </c>
      <c r="Z120" s="58">
        <v>46129</v>
      </c>
      <c r="AA120" s="57"/>
      <c r="AB120" s="57"/>
      <c r="AC120" s="57"/>
      <c r="AD120" s="59"/>
      <c r="AE120" s="61"/>
      <c r="AF120" s="59"/>
      <c r="AG120" s="61"/>
      <c r="AH120" s="59"/>
      <c r="AI120" s="57"/>
      <c r="AJ120" s="57"/>
      <c r="AK120" s="57"/>
      <c r="AM120" s="43"/>
      <c r="AN120" s="43"/>
      <c r="AQ120" s="34"/>
      <c r="AR120" s="34"/>
      <c r="AS120" s="34"/>
      <c r="AT120" s="34"/>
    </row>
    <row r="121" spans="1:51" s="11" customFormat="1" x14ac:dyDescent="0.25">
      <c r="A121" s="56">
        <v>120</v>
      </c>
      <c r="B121" s="57" t="s">
        <v>169</v>
      </c>
      <c r="C121" s="57">
        <v>2030</v>
      </c>
      <c r="D121" s="57">
        <v>3</v>
      </c>
      <c r="E121" s="57" t="s">
        <v>211</v>
      </c>
      <c r="F121" s="58">
        <v>46126</v>
      </c>
      <c r="G121" s="58">
        <v>46128</v>
      </c>
      <c r="H121" s="59"/>
      <c r="I121" s="57">
        <v>3</v>
      </c>
      <c r="J121" s="57" t="s">
        <v>230</v>
      </c>
      <c r="K121" s="57" t="s">
        <v>3</v>
      </c>
      <c r="L121" s="57"/>
      <c r="M121" s="60">
        <f t="shared" si="665"/>
        <v>9120.5</v>
      </c>
      <c r="N121" s="60">
        <f>2890.5+2596+3634</f>
        <v>9120.5</v>
      </c>
      <c r="O121" s="59"/>
      <c r="P121" s="59">
        <f>17+16</f>
        <v>33</v>
      </c>
      <c r="Q121" s="59">
        <f t="shared" si="649"/>
        <v>33</v>
      </c>
      <c r="R121" s="60">
        <f t="shared" si="650"/>
        <v>276.37878787878788</v>
      </c>
      <c r="S121" s="60">
        <f>(('Costo por negocio'!$B$4-DATA!R121)*DATA!O121)+('Costo por negocio'!$C$4-DATA!R121)*DATA!P121</f>
        <v>4541.5</v>
      </c>
      <c r="T121" s="58">
        <v>46133</v>
      </c>
      <c r="U121" s="57" t="s">
        <v>81</v>
      </c>
      <c r="V121" s="57" t="s">
        <v>81</v>
      </c>
      <c r="W121" s="57" t="s">
        <v>81</v>
      </c>
      <c r="X121" s="57"/>
      <c r="Y121" s="57" t="s">
        <v>227</v>
      </c>
      <c r="Z121" s="58">
        <v>46133</v>
      </c>
      <c r="AA121" s="57"/>
      <c r="AB121" s="57"/>
      <c r="AC121" s="57"/>
      <c r="AD121" s="59">
        <v>39788</v>
      </c>
      <c r="AE121" s="61">
        <v>46125.708333333336</v>
      </c>
      <c r="AF121" s="59">
        <v>41348</v>
      </c>
      <c r="AG121" s="61">
        <v>46129.381944444445</v>
      </c>
      <c r="AH121" s="59">
        <f t="shared" ref="AH121:AH131" si="666">+AF121-AD121</f>
        <v>1560</v>
      </c>
      <c r="AI121" s="57">
        <v>3</v>
      </c>
      <c r="AJ121" s="57">
        <f t="shared" ref="AJ121" si="667">+AI121*5</f>
        <v>15</v>
      </c>
      <c r="AK121" s="57">
        <f t="shared" ref="AK121" si="668">+Q121-AJ121</f>
        <v>18</v>
      </c>
      <c r="AM121" s="43">
        <f t="shared" ref="AM121" si="669">+AH121/Q121</f>
        <v>47.272727272727273</v>
      </c>
      <c r="AN121" s="43">
        <f t="shared" ref="AN121" si="670">+Q121/AI121</f>
        <v>11</v>
      </c>
      <c r="AQ121" s="34">
        <f t="shared" ref="AQ121:AQ131" si="671">+N121/82.27</f>
        <v>110.86058101373527</v>
      </c>
      <c r="AR121" s="34">
        <f t="shared" ref="AR121" si="672">+AH121/11</f>
        <v>141.81818181818181</v>
      </c>
      <c r="AS121" s="34">
        <f t="shared" ref="AS121" si="673">+AR121-AQ121</f>
        <v>30.957600804446542</v>
      </c>
      <c r="AT121" s="34">
        <f t="shared" ref="AT121" si="674">+AH121/AQ121</f>
        <v>14.0717285236555</v>
      </c>
      <c r="AU121" s="11" t="s">
        <v>4</v>
      </c>
      <c r="AV121" s="11" t="s">
        <v>228</v>
      </c>
      <c r="AY121" s="11">
        <v>1</v>
      </c>
    </row>
    <row r="122" spans="1:51" s="11" customFormat="1" x14ac:dyDescent="0.25">
      <c r="A122" s="56">
        <v>121</v>
      </c>
      <c r="B122" s="57" t="s">
        <v>4</v>
      </c>
      <c r="C122" s="57">
        <v>2005</v>
      </c>
      <c r="D122" s="57">
        <v>3</v>
      </c>
      <c r="E122" s="57" t="s">
        <v>232</v>
      </c>
      <c r="F122" s="58">
        <v>46140</v>
      </c>
      <c r="G122" s="58">
        <v>46142</v>
      </c>
      <c r="H122" s="59">
        <f>20*278</f>
        <v>5560</v>
      </c>
      <c r="I122" s="57">
        <v>15</v>
      </c>
      <c r="J122" s="57" t="s">
        <v>6</v>
      </c>
      <c r="K122" s="57" t="s">
        <v>3</v>
      </c>
      <c r="L122" s="57"/>
      <c r="M122" s="60">
        <f>+N122-H122</f>
        <v>-2404.5</v>
      </c>
      <c r="N122" s="60">
        <f>2730.5+425</f>
        <v>3155.5</v>
      </c>
      <c r="O122" s="59">
        <v>27</v>
      </c>
      <c r="P122" s="59"/>
      <c r="Q122" s="59">
        <f t="shared" ref="Q122:Q131" si="675">+P122+O122</f>
        <v>27</v>
      </c>
      <c r="R122" s="60">
        <f t="shared" ref="R122:R131" si="676">(N122/Q122)</f>
        <v>116.87037037037037</v>
      </c>
      <c r="S122" s="60">
        <f>(('Costo por negocio'!$B$4-DATA!R122)*DATA!O122)+('Costo por negocio'!$C$4-DATA!R122)*DATA!P122</f>
        <v>4350.5</v>
      </c>
      <c r="T122" s="58">
        <v>46146</v>
      </c>
      <c r="U122" s="57" t="s">
        <v>81</v>
      </c>
      <c r="V122" s="57" t="s">
        <v>81</v>
      </c>
      <c r="W122" s="57" t="s">
        <v>81</v>
      </c>
      <c r="X122" s="57"/>
      <c r="Y122" s="57" t="s">
        <v>137</v>
      </c>
      <c r="Z122" s="58">
        <v>46146</v>
      </c>
      <c r="AA122" s="57"/>
      <c r="AB122" s="57"/>
      <c r="AC122" s="57"/>
      <c r="AD122" s="59">
        <v>81462</v>
      </c>
      <c r="AE122" s="61">
        <v>46140.375</v>
      </c>
      <c r="AF122" s="59">
        <v>82040</v>
      </c>
      <c r="AG122" s="61">
        <v>46142.726388888892</v>
      </c>
      <c r="AH122" s="59">
        <f t="shared" si="666"/>
        <v>578</v>
      </c>
      <c r="AI122" s="57">
        <v>3</v>
      </c>
      <c r="AJ122" s="57">
        <f>+AI122*5</f>
        <v>15</v>
      </c>
      <c r="AK122" s="57">
        <f>+Q122-AJ122</f>
        <v>12</v>
      </c>
      <c r="AM122" s="43">
        <f>+AH122/Q122</f>
        <v>21.407407407407408</v>
      </c>
      <c r="AN122" s="43">
        <f>+Q122/AI122</f>
        <v>9</v>
      </c>
      <c r="AQ122" s="34">
        <f t="shared" si="671"/>
        <v>38.355415096633038</v>
      </c>
      <c r="AR122" s="34">
        <f>+AH122/11</f>
        <v>52.545454545454547</v>
      </c>
      <c r="AS122" s="34">
        <f>+AR122-AQ122</f>
        <v>14.190039448821508</v>
      </c>
      <c r="AT122" s="34">
        <f>+AH122/AQ122</f>
        <v>15.069580098241167</v>
      </c>
    </row>
    <row r="123" spans="1:51" s="11" customFormat="1" x14ac:dyDescent="0.25">
      <c r="A123" s="56">
        <v>122</v>
      </c>
      <c r="B123" s="57" t="s">
        <v>0</v>
      </c>
      <c r="C123" s="57">
        <v>3007</v>
      </c>
      <c r="D123" s="57">
        <v>4</v>
      </c>
      <c r="E123" s="57" t="s">
        <v>229</v>
      </c>
      <c r="F123" s="58">
        <v>46139</v>
      </c>
      <c r="G123" s="58">
        <v>46142</v>
      </c>
      <c r="H123" s="59">
        <v>6000</v>
      </c>
      <c r="I123" s="57">
        <v>20</v>
      </c>
      <c r="J123" s="57" t="s">
        <v>97</v>
      </c>
      <c r="K123" s="57" t="s">
        <v>3</v>
      </c>
      <c r="L123" s="57"/>
      <c r="M123" s="60">
        <f>+N123-H123</f>
        <v>597.39999999999964</v>
      </c>
      <c r="N123" s="60">
        <f>1346.4+2531+2720</f>
        <v>6597.4</v>
      </c>
      <c r="O123" s="59">
        <v>14</v>
      </c>
      <c r="P123" s="59">
        <v>23</v>
      </c>
      <c r="Q123" s="59">
        <f t="shared" si="675"/>
        <v>37</v>
      </c>
      <c r="R123" s="60">
        <f t="shared" si="676"/>
        <v>178.30810810810809</v>
      </c>
      <c r="S123" s="60">
        <f>(('Costo por negocio'!$B$4-DATA!R123)*DATA!O123)+('Costo por negocio'!$C$4-DATA!R123)*DATA!P123</f>
        <v>6816.6</v>
      </c>
      <c r="T123" s="58">
        <v>46146</v>
      </c>
      <c r="U123" s="57" t="s">
        <v>81</v>
      </c>
      <c r="V123" s="57" t="s">
        <v>81</v>
      </c>
      <c r="W123" s="57" t="s">
        <v>81</v>
      </c>
      <c r="X123" s="57"/>
      <c r="Y123" s="57" t="s">
        <v>142</v>
      </c>
      <c r="Z123" s="58">
        <v>46146</v>
      </c>
      <c r="AA123" s="57"/>
      <c r="AB123" s="57"/>
      <c r="AC123" s="57"/>
      <c r="AD123" s="59">
        <v>90019</v>
      </c>
      <c r="AE123" s="61">
        <v>46139.385416666664</v>
      </c>
      <c r="AF123" s="59">
        <v>91284</v>
      </c>
      <c r="AG123" s="61">
        <v>46142.698611111111</v>
      </c>
      <c r="AH123" s="59">
        <f t="shared" si="666"/>
        <v>1265</v>
      </c>
      <c r="AI123" s="57">
        <v>3</v>
      </c>
      <c r="AJ123" s="57">
        <f>+AI123*5</f>
        <v>15</v>
      </c>
      <c r="AK123" s="57">
        <f>+Q123-AJ123</f>
        <v>22</v>
      </c>
      <c r="AM123" s="43">
        <f>+AH123/Q123</f>
        <v>34.189189189189186</v>
      </c>
      <c r="AN123" s="43">
        <f>+Q123/AI123</f>
        <v>12.333333333333334</v>
      </c>
      <c r="AQ123" s="34">
        <f t="shared" si="671"/>
        <v>80.192050565212099</v>
      </c>
      <c r="AR123" s="34">
        <f>+AH123/11</f>
        <v>115</v>
      </c>
      <c r="AS123" s="34">
        <f>+AR123-AQ123</f>
        <v>34.807949434787901</v>
      </c>
      <c r="AT123" s="34">
        <f>+AH123/AQ123</f>
        <v>15.774630915209023</v>
      </c>
    </row>
    <row r="124" spans="1:51" s="11" customFormat="1" x14ac:dyDescent="0.25">
      <c r="A124" s="56">
        <v>123</v>
      </c>
      <c r="B124" s="57" t="s">
        <v>11</v>
      </c>
      <c r="C124" s="57">
        <v>1512</v>
      </c>
      <c r="D124" s="57">
        <v>3</v>
      </c>
      <c r="E124" s="57" t="s">
        <v>232</v>
      </c>
      <c r="F124" s="58">
        <v>46140</v>
      </c>
      <c r="G124" s="58">
        <v>46142</v>
      </c>
      <c r="H124" s="59">
        <v>3500</v>
      </c>
      <c r="I124" s="57">
        <v>15</v>
      </c>
      <c r="J124" s="57" t="s">
        <v>86</v>
      </c>
      <c r="K124" s="57" t="s">
        <v>3</v>
      </c>
      <c r="L124" s="57"/>
      <c r="M124" s="60">
        <f>+N124-H124</f>
        <v>-1099.9000000000001</v>
      </c>
      <c r="N124" s="60">
        <v>2400.1</v>
      </c>
      <c r="O124" s="59">
        <v>12</v>
      </c>
      <c r="P124" s="59"/>
      <c r="Q124" s="59">
        <f t="shared" si="675"/>
        <v>12</v>
      </c>
      <c r="R124" s="60">
        <f t="shared" si="676"/>
        <v>200.00833333333333</v>
      </c>
      <c r="S124" s="60">
        <f>(('Costo por negocio'!$B$4-DATA!R124)*DATA!O124)+('Costo por negocio'!$C$4-DATA!R124)*DATA!P124</f>
        <v>935.90000000000009</v>
      </c>
      <c r="T124" s="58">
        <v>46146</v>
      </c>
      <c r="U124" s="57" t="s">
        <v>81</v>
      </c>
      <c r="V124" s="57" t="s">
        <v>81</v>
      </c>
      <c r="W124" s="57" t="s">
        <v>81</v>
      </c>
      <c r="X124" s="57"/>
      <c r="Y124" s="57" t="s">
        <v>182</v>
      </c>
      <c r="Z124" s="58">
        <v>46146</v>
      </c>
      <c r="AA124" s="57"/>
      <c r="AB124" s="57"/>
      <c r="AC124" s="57"/>
      <c r="AD124" s="59">
        <v>92136</v>
      </c>
      <c r="AE124" s="61">
        <v>46139.65625</v>
      </c>
      <c r="AF124" s="59">
        <v>92468</v>
      </c>
      <c r="AG124" s="61">
        <v>46142.649305555555</v>
      </c>
      <c r="AH124" s="59">
        <f t="shared" si="666"/>
        <v>332</v>
      </c>
      <c r="AI124" s="57">
        <v>3</v>
      </c>
      <c r="AJ124" s="57">
        <f>+AI124*5</f>
        <v>15</v>
      </c>
      <c r="AK124" s="57">
        <f>+Q124-AJ124</f>
        <v>-3</v>
      </c>
      <c r="AM124" s="43">
        <f>+AH124/Q124</f>
        <v>27.666666666666668</v>
      </c>
      <c r="AN124" s="43">
        <f>+Q124/AI124</f>
        <v>4</v>
      </c>
      <c r="AQ124" s="34">
        <f t="shared" si="671"/>
        <v>29.173453263644099</v>
      </c>
      <c r="AR124" s="34">
        <f>+AH124/11</f>
        <v>30.181818181818183</v>
      </c>
      <c r="AS124" s="34">
        <f>+AR124-AQ124</f>
        <v>1.0083649181740846</v>
      </c>
      <c r="AT124" s="34">
        <f>+AH124/AQ124</f>
        <v>11.380209157951752</v>
      </c>
    </row>
    <row r="125" spans="1:51" s="11" customFormat="1" x14ac:dyDescent="0.25">
      <c r="A125" s="56">
        <v>124</v>
      </c>
      <c r="B125" s="57" t="s">
        <v>169</v>
      </c>
      <c r="C125" s="57">
        <v>2030</v>
      </c>
      <c r="D125" s="57">
        <v>3</v>
      </c>
      <c r="E125" s="57" t="s">
        <v>222</v>
      </c>
      <c r="F125" s="58">
        <v>46126</v>
      </c>
      <c r="G125" s="58">
        <v>46128</v>
      </c>
      <c r="H125" s="59"/>
      <c r="I125" s="57">
        <v>3</v>
      </c>
      <c r="J125" s="57" t="s">
        <v>2</v>
      </c>
      <c r="K125" s="57" t="s">
        <v>3</v>
      </c>
      <c r="L125" s="57"/>
      <c r="M125" s="60">
        <f t="shared" ref="M125:M131" si="677">+N125-H125</f>
        <v>4830</v>
      </c>
      <c r="N125" s="60">
        <f>3330+1500</f>
        <v>4830</v>
      </c>
      <c r="O125" s="59"/>
      <c r="P125" s="59">
        <f>11+10</f>
        <v>21</v>
      </c>
      <c r="Q125" s="59">
        <f t="shared" si="675"/>
        <v>21</v>
      </c>
      <c r="R125" s="60">
        <f t="shared" si="676"/>
        <v>230</v>
      </c>
      <c r="S125" s="60">
        <f>(('Costo por negocio'!$B$4-DATA!R125)*DATA!O125)+('Costo por negocio'!$C$4-DATA!R125)*DATA!P125</f>
        <v>3864</v>
      </c>
      <c r="T125" s="58">
        <v>46136</v>
      </c>
      <c r="U125" s="57" t="s">
        <v>81</v>
      </c>
      <c r="V125" s="57" t="s">
        <v>81</v>
      </c>
      <c r="W125" s="57" t="s">
        <v>81</v>
      </c>
      <c r="X125" s="57"/>
      <c r="Y125" s="57" t="s">
        <v>160</v>
      </c>
      <c r="Z125" s="58">
        <v>46136</v>
      </c>
      <c r="AA125" s="57"/>
      <c r="AB125" s="57"/>
      <c r="AC125" s="57"/>
      <c r="AD125" s="59">
        <v>93207</v>
      </c>
      <c r="AE125" s="61">
        <v>46132.677083333336</v>
      </c>
      <c r="AF125" s="59">
        <v>94029</v>
      </c>
      <c r="AG125" s="61">
        <v>46136.375</v>
      </c>
      <c r="AH125" s="59">
        <f t="shared" si="666"/>
        <v>822</v>
      </c>
      <c r="AI125" s="57">
        <v>3</v>
      </c>
      <c r="AJ125" s="57">
        <f t="shared" ref="AJ125" si="678">+AI125*5</f>
        <v>15</v>
      </c>
      <c r="AK125" s="57">
        <f t="shared" ref="AK125" si="679">+Q125-AJ125</f>
        <v>6</v>
      </c>
      <c r="AM125" s="43">
        <f t="shared" ref="AM125" si="680">+AH125/Q125</f>
        <v>39.142857142857146</v>
      </c>
      <c r="AN125" s="43">
        <f t="shared" ref="AN125" si="681">+Q125/AI125</f>
        <v>7</v>
      </c>
      <c r="AQ125" s="34">
        <f t="shared" si="671"/>
        <v>58.709128479397108</v>
      </c>
      <c r="AR125" s="34">
        <f t="shared" ref="AR125" si="682">+AH125/11</f>
        <v>74.727272727272734</v>
      </c>
      <c r="AS125" s="34">
        <f t="shared" ref="AS125" si="683">+AR125-AQ125</f>
        <v>16.018144247875625</v>
      </c>
      <c r="AT125" s="34">
        <f t="shared" ref="AT125" si="684">+AH125/AQ125</f>
        <v>14.001229813664596</v>
      </c>
      <c r="AU125" s="11" t="s">
        <v>11</v>
      </c>
      <c r="AV125" s="11" t="s">
        <v>9</v>
      </c>
      <c r="AY125" s="11">
        <v>1</v>
      </c>
    </row>
    <row r="126" spans="1:51" s="11" customFormat="1" x14ac:dyDescent="0.25">
      <c r="A126" s="56">
        <v>125</v>
      </c>
      <c r="B126" s="57" t="s">
        <v>101</v>
      </c>
      <c r="C126" s="57">
        <v>3152</v>
      </c>
      <c r="D126" s="57">
        <v>2</v>
      </c>
      <c r="E126" s="57" t="s">
        <v>237</v>
      </c>
      <c r="F126" s="58">
        <v>46135</v>
      </c>
      <c r="G126" s="58">
        <v>46136</v>
      </c>
      <c r="H126" s="59"/>
      <c r="I126" s="57">
        <v>10</v>
      </c>
      <c r="J126" s="57" t="s">
        <v>188</v>
      </c>
      <c r="K126" s="57" t="s">
        <v>3</v>
      </c>
      <c r="L126" s="57"/>
      <c r="M126" s="60">
        <f t="shared" si="677"/>
        <v>2502</v>
      </c>
      <c r="N126" s="60">
        <v>2502</v>
      </c>
      <c r="O126" s="59">
        <v>9</v>
      </c>
      <c r="P126" s="59"/>
      <c r="Q126" s="59">
        <f t="shared" si="675"/>
        <v>9</v>
      </c>
      <c r="R126" s="60">
        <f t="shared" si="676"/>
        <v>278</v>
      </c>
      <c r="S126" s="60">
        <f>(('Costo por negocio'!$B$4-DATA!R126)*DATA!O126)+('Costo por negocio'!$C$4-DATA!R126)*DATA!P126</f>
        <v>0</v>
      </c>
      <c r="T126" s="58">
        <v>46140</v>
      </c>
      <c r="U126" s="57" t="s">
        <v>81</v>
      </c>
      <c r="V126" s="57" t="s">
        <v>81</v>
      </c>
      <c r="W126" s="57" t="s">
        <v>81</v>
      </c>
      <c r="X126" s="57"/>
      <c r="Y126" s="57" t="s">
        <v>236</v>
      </c>
      <c r="Z126" s="58">
        <v>46142</v>
      </c>
      <c r="AA126" s="57"/>
      <c r="AB126" s="57"/>
      <c r="AC126" s="57"/>
      <c r="AD126" s="59">
        <v>111531</v>
      </c>
      <c r="AE126" s="61">
        <v>46134.708333333336</v>
      </c>
      <c r="AF126" s="59">
        <v>111826</v>
      </c>
      <c r="AG126" s="61">
        <v>46136.6875</v>
      </c>
      <c r="AH126" s="59">
        <f t="shared" si="666"/>
        <v>295</v>
      </c>
      <c r="AI126" s="57">
        <v>2</v>
      </c>
      <c r="AJ126" s="57">
        <f t="shared" ref="AJ126" si="685">+AI126*5</f>
        <v>10</v>
      </c>
      <c r="AK126" s="57">
        <f t="shared" ref="AK126" si="686">+Q126-AJ126</f>
        <v>-1</v>
      </c>
      <c r="AM126" s="43">
        <f t="shared" ref="AM126" si="687">+AH126/Q126</f>
        <v>32.777777777777779</v>
      </c>
      <c r="AN126" s="43">
        <f t="shared" ref="AN126" si="688">+Q126/AI126</f>
        <v>4.5</v>
      </c>
      <c r="AQ126" s="34">
        <f t="shared" si="671"/>
        <v>30.412057858271545</v>
      </c>
      <c r="AR126" s="34">
        <f t="shared" ref="AR126" si="689">+AH126/11</f>
        <v>26.818181818181817</v>
      </c>
      <c r="AS126" s="34">
        <f t="shared" ref="AS126" si="690">+AR126-AQ126</f>
        <v>-3.5938760400897287</v>
      </c>
      <c r="AT126" s="34">
        <f t="shared" ref="AT126" si="691">+AH126/AQ126</f>
        <v>9.7000999200639484</v>
      </c>
    </row>
    <row r="127" spans="1:51" s="11" customFormat="1" x14ac:dyDescent="0.25">
      <c r="A127" s="56">
        <v>126</v>
      </c>
      <c r="B127" s="57" t="s">
        <v>103</v>
      </c>
      <c r="C127" s="57">
        <v>3065</v>
      </c>
      <c r="D127" s="57">
        <v>2</v>
      </c>
      <c r="E127" s="57" t="s">
        <v>237</v>
      </c>
      <c r="F127" s="58">
        <v>46135</v>
      </c>
      <c r="G127" s="58">
        <v>46136</v>
      </c>
      <c r="H127" s="59"/>
      <c r="I127" s="57">
        <v>10</v>
      </c>
      <c r="J127" s="57" t="s">
        <v>86</v>
      </c>
      <c r="K127" s="57" t="s">
        <v>3</v>
      </c>
      <c r="L127" s="57"/>
      <c r="M127" s="60">
        <f t="shared" si="677"/>
        <v>1899.61</v>
      </c>
      <c r="N127" s="60">
        <v>1899.61</v>
      </c>
      <c r="O127" s="59">
        <f>20+5</f>
        <v>25</v>
      </c>
      <c r="P127" s="59"/>
      <c r="Q127" s="59">
        <f t="shared" si="675"/>
        <v>25</v>
      </c>
      <c r="R127" s="60">
        <f t="shared" si="676"/>
        <v>75.984399999999994</v>
      </c>
      <c r="S127" s="60">
        <f>(('Costo por negocio'!$B$4-DATA!R127)*DATA!O127)+('Costo por negocio'!$C$4-DATA!R127)*DATA!P127</f>
        <v>5050.3900000000003</v>
      </c>
      <c r="T127" s="58">
        <v>46140</v>
      </c>
      <c r="U127" s="57" t="s">
        <v>81</v>
      </c>
      <c r="V127" s="57" t="s">
        <v>81</v>
      </c>
      <c r="W127" s="57" t="s">
        <v>81</v>
      </c>
      <c r="X127" s="57" t="s">
        <v>242</v>
      </c>
      <c r="Y127" s="57" t="s">
        <v>238</v>
      </c>
      <c r="Z127" s="58">
        <v>46142</v>
      </c>
      <c r="AA127" s="57"/>
      <c r="AB127" s="57"/>
      <c r="AC127" s="57"/>
      <c r="AD127" s="59">
        <v>61688</v>
      </c>
      <c r="AE127" s="61">
        <v>46135.454861111109</v>
      </c>
      <c r="AF127" s="59">
        <v>61853</v>
      </c>
      <c r="AG127" s="61">
        <v>46137.402777777781</v>
      </c>
      <c r="AH127" s="59">
        <f t="shared" si="666"/>
        <v>165</v>
      </c>
      <c r="AI127" s="57">
        <v>2</v>
      </c>
      <c r="AJ127" s="57">
        <f t="shared" ref="AJ127" si="692">+AI127*5</f>
        <v>10</v>
      </c>
      <c r="AK127" s="57">
        <f t="shared" ref="AK127" si="693">+Q127-AJ127</f>
        <v>15</v>
      </c>
      <c r="AM127" s="43">
        <f t="shared" ref="AM127" si="694">+AH127/Q127</f>
        <v>6.6</v>
      </c>
      <c r="AN127" s="43">
        <f t="shared" ref="AN127" si="695">+Q127/AI127</f>
        <v>12.5</v>
      </c>
      <c r="AQ127" s="34">
        <f t="shared" si="671"/>
        <v>23.089947733074023</v>
      </c>
      <c r="AR127" s="34">
        <f t="shared" ref="AR127" si="696">+AH127/11</f>
        <v>15</v>
      </c>
      <c r="AS127" s="34">
        <f t="shared" ref="AS127" si="697">+AR127-AQ127</f>
        <v>-8.0899477330740233</v>
      </c>
      <c r="AT127" s="34">
        <f t="shared" ref="AT127" si="698">+AH127/AQ127</f>
        <v>7.1459668037123416</v>
      </c>
    </row>
    <row r="128" spans="1:51" s="11" customFormat="1" x14ac:dyDescent="0.25">
      <c r="A128" s="56">
        <v>127</v>
      </c>
      <c r="B128" s="57" t="s">
        <v>9</v>
      </c>
      <c r="C128" s="57">
        <v>1618</v>
      </c>
      <c r="D128" s="57">
        <v>3</v>
      </c>
      <c r="E128" s="57" t="s">
        <v>211</v>
      </c>
      <c r="F128" s="58">
        <v>46126</v>
      </c>
      <c r="G128" s="58">
        <v>46128</v>
      </c>
      <c r="H128" s="59"/>
      <c r="I128" s="57">
        <v>15</v>
      </c>
      <c r="J128" s="57" t="s">
        <v>134</v>
      </c>
      <c r="K128" s="57" t="s">
        <v>3</v>
      </c>
      <c r="L128" s="57"/>
      <c r="M128" s="60">
        <f t="shared" si="677"/>
        <v>3631</v>
      </c>
      <c r="N128" s="60">
        <v>3631</v>
      </c>
      <c r="O128" s="59">
        <v>5</v>
      </c>
      <c r="P128" s="59"/>
      <c r="Q128" s="59">
        <f t="shared" si="675"/>
        <v>5</v>
      </c>
      <c r="R128" s="60">
        <f t="shared" si="676"/>
        <v>726.2</v>
      </c>
      <c r="S128" s="60">
        <f>(('Costo por negocio'!$B$4-DATA!R128)*DATA!O128)+('Costo por negocio'!$C$4-DATA!R128)*DATA!P128</f>
        <v>-2241</v>
      </c>
      <c r="T128" s="58">
        <v>46140</v>
      </c>
      <c r="U128" s="57" t="s">
        <v>81</v>
      </c>
      <c r="V128" s="57" t="s">
        <v>81</v>
      </c>
      <c r="W128" s="57" t="s">
        <v>81</v>
      </c>
      <c r="X128" s="57"/>
      <c r="Y128" s="57" t="s">
        <v>239</v>
      </c>
      <c r="Z128" s="58">
        <v>46142</v>
      </c>
      <c r="AA128" s="57"/>
      <c r="AB128" s="57"/>
      <c r="AC128" s="57"/>
      <c r="AD128" s="59">
        <v>137003</v>
      </c>
      <c r="AE128" s="61">
        <v>46125.708333333336</v>
      </c>
      <c r="AF128" s="59">
        <v>137834</v>
      </c>
      <c r="AG128" s="61">
        <v>46129.375</v>
      </c>
      <c r="AH128" s="59">
        <f t="shared" si="666"/>
        <v>831</v>
      </c>
      <c r="AI128" s="57">
        <v>3</v>
      </c>
      <c r="AJ128" s="57">
        <f t="shared" ref="AJ128:AJ129" si="699">+AI128*5</f>
        <v>15</v>
      </c>
      <c r="AK128" s="57">
        <f t="shared" ref="AK128:AK129" si="700">+Q128-AJ128</f>
        <v>-10</v>
      </c>
      <c r="AM128" s="43">
        <f t="shared" ref="AM128:AM129" si="701">+AH128/Q128</f>
        <v>166.2</v>
      </c>
      <c r="AN128" s="43">
        <f t="shared" ref="AN128:AN129" si="702">+Q128/AI128</f>
        <v>1.6666666666666667</v>
      </c>
      <c r="AQ128" s="34">
        <f t="shared" si="671"/>
        <v>44.135164701592323</v>
      </c>
      <c r="AR128" s="34">
        <f t="shared" ref="AR128:AR129" si="703">+AH128/11</f>
        <v>75.545454545454547</v>
      </c>
      <c r="AS128" s="34">
        <f t="shared" ref="AS128:AS129" si="704">+AR128-AQ128</f>
        <v>31.410289843862223</v>
      </c>
      <c r="AT128" s="34">
        <f t="shared" ref="AT128:AT129" si="705">+AH128/AQ128</f>
        <v>18.828523822638388</v>
      </c>
    </row>
    <row r="129" spans="1:51" s="11" customFormat="1" x14ac:dyDescent="0.25">
      <c r="A129" s="56">
        <v>128</v>
      </c>
      <c r="B129" s="57" t="s">
        <v>4</v>
      </c>
      <c r="C129" s="57">
        <v>2005</v>
      </c>
      <c r="D129" s="57">
        <v>3</v>
      </c>
      <c r="E129" s="57" t="s">
        <v>240</v>
      </c>
      <c r="F129" s="58">
        <v>46147</v>
      </c>
      <c r="G129" s="58">
        <v>46149</v>
      </c>
      <c r="H129" s="59">
        <f>20*278</f>
        <v>5560</v>
      </c>
      <c r="I129" s="57">
        <v>15</v>
      </c>
      <c r="J129" s="57" t="s">
        <v>6</v>
      </c>
      <c r="K129" s="57" t="s">
        <v>3</v>
      </c>
      <c r="L129" s="57"/>
      <c r="M129" s="60">
        <f t="shared" si="677"/>
        <v>-2028.1999999999998</v>
      </c>
      <c r="N129" s="60">
        <f>2909.4+622.4</f>
        <v>3531.8</v>
      </c>
      <c r="O129" s="59">
        <v>13</v>
      </c>
      <c r="P129" s="59"/>
      <c r="Q129" s="59">
        <f t="shared" si="675"/>
        <v>13</v>
      </c>
      <c r="R129" s="60">
        <f t="shared" si="676"/>
        <v>271.67692307692312</v>
      </c>
      <c r="S129" s="60">
        <f>(('Costo por negocio'!$B$5-DATA!R129)*DATA!O129)+('Costo por negocio'!$C$5-DATA!R129)*DATA!P129</f>
        <v>329.19999999999948</v>
      </c>
      <c r="T129" s="58">
        <v>46150</v>
      </c>
      <c r="U129" s="57" t="s">
        <v>81</v>
      </c>
      <c r="V129" s="57" t="s">
        <v>81</v>
      </c>
      <c r="W129" s="57" t="s">
        <v>81</v>
      </c>
      <c r="X129" s="57"/>
      <c r="Y129" s="57" t="s">
        <v>182</v>
      </c>
      <c r="Z129" s="58">
        <v>46150</v>
      </c>
      <c r="AA129" s="57"/>
      <c r="AB129" s="57"/>
      <c r="AC129" s="57"/>
      <c r="AD129" s="59">
        <v>92966</v>
      </c>
      <c r="AE129" s="61">
        <v>46147.375</v>
      </c>
      <c r="AF129" s="59">
        <v>93644</v>
      </c>
      <c r="AG129" s="61">
        <v>46150.381944444445</v>
      </c>
      <c r="AH129" s="59">
        <f t="shared" si="666"/>
        <v>678</v>
      </c>
      <c r="AI129" s="57">
        <v>3</v>
      </c>
      <c r="AJ129" s="57">
        <f t="shared" si="699"/>
        <v>15</v>
      </c>
      <c r="AK129" s="57">
        <f t="shared" si="700"/>
        <v>-2</v>
      </c>
      <c r="AM129" s="43">
        <f t="shared" si="701"/>
        <v>52.153846153846153</v>
      </c>
      <c r="AN129" s="43">
        <f t="shared" si="702"/>
        <v>4.333333333333333</v>
      </c>
      <c r="AQ129" s="34">
        <f t="shared" si="671"/>
        <v>42.92937887443783</v>
      </c>
      <c r="AR129" s="34">
        <f t="shared" si="703"/>
        <v>61.636363636363633</v>
      </c>
      <c r="AS129" s="34">
        <f t="shared" si="704"/>
        <v>18.706984761925803</v>
      </c>
      <c r="AT129" s="34">
        <f t="shared" si="705"/>
        <v>15.793380146101137</v>
      </c>
    </row>
    <row r="130" spans="1:51" s="11" customFormat="1" x14ac:dyDescent="0.25">
      <c r="A130" s="56">
        <v>129</v>
      </c>
      <c r="B130" s="57" t="s">
        <v>11</v>
      </c>
      <c r="C130" s="57">
        <v>1512</v>
      </c>
      <c r="D130" s="57">
        <v>3</v>
      </c>
      <c r="E130" s="57" t="s">
        <v>240</v>
      </c>
      <c r="F130" s="58">
        <v>46147</v>
      </c>
      <c r="G130" s="58">
        <v>46149</v>
      </c>
      <c r="H130" s="59">
        <v>6000</v>
      </c>
      <c r="I130" s="57">
        <v>15</v>
      </c>
      <c r="J130" s="57" t="s">
        <v>130</v>
      </c>
      <c r="K130" s="57" t="s">
        <v>3</v>
      </c>
      <c r="L130" s="57"/>
      <c r="M130" s="60">
        <f t="shared" si="677"/>
        <v>-1100.6000000000004</v>
      </c>
      <c r="N130" s="60">
        <f>2100.2+1339.3+1459.9</f>
        <v>4899.3999999999996</v>
      </c>
      <c r="O130" s="59"/>
      <c r="P130" s="59">
        <v>9</v>
      </c>
      <c r="Q130" s="59">
        <f t="shared" si="675"/>
        <v>9</v>
      </c>
      <c r="R130" s="60">
        <f t="shared" si="676"/>
        <v>544.37777777777774</v>
      </c>
      <c r="S130" s="60">
        <f>(('Costo por negocio'!$B$5-DATA!R130)*DATA!O130)+('Costo por negocio'!$C$5-DATA!R130)*DATA!P130</f>
        <v>-912.39999999999964</v>
      </c>
      <c r="T130" s="58">
        <v>46150</v>
      </c>
      <c r="U130" s="57" t="s">
        <v>81</v>
      </c>
      <c r="V130" s="57" t="s">
        <v>81</v>
      </c>
      <c r="W130" s="57" t="s">
        <v>81</v>
      </c>
      <c r="X130" s="57"/>
      <c r="Y130" s="57" t="s">
        <v>252</v>
      </c>
      <c r="Z130" s="58">
        <v>46150</v>
      </c>
      <c r="AA130" s="57"/>
      <c r="AB130" s="57"/>
      <c r="AC130" s="57"/>
      <c r="AD130" s="59">
        <v>31702</v>
      </c>
      <c r="AE130" s="61">
        <v>46146.708333333336</v>
      </c>
      <c r="AF130" s="59">
        <v>32332</v>
      </c>
      <c r="AG130" s="61">
        <v>46150.383333333331</v>
      </c>
      <c r="AH130" s="59">
        <f t="shared" si="666"/>
        <v>630</v>
      </c>
      <c r="AI130" s="57">
        <v>3</v>
      </c>
      <c r="AJ130" s="57">
        <f t="shared" ref="AJ130" si="706">+AI130*5</f>
        <v>15</v>
      </c>
      <c r="AK130" s="57">
        <f t="shared" ref="AK130" si="707">+Q130-AJ130</f>
        <v>-6</v>
      </c>
      <c r="AM130" s="43">
        <f t="shared" ref="AM130" si="708">+AH130/Q130</f>
        <v>70</v>
      </c>
      <c r="AN130" s="43">
        <f t="shared" ref="AN130" si="709">+Q130/AI130</f>
        <v>3</v>
      </c>
      <c r="AQ130" s="34">
        <f t="shared" si="671"/>
        <v>59.552692354442691</v>
      </c>
      <c r="AR130" s="34">
        <f t="shared" ref="AR130" si="710">+AH130/11</f>
        <v>57.272727272727273</v>
      </c>
      <c r="AS130" s="34">
        <f t="shared" ref="AS130" si="711">+AR130-AQ130</f>
        <v>-2.2799650817154173</v>
      </c>
      <c r="AT130" s="34">
        <f t="shared" ref="AT130" si="712">+AH130/AQ130</f>
        <v>10.578866800016328</v>
      </c>
    </row>
    <row r="131" spans="1:51" s="11" customFormat="1" x14ac:dyDescent="0.25">
      <c r="A131" s="56">
        <v>130</v>
      </c>
      <c r="B131" s="57" t="s">
        <v>0</v>
      </c>
      <c r="C131" s="57">
        <v>3007</v>
      </c>
      <c r="D131" s="57">
        <v>4</v>
      </c>
      <c r="E131" s="57" t="s">
        <v>241</v>
      </c>
      <c r="F131" s="58">
        <v>46146</v>
      </c>
      <c r="G131" s="58">
        <v>46149</v>
      </c>
      <c r="H131" s="59">
        <v>6000</v>
      </c>
      <c r="I131" s="57">
        <v>20</v>
      </c>
      <c r="J131" s="57" t="s">
        <v>2</v>
      </c>
      <c r="K131" s="57" t="s">
        <v>3</v>
      </c>
      <c r="L131" s="57"/>
      <c r="M131" s="60">
        <f t="shared" si="677"/>
        <v>-1589.5</v>
      </c>
      <c r="N131" s="60">
        <f>3380.5+1030</f>
        <v>4410.5</v>
      </c>
      <c r="O131" s="59">
        <f>6+11</f>
        <v>17</v>
      </c>
      <c r="P131" s="59">
        <v>14</v>
      </c>
      <c r="Q131" s="59">
        <f t="shared" si="675"/>
        <v>31</v>
      </c>
      <c r="R131" s="60">
        <f t="shared" si="676"/>
        <v>142.2741935483871</v>
      </c>
      <c r="S131" s="60">
        <f>(('Costo por negocio'!$B$5-DATA!R131)*DATA!O131)+('Costo por negocio'!$C$5-DATA!R131)*DATA!P131</f>
        <v>6840.5</v>
      </c>
      <c r="T131" s="58">
        <v>46150</v>
      </c>
      <c r="U131" s="57" t="s">
        <v>81</v>
      </c>
      <c r="V131" s="57" t="s">
        <v>81</v>
      </c>
      <c r="W131" s="57" t="s">
        <v>81</v>
      </c>
      <c r="X131" s="57"/>
      <c r="Y131" s="57" t="s">
        <v>253</v>
      </c>
      <c r="Z131" s="58">
        <v>46150</v>
      </c>
      <c r="AA131" s="57"/>
      <c r="AB131" s="57"/>
      <c r="AC131" s="57"/>
      <c r="AD131" s="59">
        <v>57210</v>
      </c>
      <c r="AE131" s="61">
        <v>46146.375</v>
      </c>
      <c r="AF131" s="59">
        <v>57911</v>
      </c>
      <c r="AG131" s="61">
        <v>46150.375</v>
      </c>
      <c r="AH131" s="59">
        <f t="shared" si="666"/>
        <v>701</v>
      </c>
      <c r="AI131" s="57">
        <v>4</v>
      </c>
      <c r="AJ131" s="57">
        <f t="shared" ref="AJ131" si="713">+AI131*5</f>
        <v>20</v>
      </c>
      <c r="AK131" s="57">
        <f t="shared" ref="AK131" si="714">+Q131-AJ131</f>
        <v>11</v>
      </c>
      <c r="AM131" s="43">
        <f t="shared" ref="AM131" si="715">+AH131/Q131</f>
        <v>22.612903225806452</v>
      </c>
      <c r="AN131" s="43">
        <f t="shared" ref="AN131" si="716">+Q131/AI131</f>
        <v>7.75</v>
      </c>
      <c r="AQ131" s="34">
        <f t="shared" si="671"/>
        <v>53.61006442202504</v>
      </c>
      <c r="AR131" s="34">
        <f t="shared" ref="AR131" si="717">+AH131/11</f>
        <v>63.727272727272727</v>
      </c>
      <c r="AS131" s="34">
        <f t="shared" ref="AS131" si="718">+AR131-AQ131</f>
        <v>10.117208305247686</v>
      </c>
      <c r="AT131" s="34">
        <f t="shared" ref="AT131" si="719">+AH131/AQ131</f>
        <v>13.075902958848204</v>
      </c>
    </row>
    <row r="132" spans="1:51" s="11" customFormat="1" x14ac:dyDescent="0.25">
      <c r="A132" s="23">
        <v>131</v>
      </c>
      <c r="B132" s="9" t="s">
        <v>125</v>
      </c>
      <c r="C132" s="9">
        <v>3117</v>
      </c>
      <c r="D132" s="9">
        <v>3</v>
      </c>
      <c r="E132" s="9" t="s">
        <v>240</v>
      </c>
      <c r="F132" s="10">
        <v>46147</v>
      </c>
      <c r="G132" s="10">
        <v>46149</v>
      </c>
      <c r="H132" s="27">
        <v>6000</v>
      </c>
      <c r="I132" s="9">
        <v>15</v>
      </c>
      <c r="J132" s="9" t="s">
        <v>79</v>
      </c>
      <c r="K132" s="9" t="s">
        <v>3</v>
      </c>
      <c r="L132" s="9"/>
      <c r="M132" s="25"/>
      <c r="N132" s="25"/>
      <c r="O132" s="27"/>
      <c r="P132" s="27"/>
      <c r="Q132" s="27"/>
      <c r="R132" s="25"/>
      <c r="S132" s="25"/>
      <c r="T132" s="10"/>
      <c r="U132" s="9"/>
      <c r="V132" s="9"/>
      <c r="W132" s="9"/>
      <c r="X132" s="9"/>
      <c r="Y132" s="9"/>
      <c r="Z132" s="9"/>
      <c r="AA132" s="9"/>
      <c r="AB132" s="9"/>
      <c r="AC132" s="9"/>
      <c r="AD132" s="27"/>
      <c r="AE132" s="42"/>
      <c r="AF132" s="27"/>
      <c r="AG132" s="42"/>
      <c r="AH132" s="27"/>
      <c r="AI132" s="9"/>
      <c r="AJ132" s="9"/>
      <c r="AK132" s="9"/>
      <c r="AM132" s="43"/>
      <c r="AN132" s="43"/>
      <c r="AQ132" s="34"/>
      <c r="AR132" s="34"/>
      <c r="AS132" s="34"/>
      <c r="AT132" s="34"/>
    </row>
    <row r="133" spans="1:51" s="11" customFormat="1" x14ac:dyDescent="0.25">
      <c r="A133" s="56">
        <v>132</v>
      </c>
      <c r="B133" s="57" t="s">
        <v>98</v>
      </c>
      <c r="C133" s="57">
        <v>1332</v>
      </c>
      <c r="D133" s="57">
        <v>11</v>
      </c>
      <c r="E133" s="57" t="s">
        <v>245</v>
      </c>
      <c r="F133" s="58">
        <v>46128</v>
      </c>
      <c r="G133" s="58">
        <v>46142</v>
      </c>
      <c r="H133" s="59"/>
      <c r="I133" s="57"/>
      <c r="J133" s="57" t="s">
        <v>99</v>
      </c>
      <c r="K133" s="57" t="s">
        <v>87</v>
      </c>
      <c r="L133" s="57"/>
      <c r="M133" s="60">
        <f t="shared" ref="M133:M136" si="720">+N133-H133</f>
        <v>3300</v>
      </c>
      <c r="N133" s="60">
        <v>3300</v>
      </c>
      <c r="O133" s="59">
        <v>6</v>
      </c>
      <c r="P133" s="59">
        <v>4</v>
      </c>
      <c r="Q133" s="59">
        <f t="shared" ref="Q133:Q139" si="721">+P133+O133</f>
        <v>10</v>
      </c>
      <c r="R133" s="60">
        <f t="shared" ref="R133:R139" si="722">(N133/Q133)</f>
        <v>330</v>
      </c>
      <c r="S133" s="60">
        <f>(('Costo por negocio'!$B$4-DATA!R133)*DATA!O133)+('Costo por negocio'!$C$4-DATA!R133)*DATA!P133</f>
        <v>24</v>
      </c>
      <c r="T133" s="58">
        <v>46146</v>
      </c>
      <c r="U133" s="57" t="s">
        <v>81</v>
      </c>
      <c r="V133" s="57" t="s">
        <v>81</v>
      </c>
      <c r="W133" s="57" t="s">
        <v>81</v>
      </c>
      <c r="X133" s="57"/>
      <c r="Y133" s="57" t="s">
        <v>100</v>
      </c>
      <c r="Z133" s="58">
        <v>46147</v>
      </c>
      <c r="AA133" s="57"/>
      <c r="AB133" s="57"/>
      <c r="AC133" s="57"/>
      <c r="AD133" s="59"/>
      <c r="AE133" s="61"/>
      <c r="AF133" s="59"/>
      <c r="AG133" s="61"/>
      <c r="AH133" s="59"/>
      <c r="AI133" s="57"/>
      <c r="AJ133" s="57"/>
      <c r="AK133" s="57"/>
      <c r="AM133" s="43"/>
      <c r="AN133" s="43"/>
      <c r="AQ133" s="34"/>
      <c r="AR133" s="34"/>
      <c r="AS133" s="34"/>
      <c r="AT133" s="34"/>
    </row>
    <row r="134" spans="1:51" s="11" customFormat="1" x14ac:dyDescent="0.25">
      <c r="A134" s="56">
        <v>133</v>
      </c>
      <c r="B134" s="57" t="s">
        <v>123</v>
      </c>
      <c r="C134" s="57">
        <v>3064</v>
      </c>
      <c r="D134" s="57">
        <v>11</v>
      </c>
      <c r="E134" s="57" t="s">
        <v>245</v>
      </c>
      <c r="F134" s="58">
        <v>46128</v>
      </c>
      <c r="G134" s="58">
        <v>46142</v>
      </c>
      <c r="H134" s="59"/>
      <c r="I134" s="57"/>
      <c r="J134" s="57" t="s">
        <v>78</v>
      </c>
      <c r="K134" s="57" t="s">
        <v>87</v>
      </c>
      <c r="L134" s="57"/>
      <c r="M134" s="60">
        <f t="shared" si="720"/>
        <v>3105</v>
      </c>
      <c r="N134" s="60">
        <f>2051+1054</f>
        <v>3105</v>
      </c>
      <c r="O134" s="59">
        <f>20+7+4</f>
        <v>31</v>
      </c>
      <c r="P134" s="59"/>
      <c r="Q134" s="59">
        <f t="shared" si="721"/>
        <v>31</v>
      </c>
      <c r="R134" s="60">
        <f t="shared" si="722"/>
        <v>100.16129032258064</v>
      </c>
      <c r="S134" s="60">
        <f>(('Costo por negocio'!$B$4-DATA!R134)*DATA!O134)+('Costo por negocio'!$C$4-DATA!R134)*DATA!P134</f>
        <v>5513</v>
      </c>
      <c r="T134" s="58">
        <v>46146</v>
      </c>
      <c r="U134" s="57" t="s">
        <v>81</v>
      </c>
      <c r="V134" s="57" t="s">
        <v>81</v>
      </c>
      <c r="W134" s="57" t="s">
        <v>81</v>
      </c>
      <c r="X134" s="57"/>
      <c r="Y134" s="57" t="s">
        <v>124</v>
      </c>
      <c r="Z134" s="58">
        <v>46147</v>
      </c>
      <c r="AA134" s="57"/>
      <c r="AB134" s="57"/>
      <c r="AC134" s="57"/>
      <c r="AD134" s="59"/>
      <c r="AE134" s="61"/>
      <c r="AF134" s="59"/>
      <c r="AG134" s="61"/>
      <c r="AH134" s="59"/>
      <c r="AI134" s="57"/>
      <c r="AJ134" s="57"/>
      <c r="AK134" s="57"/>
      <c r="AM134" s="43"/>
      <c r="AN134" s="43"/>
      <c r="AQ134" s="34"/>
      <c r="AR134" s="34"/>
      <c r="AS134" s="34"/>
      <c r="AT134" s="34"/>
    </row>
    <row r="135" spans="1:51" s="11" customFormat="1" x14ac:dyDescent="0.25">
      <c r="A135" s="56">
        <v>134</v>
      </c>
      <c r="B135" s="57" t="s">
        <v>103</v>
      </c>
      <c r="C135" s="57">
        <v>3065</v>
      </c>
      <c r="D135" s="57">
        <v>11</v>
      </c>
      <c r="E135" s="57" t="s">
        <v>245</v>
      </c>
      <c r="F135" s="58">
        <v>46128</v>
      </c>
      <c r="G135" s="58">
        <v>46142</v>
      </c>
      <c r="H135" s="59"/>
      <c r="I135" s="57"/>
      <c r="J135" s="57" t="s">
        <v>86</v>
      </c>
      <c r="K135" s="57" t="s">
        <v>87</v>
      </c>
      <c r="L135" s="57"/>
      <c r="M135" s="60">
        <f t="shared" si="720"/>
        <v>4000</v>
      </c>
      <c r="N135" s="60">
        <f>1000+3000</f>
        <v>4000</v>
      </c>
      <c r="O135" s="59">
        <v>12</v>
      </c>
      <c r="P135" s="59"/>
      <c r="Q135" s="59">
        <f t="shared" si="721"/>
        <v>12</v>
      </c>
      <c r="R135" s="60">
        <f t="shared" si="722"/>
        <v>333.33333333333331</v>
      </c>
      <c r="S135" s="60">
        <f>(('Costo por negocio'!$B$4-DATA!R135)*DATA!O135)+('Costo por negocio'!$C$4-DATA!R135)*DATA!P135</f>
        <v>-663.99999999999977</v>
      </c>
      <c r="T135" s="58">
        <v>46146</v>
      </c>
      <c r="U135" s="57" t="s">
        <v>81</v>
      </c>
      <c r="V135" s="57" t="s">
        <v>81</v>
      </c>
      <c r="W135" s="57" t="s">
        <v>81</v>
      </c>
      <c r="X135" s="57"/>
      <c r="Y135" s="57" t="s">
        <v>105</v>
      </c>
      <c r="Z135" s="58">
        <v>46147</v>
      </c>
      <c r="AA135" s="57"/>
      <c r="AB135" s="57"/>
      <c r="AC135" s="57"/>
      <c r="AD135" s="59"/>
      <c r="AE135" s="61"/>
      <c r="AF135" s="59"/>
      <c r="AG135" s="61"/>
      <c r="AH135" s="59"/>
      <c r="AI135" s="57"/>
      <c r="AJ135" s="57"/>
      <c r="AK135" s="57"/>
      <c r="AM135" s="43"/>
      <c r="AN135" s="43"/>
      <c r="AQ135" s="34"/>
      <c r="AR135" s="34"/>
      <c r="AS135" s="34"/>
      <c r="AT135" s="34"/>
    </row>
    <row r="136" spans="1:51" s="11" customFormat="1" x14ac:dyDescent="0.25">
      <c r="A136" s="56">
        <v>135</v>
      </c>
      <c r="B136" s="57" t="s">
        <v>101</v>
      </c>
      <c r="C136" s="57">
        <v>3152</v>
      </c>
      <c r="D136" s="57">
        <v>11</v>
      </c>
      <c r="E136" s="57" t="s">
        <v>245</v>
      </c>
      <c r="F136" s="58">
        <v>46128</v>
      </c>
      <c r="G136" s="58">
        <v>46142</v>
      </c>
      <c r="H136" s="59"/>
      <c r="I136" s="57"/>
      <c r="J136" s="57" t="s">
        <v>188</v>
      </c>
      <c r="K136" s="57" t="s">
        <v>87</v>
      </c>
      <c r="L136" s="57"/>
      <c r="M136" s="60">
        <f t="shared" si="720"/>
        <v>6116</v>
      </c>
      <c r="N136" s="60">
        <f>1112+1668+1224+2112</f>
        <v>6116</v>
      </c>
      <c r="O136" s="59">
        <v>22</v>
      </c>
      <c r="P136" s="59"/>
      <c r="Q136" s="59">
        <f t="shared" si="721"/>
        <v>22</v>
      </c>
      <c r="R136" s="60">
        <f t="shared" si="722"/>
        <v>278</v>
      </c>
      <c r="S136" s="60">
        <f>(('Costo por negocio'!$B$4-DATA!R136)*DATA!O136)+('Costo por negocio'!$C$4-DATA!R136)*DATA!P136</f>
        <v>0</v>
      </c>
      <c r="T136" s="58">
        <v>46146</v>
      </c>
      <c r="U136" s="57" t="s">
        <v>81</v>
      </c>
      <c r="V136" s="57" t="s">
        <v>81</v>
      </c>
      <c r="W136" s="57" t="s">
        <v>81</v>
      </c>
      <c r="X136" s="57"/>
      <c r="Y136" s="57" t="s">
        <v>102</v>
      </c>
      <c r="Z136" s="58">
        <v>46147</v>
      </c>
      <c r="AA136" s="57"/>
      <c r="AB136" s="57"/>
      <c r="AC136" s="57"/>
      <c r="AD136" s="59"/>
      <c r="AE136" s="61"/>
      <c r="AF136" s="59"/>
      <c r="AG136" s="61"/>
      <c r="AH136" s="59"/>
      <c r="AI136" s="57"/>
      <c r="AJ136" s="57"/>
      <c r="AK136" s="57"/>
      <c r="AM136" s="43"/>
      <c r="AN136" s="43"/>
      <c r="AQ136" s="34"/>
      <c r="AR136" s="34"/>
      <c r="AS136" s="34"/>
      <c r="AT136" s="34"/>
    </row>
    <row r="137" spans="1:51" s="11" customFormat="1" x14ac:dyDescent="0.25">
      <c r="A137" s="56">
        <v>136</v>
      </c>
      <c r="B137" s="57" t="s">
        <v>66</v>
      </c>
      <c r="C137" s="57">
        <v>3075</v>
      </c>
      <c r="D137" s="57">
        <v>11</v>
      </c>
      <c r="E137" s="57" t="s">
        <v>245</v>
      </c>
      <c r="F137" s="58">
        <v>46128</v>
      </c>
      <c r="G137" s="58">
        <v>46142</v>
      </c>
      <c r="H137" s="59"/>
      <c r="I137" s="57"/>
      <c r="J137" s="57" t="s">
        <v>86</v>
      </c>
      <c r="K137" s="57" t="s">
        <v>87</v>
      </c>
      <c r="L137" s="57"/>
      <c r="M137" s="60">
        <f>+N137-H137</f>
        <v>3000</v>
      </c>
      <c r="N137" s="60">
        <f>1000+2000</f>
        <v>3000</v>
      </c>
      <c r="O137" s="59">
        <v>8</v>
      </c>
      <c r="P137" s="59"/>
      <c r="Q137" s="59">
        <f t="shared" si="721"/>
        <v>8</v>
      </c>
      <c r="R137" s="60">
        <f t="shared" si="722"/>
        <v>375</v>
      </c>
      <c r="S137" s="60">
        <f>(('Costo por negocio'!$B$4-DATA!R137)*DATA!O137)+('Costo por negocio'!$C$4-DATA!R137)*DATA!P137</f>
        <v>-776</v>
      </c>
      <c r="T137" s="58">
        <v>46146</v>
      </c>
      <c r="U137" s="57" t="s">
        <v>81</v>
      </c>
      <c r="V137" s="57" t="s">
        <v>81</v>
      </c>
      <c r="W137" s="57" t="s">
        <v>81</v>
      </c>
      <c r="X137" s="57"/>
      <c r="Y137" s="57" t="s">
        <v>121</v>
      </c>
      <c r="Z137" s="58">
        <v>46147</v>
      </c>
      <c r="AA137" s="57"/>
      <c r="AB137" s="57"/>
      <c r="AC137" s="57"/>
      <c r="AD137" s="59"/>
      <c r="AE137" s="61"/>
      <c r="AF137" s="59"/>
      <c r="AG137" s="61"/>
      <c r="AH137" s="59"/>
      <c r="AI137" s="57"/>
      <c r="AJ137" s="57"/>
      <c r="AK137" s="57"/>
      <c r="AM137" s="43"/>
      <c r="AN137" s="43"/>
      <c r="AQ137" s="34"/>
      <c r="AR137" s="34"/>
      <c r="AS137" s="34"/>
      <c r="AT137" s="34"/>
    </row>
    <row r="138" spans="1:51" s="11" customFormat="1" x14ac:dyDescent="0.25">
      <c r="A138" s="56">
        <v>137</v>
      </c>
      <c r="B138" s="57" t="s">
        <v>169</v>
      </c>
      <c r="C138" s="57">
        <v>2030</v>
      </c>
      <c r="D138" s="57">
        <v>2</v>
      </c>
      <c r="E138" s="57" t="s">
        <v>246</v>
      </c>
      <c r="F138" s="58">
        <v>46140</v>
      </c>
      <c r="G138" s="58">
        <v>46141</v>
      </c>
      <c r="H138" s="59"/>
      <c r="I138" s="57">
        <v>2</v>
      </c>
      <c r="J138" s="57" t="s">
        <v>249</v>
      </c>
      <c r="K138" s="57" t="s">
        <v>3</v>
      </c>
      <c r="L138" s="57"/>
      <c r="M138" s="60">
        <f>+N138-H138</f>
        <v>3199</v>
      </c>
      <c r="N138" s="60">
        <v>3199</v>
      </c>
      <c r="O138" s="59"/>
      <c r="P138" s="59">
        <v>14</v>
      </c>
      <c r="Q138" s="59">
        <f t="shared" si="721"/>
        <v>14</v>
      </c>
      <c r="R138" s="60">
        <f t="shared" si="722"/>
        <v>228.5</v>
      </c>
      <c r="S138" s="60">
        <f>(('Costo por negocio'!$B$4-DATA!R138)*DATA!O138)+('Costo por negocio'!$C$4-DATA!R138)*DATA!P138</f>
        <v>2597</v>
      </c>
      <c r="T138" s="58">
        <v>46146</v>
      </c>
      <c r="U138" s="57" t="s">
        <v>81</v>
      </c>
      <c r="V138" s="57" t="s">
        <v>81</v>
      </c>
      <c r="W138" s="57" t="s">
        <v>81</v>
      </c>
      <c r="X138" s="57"/>
      <c r="Y138" s="57" t="s">
        <v>160</v>
      </c>
      <c r="Z138" s="58">
        <v>46136</v>
      </c>
      <c r="AA138" s="57"/>
      <c r="AB138" s="57"/>
      <c r="AC138" s="57"/>
      <c r="AD138" s="59">
        <v>134799</v>
      </c>
      <c r="AE138" s="61">
        <v>46139.708333333336</v>
      </c>
      <c r="AF138" s="59">
        <v>135207</v>
      </c>
      <c r="AG138" s="61">
        <v>46142.399305555555</v>
      </c>
      <c r="AH138" s="59">
        <f>+AF138-AD138</f>
        <v>408</v>
      </c>
      <c r="AI138" s="57">
        <v>2</v>
      </c>
      <c r="AJ138" s="57">
        <f>+AI138*5</f>
        <v>10</v>
      </c>
      <c r="AK138" s="57">
        <f>+Q138-AJ138</f>
        <v>4</v>
      </c>
      <c r="AM138" s="43">
        <f>+AH138/Q138</f>
        <v>29.142857142857142</v>
      </c>
      <c r="AN138" s="43">
        <f>+Q138/AI138</f>
        <v>7</v>
      </c>
      <c r="AQ138" s="34">
        <f>+N138/82.27</f>
        <v>38.884161905919534</v>
      </c>
      <c r="AR138" s="34">
        <f>+AH138/11</f>
        <v>37.090909090909093</v>
      </c>
      <c r="AS138" s="34">
        <f>+AR138-AQ138</f>
        <v>-1.7932528150104403</v>
      </c>
      <c r="AT138" s="34">
        <f>+AH138/AQ138</f>
        <v>10.492703969990622</v>
      </c>
      <c r="AU138" s="11" t="s">
        <v>247</v>
      </c>
      <c r="AY138" s="11">
        <v>1</v>
      </c>
    </row>
    <row r="139" spans="1:51" s="11" customFormat="1" x14ac:dyDescent="0.25">
      <c r="A139" s="56">
        <v>138</v>
      </c>
      <c r="B139" s="57" t="s">
        <v>103</v>
      </c>
      <c r="C139" s="57">
        <v>3065</v>
      </c>
      <c r="D139" s="57">
        <v>2</v>
      </c>
      <c r="E139" s="57" t="s">
        <v>248</v>
      </c>
      <c r="F139" s="58">
        <v>46143</v>
      </c>
      <c r="G139" s="58">
        <v>46147</v>
      </c>
      <c r="H139" s="59"/>
      <c r="I139" s="57"/>
      <c r="J139" s="57" t="s">
        <v>86</v>
      </c>
      <c r="K139" s="57" t="s">
        <v>87</v>
      </c>
      <c r="L139" s="57"/>
      <c r="M139" s="60">
        <f>+N139-H139</f>
        <v>2000</v>
      </c>
      <c r="N139" s="60">
        <v>2000</v>
      </c>
      <c r="O139" s="59">
        <v>7</v>
      </c>
      <c r="P139" s="59"/>
      <c r="Q139" s="59">
        <f t="shared" si="721"/>
        <v>7</v>
      </c>
      <c r="R139" s="60">
        <f t="shared" si="722"/>
        <v>285.71428571428572</v>
      </c>
      <c r="S139" s="60">
        <f>(('Costo por negocio'!$B$5-DATA!R139)*DATA!O139)+('Costo por negocio'!$C$5-DATA!R139)*DATA!P139</f>
        <v>78.999999999999943</v>
      </c>
      <c r="T139" s="58">
        <v>46147</v>
      </c>
      <c r="U139" s="57" t="s">
        <v>81</v>
      </c>
      <c r="V139" s="57" t="s">
        <v>81</v>
      </c>
      <c r="W139" s="57" t="s">
        <v>81</v>
      </c>
      <c r="X139" s="57"/>
      <c r="Y139" s="57" t="s">
        <v>105</v>
      </c>
      <c r="Z139" s="58">
        <v>46147</v>
      </c>
      <c r="AA139" s="57"/>
      <c r="AB139" s="57"/>
      <c r="AC139" s="57"/>
      <c r="AD139" s="59"/>
      <c r="AE139" s="61"/>
      <c r="AF139" s="59"/>
      <c r="AG139" s="61"/>
      <c r="AH139" s="59"/>
      <c r="AI139" s="57"/>
      <c r="AJ139" s="57"/>
      <c r="AK139" s="57"/>
      <c r="AM139" s="43"/>
      <c r="AN139" s="43"/>
      <c r="AQ139" s="34"/>
      <c r="AR139" s="34"/>
      <c r="AS139" s="34"/>
      <c r="AT139" s="34"/>
    </row>
    <row r="140" spans="1:51" s="11" customFormat="1" x14ac:dyDescent="0.25">
      <c r="A140" s="23">
        <v>139</v>
      </c>
      <c r="B140" s="9" t="s">
        <v>11</v>
      </c>
      <c r="C140" s="9">
        <v>1512</v>
      </c>
      <c r="D140" s="9">
        <v>3</v>
      </c>
      <c r="E140" s="9" t="s">
        <v>250</v>
      </c>
      <c r="F140" s="10">
        <v>46154</v>
      </c>
      <c r="G140" s="10">
        <v>46156</v>
      </c>
      <c r="H140" s="27">
        <v>6500</v>
      </c>
      <c r="I140" s="9">
        <v>15</v>
      </c>
      <c r="J140" s="9" t="s">
        <v>118</v>
      </c>
      <c r="K140" s="9" t="s">
        <v>3</v>
      </c>
      <c r="L140" s="9"/>
      <c r="M140" s="25"/>
      <c r="N140" s="25"/>
      <c r="O140" s="27"/>
      <c r="P140" s="27"/>
      <c r="Q140" s="27"/>
      <c r="R140" s="25"/>
      <c r="S140" s="25"/>
      <c r="T140" s="10"/>
      <c r="U140" s="9"/>
      <c r="V140" s="9"/>
      <c r="W140" s="9"/>
      <c r="X140" s="9"/>
      <c r="Y140" s="9"/>
      <c r="Z140" s="9"/>
      <c r="AA140" s="9"/>
      <c r="AB140" s="9"/>
      <c r="AC140" s="9"/>
      <c r="AD140" s="27"/>
      <c r="AE140" s="42"/>
      <c r="AF140" s="27"/>
      <c r="AG140" s="42"/>
      <c r="AH140" s="27"/>
      <c r="AI140" s="9"/>
      <c r="AJ140" s="9"/>
      <c r="AK140" s="9"/>
      <c r="AM140" s="43"/>
      <c r="AN140" s="43"/>
      <c r="AQ140" s="34"/>
      <c r="AR140" s="34"/>
      <c r="AS140" s="34"/>
      <c r="AT140" s="34"/>
    </row>
    <row r="141" spans="1:51" s="11" customFormat="1" x14ac:dyDescent="0.25">
      <c r="A141" s="23">
        <v>140</v>
      </c>
      <c r="B141" s="9" t="s">
        <v>0</v>
      </c>
      <c r="C141" s="9">
        <v>3007</v>
      </c>
      <c r="D141" s="9">
        <v>4</v>
      </c>
      <c r="E141" s="9" t="s">
        <v>251</v>
      </c>
      <c r="F141" s="10">
        <v>46153</v>
      </c>
      <c r="G141" s="10">
        <v>46156</v>
      </c>
      <c r="H141" s="27">
        <v>5000</v>
      </c>
      <c r="I141" s="9">
        <v>20</v>
      </c>
      <c r="J141" s="9" t="s">
        <v>2</v>
      </c>
      <c r="K141" s="9" t="s">
        <v>3</v>
      </c>
      <c r="L141" s="9"/>
      <c r="M141" s="25"/>
      <c r="N141" s="25"/>
      <c r="O141" s="27"/>
      <c r="P141" s="27"/>
      <c r="Q141" s="27"/>
      <c r="R141" s="25"/>
      <c r="S141" s="25"/>
      <c r="T141" s="10"/>
      <c r="U141" s="9"/>
      <c r="V141" s="9"/>
      <c r="W141" s="9"/>
      <c r="X141" s="9"/>
      <c r="Y141" s="9"/>
      <c r="Z141" s="9"/>
      <c r="AA141" s="9"/>
      <c r="AB141" s="9"/>
      <c r="AC141" s="9"/>
      <c r="AD141" s="27"/>
      <c r="AE141" s="42"/>
      <c r="AF141" s="27"/>
      <c r="AG141" s="42"/>
      <c r="AH141" s="27"/>
      <c r="AI141" s="9"/>
      <c r="AJ141" s="9"/>
      <c r="AK141" s="9"/>
      <c r="AM141" s="43"/>
      <c r="AN141" s="43"/>
      <c r="AQ141" s="34"/>
      <c r="AR141" s="34"/>
      <c r="AS141" s="34"/>
      <c r="AT141" s="34"/>
    </row>
    <row r="142" spans="1:51" s="11" customFormat="1" x14ac:dyDescent="0.25">
      <c r="A142" s="23"/>
      <c r="B142" s="9"/>
      <c r="C142" s="9"/>
      <c r="D142" s="9"/>
      <c r="E142" s="9"/>
      <c r="F142" s="10"/>
      <c r="G142" s="10"/>
      <c r="H142" s="27"/>
      <c r="I142" s="9"/>
      <c r="J142" s="9"/>
      <c r="K142" s="9"/>
      <c r="L142" s="9"/>
      <c r="M142" s="25"/>
      <c r="N142" s="25"/>
      <c r="O142" s="27"/>
      <c r="P142" s="27"/>
      <c r="Q142" s="27"/>
      <c r="R142" s="25"/>
      <c r="S142" s="25"/>
      <c r="T142" s="10"/>
      <c r="U142" s="9"/>
      <c r="V142" s="9"/>
      <c r="W142" s="9"/>
      <c r="X142" s="9"/>
      <c r="Y142" s="9"/>
      <c r="Z142" s="9"/>
      <c r="AA142" s="9"/>
      <c r="AB142" s="9"/>
      <c r="AC142" s="9"/>
      <c r="AD142" s="27"/>
      <c r="AE142" s="42"/>
      <c r="AF142" s="27"/>
      <c r="AG142" s="42"/>
      <c r="AH142" s="27"/>
      <c r="AI142" s="9"/>
      <c r="AJ142" s="9"/>
      <c r="AK142" s="9"/>
      <c r="AM142" s="43"/>
      <c r="AN142" s="43"/>
      <c r="AQ142" s="34"/>
      <c r="AR142" s="34"/>
      <c r="AS142" s="34"/>
      <c r="AT142" s="34"/>
    </row>
    <row r="143" spans="1:51" s="11" customFormat="1" x14ac:dyDescent="0.25">
      <c r="A143" s="23"/>
      <c r="B143" s="9"/>
      <c r="C143" s="9"/>
      <c r="D143" s="9"/>
      <c r="E143" s="9"/>
      <c r="F143" s="10"/>
      <c r="G143" s="10"/>
      <c r="H143" s="27"/>
      <c r="I143" s="9"/>
      <c r="J143" s="9"/>
      <c r="K143" s="9"/>
      <c r="L143" s="9"/>
      <c r="M143" s="25"/>
      <c r="N143" s="25"/>
      <c r="O143" s="27"/>
      <c r="P143" s="27"/>
      <c r="Q143" s="27"/>
      <c r="R143" s="25"/>
      <c r="S143" s="25"/>
      <c r="T143" s="10"/>
      <c r="U143" s="9"/>
      <c r="V143" s="9"/>
      <c r="W143" s="9"/>
      <c r="X143" s="9"/>
      <c r="Y143" s="9"/>
      <c r="Z143" s="9"/>
      <c r="AA143" s="9"/>
      <c r="AB143" s="9"/>
      <c r="AC143" s="9"/>
      <c r="AD143" s="27"/>
      <c r="AE143" s="42"/>
      <c r="AF143" s="27"/>
      <c r="AG143" s="42"/>
      <c r="AH143" s="27"/>
      <c r="AI143" s="9"/>
      <c r="AJ143" s="9"/>
      <c r="AK143" s="9"/>
      <c r="AM143" s="43"/>
      <c r="AN143" s="43"/>
      <c r="AQ143" s="34"/>
      <c r="AR143" s="34"/>
      <c r="AS143" s="34"/>
      <c r="AT143" s="34"/>
    </row>
    <row r="144" spans="1:51" s="11" customFormat="1" x14ac:dyDescent="0.25">
      <c r="A144" s="23"/>
      <c r="B144" s="9"/>
      <c r="C144" s="9"/>
      <c r="D144" s="9"/>
      <c r="E144" s="9"/>
      <c r="F144" s="10"/>
      <c r="G144" s="10"/>
      <c r="H144" s="27"/>
      <c r="I144" s="9"/>
      <c r="J144" s="9"/>
      <c r="K144" s="9"/>
      <c r="L144" s="9"/>
      <c r="M144" s="25"/>
      <c r="N144" s="25"/>
      <c r="O144" s="27"/>
      <c r="P144" s="27"/>
      <c r="Q144" s="27"/>
      <c r="R144" s="25"/>
      <c r="S144" s="25"/>
      <c r="T144" s="10"/>
      <c r="U144" s="9"/>
      <c r="V144" s="9"/>
      <c r="W144" s="9"/>
      <c r="X144" s="9"/>
      <c r="Y144" s="9"/>
      <c r="Z144" s="9"/>
      <c r="AA144" s="9"/>
      <c r="AB144" s="9"/>
      <c r="AC144" s="9"/>
      <c r="AD144" s="27"/>
      <c r="AE144" s="42"/>
      <c r="AF144" s="27"/>
      <c r="AG144" s="42"/>
      <c r="AH144" s="27"/>
      <c r="AI144" s="9"/>
      <c r="AJ144" s="9"/>
      <c r="AK144" s="9"/>
      <c r="AM144" s="43"/>
      <c r="AN144" s="43"/>
      <c r="AQ144" s="34"/>
      <c r="AR144" s="34"/>
      <c r="AS144" s="34"/>
      <c r="AT144" s="34"/>
    </row>
    <row r="145" spans="1:46" s="11" customFormat="1" x14ac:dyDescent="0.25">
      <c r="A145" s="23"/>
      <c r="B145" s="9"/>
      <c r="C145" s="9"/>
      <c r="D145" s="9"/>
      <c r="E145" s="9"/>
      <c r="F145" s="10"/>
      <c r="G145" s="10"/>
      <c r="H145" s="27"/>
      <c r="I145" s="9"/>
      <c r="J145" s="9"/>
      <c r="K145" s="9"/>
      <c r="L145" s="9"/>
      <c r="M145" s="25"/>
      <c r="N145" s="25"/>
      <c r="O145" s="27"/>
      <c r="P145" s="27"/>
      <c r="Q145" s="27"/>
      <c r="R145" s="25"/>
      <c r="S145" s="25"/>
      <c r="T145" s="10"/>
      <c r="U145" s="9"/>
      <c r="V145" s="9"/>
      <c r="W145" s="9"/>
      <c r="X145" s="9"/>
      <c r="Y145" s="9"/>
      <c r="Z145" s="9"/>
      <c r="AA145" s="9"/>
      <c r="AB145" s="9"/>
      <c r="AC145" s="9"/>
      <c r="AD145" s="27"/>
      <c r="AE145" s="42"/>
      <c r="AF145" s="27"/>
      <c r="AG145" s="42"/>
      <c r="AH145" s="27"/>
      <c r="AI145" s="9"/>
      <c r="AJ145" s="9"/>
      <c r="AK145" s="9"/>
      <c r="AM145" s="43"/>
      <c r="AN145" s="43"/>
      <c r="AQ145" s="34"/>
      <c r="AR145" s="34"/>
      <c r="AS145" s="34"/>
      <c r="AT145" s="34"/>
    </row>
    <row r="146" spans="1:46" s="11" customFormat="1" x14ac:dyDescent="0.25">
      <c r="A146" s="23"/>
      <c r="B146" s="9"/>
      <c r="C146" s="9"/>
      <c r="D146" s="9"/>
      <c r="E146" s="9"/>
      <c r="F146" s="10"/>
      <c r="G146" s="10"/>
      <c r="H146" s="27"/>
      <c r="I146" s="9"/>
      <c r="J146" s="9"/>
      <c r="K146" s="9"/>
      <c r="L146" s="9"/>
      <c r="M146" s="25"/>
      <c r="N146" s="25"/>
      <c r="O146" s="27"/>
      <c r="P146" s="27"/>
      <c r="Q146" s="27"/>
      <c r="R146" s="25"/>
      <c r="S146" s="25"/>
      <c r="T146" s="10"/>
      <c r="U146" s="9"/>
      <c r="V146" s="9"/>
      <c r="W146" s="9"/>
      <c r="X146" s="9"/>
      <c r="Y146" s="9"/>
      <c r="Z146" s="9"/>
      <c r="AA146" s="9"/>
      <c r="AB146" s="9"/>
      <c r="AC146" s="9"/>
      <c r="AD146" s="27"/>
      <c r="AE146" s="42"/>
      <c r="AF146" s="27"/>
      <c r="AG146" s="42"/>
      <c r="AH146" s="27"/>
      <c r="AI146" s="9"/>
      <c r="AJ146" s="9"/>
      <c r="AK146" s="9"/>
      <c r="AM146" s="43"/>
      <c r="AN146" s="43"/>
      <c r="AQ146" s="34"/>
      <c r="AR146" s="34"/>
      <c r="AS146" s="34"/>
      <c r="AT146" s="34"/>
    </row>
    <row r="147" spans="1:46" s="11" customFormat="1" x14ac:dyDescent="0.25">
      <c r="A147" s="23"/>
      <c r="B147" s="9"/>
      <c r="C147" s="9"/>
      <c r="D147" s="9"/>
      <c r="E147" s="9"/>
      <c r="F147" s="10"/>
      <c r="G147" s="10"/>
      <c r="H147" s="27"/>
      <c r="I147" s="9"/>
      <c r="J147" s="9"/>
      <c r="K147" s="9"/>
      <c r="L147" s="9"/>
      <c r="M147" s="25"/>
      <c r="N147" s="25"/>
      <c r="O147" s="27"/>
      <c r="P147" s="27"/>
      <c r="Q147" s="27"/>
      <c r="R147" s="25"/>
      <c r="S147" s="25"/>
      <c r="T147" s="10"/>
      <c r="U147" s="9"/>
      <c r="V147" s="9"/>
      <c r="W147" s="9"/>
      <c r="X147" s="9"/>
      <c r="Y147" s="9"/>
      <c r="Z147" s="9"/>
      <c r="AA147" s="9"/>
      <c r="AB147" s="9"/>
      <c r="AC147" s="9"/>
      <c r="AD147" s="27"/>
      <c r="AE147" s="42"/>
      <c r="AF147" s="27"/>
      <c r="AG147" s="42"/>
      <c r="AH147" s="27"/>
      <c r="AI147" s="9"/>
      <c r="AJ147" s="9"/>
      <c r="AK147" s="9"/>
      <c r="AM147" s="43"/>
      <c r="AN147" s="43"/>
      <c r="AQ147" s="34"/>
      <c r="AR147" s="34"/>
      <c r="AS147" s="34"/>
      <c r="AT147" s="34"/>
    </row>
    <row r="148" spans="1:46" s="11" customFormat="1" x14ac:dyDescent="0.25">
      <c r="A148" s="23"/>
      <c r="B148" s="9"/>
      <c r="C148" s="9"/>
      <c r="D148" s="9"/>
      <c r="E148" s="9"/>
      <c r="F148" s="10"/>
      <c r="G148" s="10"/>
      <c r="H148" s="27"/>
      <c r="I148" s="9"/>
      <c r="J148" s="9"/>
      <c r="K148" s="9"/>
      <c r="L148" s="9"/>
      <c r="M148" s="25"/>
      <c r="N148" s="25"/>
      <c r="O148" s="27"/>
      <c r="P148" s="27"/>
      <c r="Q148" s="27"/>
      <c r="R148" s="25"/>
      <c r="S148" s="25"/>
      <c r="T148" s="10"/>
      <c r="U148" s="9"/>
      <c r="V148" s="9"/>
      <c r="W148" s="9"/>
      <c r="X148" s="9"/>
      <c r="Y148" s="9"/>
      <c r="Z148" s="9"/>
      <c r="AA148" s="9"/>
      <c r="AB148" s="9"/>
      <c r="AC148" s="9"/>
      <c r="AD148" s="27"/>
      <c r="AE148" s="42"/>
      <c r="AF148" s="27"/>
      <c r="AG148" s="42"/>
      <c r="AH148" s="27"/>
      <c r="AI148" s="9"/>
      <c r="AJ148" s="9"/>
      <c r="AK148" s="9"/>
      <c r="AM148" s="43"/>
      <c r="AN148" s="43"/>
      <c r="AQ148" s="34"/>
      <c r="AR148" s="34"/>
      <c r="AS148" s="34"/>
      <c r="AT148" s="34"/>
    </row>
    <row r="149" spans="1:46" s="11" customFormat="1" x14ac:dyDescent="0.25">
      <c r="A149" s="23"/>
      <c r="B149" s="9"/>
      <c r="C149" s="9"/>
      <c r="D149" s="9"/>
      <c r="E149" s="9"/>
      <c r="F149" s="10"/>
      <c r="G149" s="10"/>
      <c r="H149" s="27"/>
      <c r="I149" s="9"/>
      <c r="J149" s="9"/>
      <c r="K149" s="9"/>
      <c r="L149" s="9"/>
      <c r="M149" s="25"/>
      <c r="N149" s="25"/>
      <c r="O149" s="27"/>
      <c r="P149" s="27"/>
      <c r="Q149" s="27"/>
      <c r="R149" s="25"/>
      <c r="S149" s="25"/>
      <c r="T149" s="10"/>
      <c r="U149" s="9"/>
      <c r="V149" s="9"/>
      <c r="W149" s="9"/>
      <c r="X149" s="9"/>
      <c r="Y149" s="9"/>
      <c r="Z149" s="9"/>
      <c r="AA149" s="9"/>
      <c r="AB149" s="9"/>
      <c r="AC149" s="9"/>
      <c r="AD149" s="27"/>
      <c r="AE149" s="42"/>
      <c r="AF149" s="27"/>
      <c r="AG149" s="42"/>
      <c r="AH149" s="27"/>
      <c r="AI149" s="9"/>
      <c r="AJ149" s="9"/>
      <c r="AK149" s="9"/>
      <c r="AM149" s="43"/>
      <c r="AN149" s="43"/>
      <c r="AQ149" s="34"/>
      <c r="AR149" s="34"/>
      <c r="AS149" s="34"/>
      <c r="AT149" s="34"/>
    </row>
    <row r="150" spans="1:46" s="11" customFormat="1" x14ac:dyDescent="0.25">
      <c r="A150" s="23"/>
      <c r="B150" s="9"/>
      <c r="C150" s="9"/>
      <c r="D150" s="9"/>
      <c r="E150" s="9"/>
      <c r="F150" s="10"/>
      <c r="G150" s="10"/>
      <c r="H150" s="27"/>
      <c r="I150" s="9"/>
      <c r="J150" s="9"/>
      <c r="K150" s="9"/>
      <c r="L150" s="9"/>
      <c r="M150" s="25"/>
      <c r="N150" s="25"/>
      <c r="O150" s="27"/>
      <c r="P150" s="27"/>
      <c r="Q150" s="27"/>
      <c r="R150" s="25"/>
      <c r="S150" s="25"/>
      <c r="T150" s="10"/>
      <c r="U150" s="9"/>
      <c r="V150" s="9"/>
      <c r="W150" s="9"/>
      <c r="X150" s="9"/>
      <c r="Y150" s="9"/>
      <c r="Z150" s="9"/>
      <c r="AA150" s="9"/>
      <c r="AB150" s="9"/>
      <c r="AC150" s="9"/>
      <c r="AD150" s="27"/>
      <c r="AE150" s="42"/>
      <c r="AF150" s="27"/>
      <c r="AG150" s="42"/>
      <c r="AH150" s="27"/>
      <c r="AI150" s="9"/>
      <c r="AJ150" s="9"/>
      <c r="AK150" s="9"/>
      <c r="AM150" s="43"/>
      <c r="AN150" s="43"/>
      <c r="AQ150" s="34"/>
      <c r="AR150" s="34"/>
      <c r="AS150" s="34"/>
      <c r="AT150" s="34"/>
    </row>
    <row r="151" spans="1:46" s="11" customFormat="1" x14ac:dyDescent="0.25">
      <c r="A151" s="23"/>
      <c r="B151" s="9"/>
      <c r="C151" s="9"/>
      <c r="D151" s="9"/>
      <c r="E151" s="9"/>
      <c r="F151" s="10"/>
      <c r="G151" s="10"/>
      <c r="H151" s="27"/>
      <c r="I151" s="9"/>
      <c r="J151" s="9"/>
      <c r="K151" s="9"/>
      <c r="L151" s="9"/>
      <c r="M151" s="25"/>
      <c r="N151" s="25"/>
      <c r="O151" s="27"/>
      <c r="P151" s="27"/>
      <c r="Q151" s="27"/>
      <c r="R151" s="25"/>
      <c r="S151" s="25"/>
      <c r="T151" s="10"/>
      <c r="U151" s="9"/>
      <c r="V151" s="9"/>
      <c r="W151" s="9"/>
      <c r="X151" s="9"/>
      <c r="Y151" s="9"/>
      <c r="Z151" s="9"/>
      <c r="AA151" s="9"/>
      <c r="AB151" s="9"/>
      <c r="AC151" s="9"/>
      <c r="AD151" s="27"/>
      <c r="AE151" s="42"/>
      <c r="AF151" s="27"/>
      <c r="AG151" s="42"/>
      <c r="AH151" s="27"/>
      <c r="AI151" s="9"/>
      <c r="AJ151" s="9"/>
      <c r="AK151" s="9"/>
      <c r="AM151" s="43"/>
      <c r="AN151" s="43"/>
      <c r="AQ151" s="34"/>
      <c r="AR151" s="34"/>
      <c r="AS151" s="34"/>
      <c r="AT151" s="34"/>
    </row>
    <row r="152" spans="1:46" s="11" customFormat="1" x14ac:dyDescent="0.25">
      <c r="A152" s="23"/>
      <c r="B152" s="9"/>
      <c r="C152" s="9"/>
      <c r="D152" s="9"/>
      <c r="E152" s="9"/>
      <c r="F152" s="10"/>
      <c r="G152" s="10"/>
      <c r="H152" s="27"/>
      <c r="I152" s="9"/>
      <c r="J152" s="9"/>
      <c r="K152" s="9"/>
      <c r="L152" s="9"/>
      <c r="M152" s="25"/>
      <c r="N152" s="25"/>
      <c r="O152" s="27"/>
      <c r="P152" s="27"/>
      <c r="Q152" s="27"/>
      <c r="R152" s="25"/>
      <c r="S152" s="25"/>
      <c r="T152" s="10"/>
      <c r="U152" s="9"/>
      <c r="V152" s="9"/>
      <c r="W152" s="9"/>
      <c r="X152" s="9"/>
      <c r="Y152" s="9"/>
      <c r="Z152" s="9"/>
      <c r="AA152" s="9"/>
      <c r="AB152" s="9"/>
      <c r="AC152" s="9"/>
      <c r="AD152" s="27"/>
      <c r="AE152" s="42"/>
      <c r="AF152" s="27"/>
      <c r="AG152" s="42"/>
      <c r="AH152" s="27"/>
      <c r="AI152" s="9"/>
      <c r="AJ152" s="9"/>
      <c r="AK152" s="9"/>
      <c r="AM152" s="43"/>
      <c r="AN152" s="43"/>
      <c r="AQ152" s="34"/>
      <c r="AR152" s="34"/>
      <c r="AS152" s="34"/>
      <c r="AT152" s="34"/>
    </row>
    <row r="153" spans="1:46" s="11" customFormat="1" x14ac:dyDescent="0.25">
      <c r="A153" s="23"/>
      <c r="B153" s="9"/>
      <c r="C153" s="9"/>
      <c r="D153" s="9"/>
      <c r="E153" s="9"/>
      <c r="F153" s="10"/>
      <c r="G153" s="10"/>
      <c r="H153" s="27"/>
      <c r="I153" s="9"/>
      <c r="J153" s="9"/>
      <c r="K153" s="9"/>
      <c r="L153" s="9"/>
      <c r="M153" s="25"/>
      <c r="N153" s="25"/>
      <c r="O153" s="27"/>
      <c r="P153" s="27"/>
      <c r="Q153" s="27"/>
      <c r="R153" s="25"/>
      <c r="S153" s="25"/>
      <c r="T153" s="10"/>
      <c r="U153" s="9"/>
      <c r="V153" s="9"/>
      <c r="W153" s="9"/>
      <c r="X153" s="9"/>
      <c r="Y153" s="9"/>
      <c r="Z153" s="9"/>
      <c r="AA153" s="9"/>
      <c r="AB153" s="9"/>
      <c r="AC153" s="9"/>
      <c r="AD153" s="27"/>
      <c r="AE153" s="42"/>
      <c r="AF153" s="27"/>
      <c r="AG153" s="42"/>
      <c r="AH153" s="27"/>
      <c r="AI153" s="9"/>
      <c r="AJ153" s="9"/>
      <c r="AK153" s="9"/>
      <c r="AM153" s="43"/>
      <c r="AN153" s="43"/>
      <c r="AQ153" s="34"/>
      <c r="AR153" s="34"/>
      <c r="AS153" s="34"/>
      <c r="AT153" s="34"/>
    </row>
    <row r="154" spans="1:46" s="11" customFormat="1" x14ac:dyDescent="0.25">
      <c r="A154" s="23"/>
      <c r="B154" s="9"/>
      <c r="C154" s="9"/>
      <c r="D154" s="9"/>
      <c r="E154" s="9"/>
      <c r="F154" s="10"/>
      <c r="G154" s="10"/>
      <c r="H154" s="27"/>
      <c r="I154" s="9"/>
      <c r="J154" s="9"/>
      <c r="K154" s="9"/>
      <c r="L154" s="9"/>
      <c r="M154" s="25"/>
      <c r="N154" s="25"/>
      <c r="O154" s="27"/>
      <c r="P154" s="27"/>
      <c r="Q154" s="27"/>
      <c r="R154" s="25"/>
      <c r="S154" s="25"/>
      <c r="T154" s="10"/>
      <c r="U154" s="9"/>
      <c r="V154" s="9"/>
      <c r="W154" s="9"/>
      <c r="X154" s="9"/>
      <c r="Y154" s="9"/>
      <c r="Z154" s="9"/>
      <c r="AA154" s="9"/>
      <c r="AB154" s="9"/>
      <c r="AC154" s="9"/>
      <c r="AD154" s="27"/>
      <c r="AE154" s="42"/>
      <c r="AF154" s="27"/>
      <c r="AG154" s="42"/>
      <c r="AH154" s="27"/>
      <c r="AI154" s="9"/>
      <c r="AJ154" s="9"/>
      <c r="AK154" s="9"/>
      <c r="AM154" s="43"/>
      <c r="AN154" s="43"/>
      <c r="AQ154" s="34"/>
      <c r="AR154" s="34"/>
      <c r="AS154" s="34"/>
      <c r="AT154" s="34"/>
    </row>
    <row r="155" spans="1:46" s="11" customFormat="1" x14ac:dyDescent="0.25">
      <c r="A155" s="23"/>
      <c r="B155" s="9"/>
      <c r="C155" s="9"/>
      <c r="D155" s="9"/>
      <c r="E155" s="9"/>
      <c r="F155" s="10"/>
      <c r="G155" s="10"/>
      <c r="H155" s="27"/>
      <c r="I155" s="9"/>
      <c r="J155" s="9"/>
      <c r="K155" s="9"/>
      <c r="L155" s="9"/>
      <c r="M155" s="25"/>
      <c r="N155" s="25"/>
      <c r="O155" s="27"/>
      <c r="P155" s="27"/>
      <c r="Q155" s="27"/>
      <c r="R155" s="25"/>
      <c r="S155" s="25"/>
      <c r="T155" s="10"/>
      <c r="U155" s="9"/>
      <c r="V155" s="9"/>
      <c r="W155" s="9"/>
      <c r="X155" s="9"/>
      <c r="Y155" s="9"/>
      <c r="Z155" s="9"/>
      <c r="AA155" s="9"/>
      <c r="AB155" s="9"/>
      <c r="AC155" s="9"/>
      <c r="AD155" s="27"/>
      <c r="AE155" s="42"/>
      <c r="AF155" s="27"/>
      <c r="AG155" s="42"/>
      <c r="AH155" s="27"/>
      <c r="AI155" s="9"/>
      <c r="AJ155" s="9"/>
      <c r="AK155" s="9"/>
      <c r="AM155" s="43"/>
      <c r="AN155" s="43"/>
      <c r="AQ155" s="34"/>
      <c r="AR155" s="34"/>
      <c r="AS155" s="34"/>
      <c r="AT155" s="34"/>
    </row>
    <row r="156" spans="1:46" s="11" customFormat="1" x14ac:dyDescent="0.25">
      <c r="A156" s="23"/>
      <c r="B156" s="9"/>
      <c r="C156" s="9"/>
      <c r="D156" s="9"/>
      <c r="E156" s="9"/>
      <c r="F156" s="10"/>
      <c r="G156" s="10"/>
      <c r="H156" s="27"/>
      <c r="I156" s="9"/>
      <c r="J156" s="9"/>
      <c r="K156" s="9"/>
      <c r="L156" s="9"/>
      <c r="M156" s="25"/>
      <c r="N156" s="25"/>
      <c r="O156" s="27"/>
      <c r="P156" s="27"/>
      <c r="Q156" s="27"/>
      <c r="R156" s="25"/>
      <c r="S156" s="25"/>
      <c r="T156" s="10"/>
      <c r="U156" s="9"/>
      <c r="V156" s="9"/>
      <c r="W156" s="9"/>
      <c r="X156" s="9"/>
      <c r="Y156" s="9"/>
      <c r="Z156" s="9"/>
      <c r="AA156" s="9"/>
      <c r="AB156" s="9"/>
      <c r="AC156" s="9"/>
      <c r="AD156" s="27"/>
      <c r="AE156" s="42"/>
      <c r="AF156" s="27"/>
      <c r="AG156" s="42"/>
      <c r="AH156" s="27"/>
      <c r="AI156" s="9"/>
      <c r="AJ156" s="9"/>
      <c r="AK156" s="9"/>
      <c r="AM156" s="43"/>
      <c r="AN156" s="43"/>
      <c r="AQ156" s="34"/>
      <c r="AR156" s="34"/>
      <c r="AS156" s="34"/>
      <c r="AT156" s="34"/>
    </row>
    <row r="157" spans="1:46" s="11" customFormat="1" x14ac:dyDescent="0.25">
      <c r="A157" s="23"/>
      <c r="B157" s="9"/>
      <c r="C157" s="9"/>
      <c r="D157" s="9"/>
      <c r="E157" s="9"/>
      <c r="F157" s="10"/>
      <c r="G157" s="10"/>
      <c r="H157" s="27"/>
      <c r="I157" s="9"/>
      <c r="J157" s="9"/>
      <c r="K157" s="9"/>
      <c r="L157" s="9"/>
      <c r="M157" s="25"/>
      <c r="N157" s="25"/>
      <c r="O157" s="27"/>
      <c r="P157" s="27"/>
      <c r="Q157" s="27"/>
      <c r="R157" s="25"/>
      <c r="S157" s="25"/>
      <c r="T157" s="10"/>
      <c r="U157" s="9"/>
      <c r="V157" s="9"/>
      <c r="W157" s="9"/>
      <c r="X157" s="9"/>
      <c r="Y157" s="9"/>
      <c r="Z157" s="9"/>
      <c r="AA157" s="9"/>
      <c r="AB157" s="9"/>
      <c r="AC157" s="9"/>
      <c r="AD157" s="27"/>
      <c r="AE157" s="42"/>
      <c r="AF157" s="27"/>
      <c r="AG157" s="42"/>
      <c r="AH157" s="27"/>
      <c r="AI157" s="9"/>
      <c r="AJ157" s="9"/>
      <c r="AK157" s="9"/>
      <c r="AM157" s="43"/>
      <c r="AN157" s="43"/>
      <c r="AQ157" s="34"/>
      <c r="AR157" s="34"/>
      <c r="AS157" s="34"/>
      <c r="AT157" s="34"/>
    </row>
    <row r="158" spans="1:46" s="11" customFormat="1" x14ac:dyDescent="0.25">
      <c r="A158" s="23"/>
      <c r="B158" s="9"/>
      <c r="C158" s="9"/>
      <c r="D158" s="9"/>
      <c r="E158" s="9"/>
      <c r="F158" s="10"/>
      <c r="G158" s="10"/>
      <c r="H158" s="27"/>
      <c r="I158" s="9"/>
      <c r="J158" s="9"/>
      <c r="K158" s="9"/>
      <c r="L158" s="9"/>
      <c r="M158" s="25"/>
      <c r="N158" s="25"/>
      <c r="O158" s="27"/>
      <c r="P158" s="27"/>
      <c r="Q158" s="27"/>
      <c r="R158" s="25"/>
      <c r="S158" s="25"/>
      <c r="T158" s="10"/>
      <c r="U158" s="9"/>
      <c r="V158" s="9"/>
      <c r="W158" s="9"/>
      <c r="X158" s="9"/>
      <c r="Y158" s="9"/>
      <c r="Z158" s="9"/>
      <c r="AA158" s="9"/>
      <c r="AB158" s="9"/>
      <c r="AC158" s="9"/>
      <c r="AD158" s="27"/>
      <c r="AE158" s="42"/>
      <c r="AF158" s="27"/>
      <c r="AG158" s="42"/>
      <c r="AH158" s="27"/>
      <c r="AI158" s="9"/>
      <c r="AJ158" s="9"/>
      <c r="AK158" s="9"/>
      <c r="AM158" s="43"/>
      <c r="AN158" s="43"/>
      <c r="AQ158" s="34"/>
      <c r="AR158" s="34"/>
      <c r="AS158" s="34"/>
      <c r="AT158" s="34"/>
    </row>
    <row r="159" spans="1:46" s="11" customFormat="1" x14ac:dyDescent="0.25">
      <c r="A159" s="23"/>
      <c r="B159" s="9"/>
      <c r="C159" s="9"/>
      <c r="D159" s="9"/>
      <c r="E159" s="9"/>
      <c r="F159" s="10"/>
      <c r="G159" s="10"/>
      <c r="H159" s="27"/>
      <c r="I159" s="9"/>
      <c r="J159" s="9"/>
      <c r="K159" s="9"/>
      <c r="L159" s="9"/>
      <c r="M159" s="25"/>
      <c r="N159" s="25"/>
      <c r="O159" s="27"/>
      <c r="P159" s="27"/>
      <c r="Q159" s="27"/>
      <c r="R159" s="25"/>
      <c r="S159" s="25"/>
      <c r="T159" s="10"/>
      <c r="U159" s="9"/>
      <c r="V159" s="9"/>
      <c r="W159" s="9"/>
      <c r="X159" s="9"/>
      <c r="Y159" s="9"/>
      <c r="Z159" s="9"/>
      <c r="AA159" s="9"/>
      <c r="AB159" s="9"/>
      <c r="AC159" s="9"/>
      <c r="AD159" s="27"/>
      <c r="AE159" s="42"/>
      <c r="AF159" s="27"/>
      <c r="AG159" s="42"/>
      <c r="AH159" s="27"/>
      <c r="AI159" s="9"/>
      <c r="AJ159" s="9"/>
      <c r="AK159" s="9"/>
      <c r="AM159" s="43"/>
      <c r="AN159" s="43"/>
      <c r="AQ159" s="34"/>
      <c r="AR159" s="34"/>
      <c r="AS159" s="34"/>
      <c r="AT159" s="34"/>
    </row>
    <row r="160" spans="1:46" s="11" customFormat="1" x14ac:dyDescent="0.25">
      <c r="A160" s="23"/>
      <c r="B160" s="9"/>
      <c r="C160" s="9"/>
      <c r="D160" s="9"/>
      <c r="E160" s="9"/>
      <c r="F160" s="10"/>
      <c r="G160" s="10"/>
      <c r="H160" s="27"/>
      <c r="I160" s="9"/>
      <c r="J160" s="9"/>
      <c r="K160" s="9"/>
      <c r="L160" s="9"/>
      <c r="M160" s="25"/>
      <c r="N160" s="25"/>
      <c r="O160" s="27"/>
      <c r="P160" s="27"/>
      <c r="Q160" s="27"/>
      <c r="R160" s="25"/>
      <c r="S160" s="25"/>
      <c r="T160" s="10"/>
      <c r="U160" s="9"/>
      <c r="V160" s="9"/>
      <c r="W160" s="9"/>
      <c r="X160" s="9"/>
      <c r="Y160" s="9"/>
      <c r="Z160" s="9"/>
      <c r="AA160" s="9"/>
      <c r="AB160" s="9"/>
      <c r="AC160" s="9"/>
      <c r="AD160" s="27"/>
      <c r="AE160" s="42"/>
      <c r="AF160" s="27"/>
      <c r="AG160" s="42"/>
      <c r="AH160" s="27"/>
      <c r="AI160" s="9"/>
      <c r="AJ160" s="9"/>
      <c r="AK160" s="9"/>
      <c r="AM160" s="43"/>
      <c r="AN160" s="43"/>
      <c r="AQ160" s="34"/>
      <c r="AR160" s="34"/>
      <c r="AS160" s="34"/>
      <c r="AT160" s="34"/>
    </row>
    <row r="161" spans="1:46" s="11" customFormat="1" x14ac:dyDescent="0.25">
      <c r="A161" s="23"/>
      <c r="B161" s="9"/>
      <c r="C161" s="9"/>
      <c r="D161" s="9"/>
      <c r="E161" s="9"/>
      <c r="F161" s="10"/>
      <c r="G161" s="10"/>
      <c r="H161" s="27"/>
      <c r="I161" s="9"/>
      <c r="J161" s="9"/>
      <c r="K161" s="9"/>
      <c r="L161" s="9"/>
      <c r="M161" s="25"/>
      <c r="N161" s="25"/>
      <c r="O161" s="27"/>
      <c r="P161" s="27"/>
      <c r="Q161" s="27"/>
      <c r="R161" s="25"/>
      <c r="S161" s="25"/>
      <c r="T161" s="10"/>
      <c r="U161" s="9"/>
      <c r="V161" s="9"/>
      <c r="W161" s="9"/>
      <c r="X161" s="9"/>
      <c r="Y161" s="9"/>
      <c r="Z161" s="9"/>
      <c r="AA161" s="9"/>
      <c r="AB161" s="9"/>
      <c r="AC161" s="9"/>
      <c r="AD161" s="27"/>
      <c r="AE161" s="42"/>
      <c r="AF161" s="27"/>
      <c r="AG161" s="42"/>
      <c r="AH161" s="27"/>
      <c r="AI161" s="9"/>
      <c r="AJ161" s="9"/>
      <c r="AK161" s="9"/>
      <c r="AM161" s="43"/>
      <c r="AN161" s="43"/>
      <c r="AQ161" s="34"/>
      <c r="AR161" s="34"/>
      <c r="AS161" s="34"/>
      <c r="AT161" s="34"/>
    </row>
    <row r="162" spans="1:46" s="11" customFormat="1" x14ac:dyDescent="0.25">
      <c r="A162" s="23"/>
      <c r="B162" s="9"/>
      <c r="C162" s="9"/>
      <c r="D162" s="9"/>
      <c r="E162" s="9"/>
      <c r="F162" s="10"/>
      <c r="G162" s="10"/>
      <c r="H162" s="27"/>
      <c r="I162" s="9"/>
      <c r="J162" s="9"/>
      <c r="K162" s="9"/>
      <c r="L162" s="9"/>
      <c r="M162" s="25"/>
      <c r="N162" s="25"/>
      <c r="O162" s="27"/>
      <c r="P162" s="27"/>
      <c r="Q162" s="27"/>
      <c r="R162" s="25"/>
      <c r="S162" s="25"/>
      <c r="T162" s="10"/>
      <c r="U162" s="9"/>
      <c r="V162" s="9"/>
      <c r="W162" s="9"/>
      <c r="X162" s="9"/>
      <c r="Y162" s="9"/>
      <c r="Z162" s="9"/>
      <c r="AA162" s="9"/>
      <c r="AB162" s="9"/>
      <c r="AC162" s="9"/>
      <c r="AD162" s="27"/>
      <c r="AE162" s="42"/>
      <c r="AF162" s="27"/>
      <c r="AG162" s="42"/>
      <c r="AH162" s="27"/>
      <c r="AI162" s="9"/>
      <c r="AJ162" s="9"/>
      <c r="AK162" s="9"/>
      <c r="AM162" s="43"/>
      <c r="AN162" s="43"/>
      <c r="AQ162" s="34"/>
      <c r="AR162" s="34"/>
      <c r="AS162" s="34"/>
      <c r="AT162" s="34"/>
    </row>
    <row r="163" spans="1:46" s="11" customFormat="1" x14ac:dyDescent="0.25">
      <c r="A163" s="23"/>
      <c r="B163" s="9"/>
      <c r="C163" s="9"/>
      <c r="D163" s="9"/>
      <c r="E163" s="9"/>
      <c r="F163" s="10"/>
      <c r="G163" s="10"/>
      <c r="H163" s="27"/>
      <c r="I163" s="9"/>
      <c r="J163" s="9"/>
      <c r="K163" s="9"/>
      <c r="L163" s="9"/>
      <c r="M163" s="25"/>
      <c r="N163" s="25"/>
      <c r="O163" s="27"/>
      <c r="P163" s="27"/>
      <c r="Q163" s="27"/>
      <c r="R163" s="25"/>
      <c r="S163" s="25"/>
      <c r="T163" s="10"/>
      <c r="U163" s="9"/>
      <c r="V163" s="9"/>
      <c r="W163" s="9"/>
      <c r="X163" s="9"/>
      <c r="Y163" s="9"/>
      <c r="Z163" s="9"/>
      <c r="AA163" s="9"/>
      <c r="AB163" s="9"/>
      <c r="AC163" s="9"/>
      <c r="AD163" s="27"/>
      <c r="AE163" s="42"/>
      <c r="AF163" s="27"/>
      <c r="AG163" s="42"/>
      <c r="AH163" s="27"/>
      <c r="AI163" s="9"/>
      <c r="AJ163" s="9"/>
      <c r="AK163" s="9"/>
      <c r="AM163" s="43"/>
      <c r="AN163" s="43"/>
      <c r="AQ163" s="34"/>
      <c r="AR163" s="34"/>
      <c r="AS163" s="34"/>
      <c r="AT163" s="34"/>
    </row>
    <row r="164" spans="1:46" s="11" customFormat="1" x14ac:dyDescent="0.25">
      <c r="A164" s="23"/>
      <c r="B164" s="9"/>
      <c r="C164" s="9"/>
      <c r="D164" s="9"/>
      <c r="E164" s="9"/>
      <c r="F164" s="10"/>
      <c r="G164" s="10"/>
      <c r="H164" s="27"/>
      <c r="I164" s="9"/>
      <c r="J164" s="9"/>
      <c r="K164" s="9"/>
      <c r="L164" s="9"/>
      <c r="M164" s="25"/>
      <c r="N164" s="25"/>
      <c r="O164" s="27"/>
      <c r="P164" s="27"/>
      <c r="Q164" s="27"/>
      <c r="R164" s="25"/>
      <c r="S164" s="25"/>
      <c r="T164" s="10"/>
      <c r="U164" s="9"/>
      <c r="V164" s="9"/>
      <c r="W164" s="9"/>
      <c r="X164" s="9"/>
      <c r="Y164" s="9"/>
      <c r="Z164" s="9"/>
      <c r="AA164" s="9"/>
      <c r="AB164" s="9"/>
      <c r="AC164" s="9"/>
      <c r="AD164" s="27"/>
      <c r="AE164" s="42"/>
      <c r="AF164" s="27"/>
      <c r="AG164" s="42"/>
      <c r="AH164" s="27"/>
      <c r="AI164" s="9"/>
      <c r="AJ164" s="9"/>
      <c r="AK164" s="9"/>
      <c r="AM164" s="43"/>
      <c r="AN164" s="43"/>
      <c r="AQ164" s="34"/>
      <c r="AR164" s="34"/>
      <c r="AS164" s="34"/>
      <c r="AT164" s="34"/>
    </row>
    <row r="165" spans="1:46" s="11" customFormat="1" x14ac:dyDescent="0.25">
      <c r="A165" s="23"/>
      <c r="B165" s="9"/>
      <c r="C165" s="9"/>
      <c r="D165" s="9"/>
      <c r="E165" s="9"/>
      <c r="F165" s="10"/>
      <c r="G165" s="10"/>
      <c r="H165" s="27"/>
      <c r="I165" s="9"/>
      <c r="J165" s="9"/>
      <c r="K165" s="9"/>
      <c r="L165" s="9"/>
      <c r="M165" s="25"/>
      <c r="N165" s="25"/>
      <c r="O165" s="27"/>
      <c r="P165" s="27"/>
      <c r="Q165" s="27"/>
      <c r="R165" s="25"/>
      <c r="S165" s="25"/>
      <c r="T165" s="10"/>
      <c r="U165" s="9"/>
      <c r="V165" s="9"/>
      <c r="W165" s="9"/>
      <c r="X165" s="9"/>
      <c r="Y165" s="9"/>
      <c r="Z165" s="9"/>
      <c r="AA165" s="9"/>
      <c r="AB165" s="9"/>
      <c r="AC165" s="9"/>
      <c r="AD165" s="27"/>
      <c r="AE165" s="42"/>
      <c r="AF165" s="27"/>
      <c r="AG165" s="42"/>
      <c r="AH165" s="27"/>
      <c r="AI165" s="9"/>
      <c r="AJ165" s="9"/>
      <c r="AK165" s="9"/>
      <c r="AM165" s="43"/>
      <c r="AN165" s="43"/>
      <c r="AQ165" s="34"/>
      <c r="AR165" s="34"/>
      <c r="AS165" s="34"/>
      <c r="AT165" s="34"/>
    </row>
    <row r="166" spans="1:46" s="11" customFormat="1" x14ac:dyDescent="0.25">
      <c r="A166" s="23"/>
      <c r="B166" s="9"/>
      <c r="C166" s="9"/>
      <c r="D166" s="9"/>
      <c r="E166" s="9"/>
      <c r="F166" s="10"/>
      <c r="G166" s="10"/>
      <c r="H166" s="27"/>
      <c r="I166" s="9"/>
      <c r="J166" s="9"/>
      <c r="K166" s="9"/>
      <c r="L166" s="9"/>
      <c r="M166" s="25"/>
      <c r="N166" s="25"/>
      <c r="O166" s="27"/>
      <c r="P166" s="27"/>
      <c r="Q166" s="27"/>
      <c r="R166" s="25"/>
      <c r="S166" s="25"/>
      <c r="T166" s="10"/>
      <c r="U166" s="9"/>
      <c r="V166" s="9"/>
      <c r="W166" s="9"/>
      <c r="X166" s="9"/>
      <c r="Y166" s="9"/>
      <c r="Z166" s="9"/>
      <c r="AA166" s="9"/>
      <c r="AB166" s="9"/>
      <c r="AC166" s="9"/>
      <c r="AD166" s="27"/>
      <c r="AE166" s="42"/>
      <c r="AF166" s="27"/>
      <c r="AG166" s="42"/>
      <c r="AH166" s="27"/>
      <c r="AI166" s="9"/>
      <c r="AJ166" s="9"/>
      <c r="AK166" s="9"/>
      <c r="AM166" s="43"/>
      <c r="AN166" s="43"/>
      <c r="AQ166" s="34"/>
      <c r="AR166" s="34"/>
      <c r="AS166" s="34"/>
      <c r="AT166" s="34"/>
    </row>
    <row r="167" spans="1:46" s="11" customFormat="1" x14ac:dyDescent="0.25">
      <c r="A167" s="23"/>
      <c r="B167" s="9"/>
      <c r="C167" s="9"/>
      <c r="D167" s="9"/>
      <c r="E167" s="9"/>
      <c r="F167" s="10"/>
      <c r="G167" s="10"/>
      <c r="H167" s="27"/>
      <c r="I167" s="9"/>
      <c r="J167" s="9"/>
      <c r="K167" s="9"/>
      <c r="L167" s="9"/>
      <c r="M167" s="25"/>
      <c r="N167" s="25"/>
      <c r="O167" s="27"/>
      <c r="P167" s="27"/>
      <c r="Q167" s="27"/>
      <c r="R167" s="25"/>
      <c r="S167" s="25"/>
      <c r="T167" s="10"/>
      <c r="U167" s="9"/>
      <c r="V167" s="9"/>
      <c r="W167" s="9"/>
      <c r="X167" s="9"/>
      <c r="Y167" s="9"/>
      <c r="Z167" s="9"/>
      <c r="AA167" s="9"/>
      <c r="AB167" s="9"/>
      <c r="AC167" s="9"/>
      <c r="AD167" s="27"/>
      <c r="AE167" s="42"/>
      <c r="AF167" s="27"/>
      <c r="AG167" s="42"/>
      <c r="AH167" s="27"/>
      <c r="AI167" s="9"/>
      <c r="AJ167" s="9"/>
      <c r="AK167" s="9"/>
      <c r="AM167" s="43"/>
      <c r="AN167" s="43"/>
      <c r="AQ167" s="34"/>
      <c r="AR167" s="34"/>
      <c r="AS167" s="34"/>
      <c r="AT167" s="34"/>
    </row>
    <row r="168" spans="1:46" s="11" customFormat="1" x14ac:dyDescent="0.25">
      <c r="A168" s="23"/>
      <c r="B168" s="9"/>
      <c r="C168" s="9"/>
      <c r="D168" s="9"/>
      <c r="E168" s="9"/>
      <c r="F168" s="10"/>
      <c r="G168" s="10"/>
      <c r="H168" s="27"/>
      <c r="I168" s="9"/>
      <c r="J168" s="9"/>
      <c r="K168" s="9"/>
      <c r="L168" s="9"/>
      <c r="M168" s="25"/>
      <c r="N168" s="25"/>
      <c r="O168" s="27"/>
      <c r="P168" s="27"/>
      <c r="Q168" s="27"/>
      <c r="R168" s="25"/>
      <c r="S168" s="25"/>
      <c r="T168" s="10"/>
      <c r="U168" s="9"/>
      <c r="V168" s="9"/>
      <c r="W168" s="9"/>
      <c r="X168" s="9"/>
      <c r="Y168" s="9"/>
      <c r="Z168" s="9"/>
      <c r="AA168" s="9"/>
      <c r="AB168" s="9"/>
      <c r="AC168" s="9"/>
      <c r="AD168" s="27"/>
      <c r="AE168" s="42"/>
      <c r="AF168" s="27"/>
      <c r="AG168" s="42"/>
      <c r="AH168" s="27"/>
      <c r="AI168" s="9"/>
      <c r="AJ168" s="9"/>
      <c r="AK168" s="9"/>
      <c r="AM168" s="43"/>
      <c r="AN168" s="43"/>
      <c r="AQ168" s="34"/>
      <c r="AR168" s="34"/>
      <c r="AS168" s="34"/>
      <c r="AT168" s="34"/>
    </row>
    <row r="169" spans="1:46" s="11" customFormat="1" x14ac:dyDescent="0.25">
      <c r="A169" s="23"/>
      <c r="B169" s="9"/>
      <c r="C169" s="9"/>
      <c r="D169" s="9"/>
      <c r="E169" s="9"/>
      <c r="F169" s="10"/>
      <c r="G169" s="10"/>
      <c r="H169" s="27"/>
      <c r="I169" s="9"/>
      <c r="J169" s="9"/>
      <c r="K169" s="9"/>
      <c r="L169" s="9"/>
      <c r="M169" s="25"/>
      <c r="N169" s="25"/>
      <c r="O169" s="27"/>
      <c r="P169" s="27"/>
      <c r="Q169" s="27"/>
      <c r="R169" s="25"/>
      <c r="S169" s="25"/>
      <c r="T169" s="10"/>
      <c r="U169" s="9"/>
      <c r="V169" s="9"/>
      <c r="W169" s="9"/>
      <c r="X169" s="9"/>
      <c r="Y169" s="9"/>
      <c r="Z169" s="9"/>
      <c r="AA169" s="9"/>
      <c r="AB169" s="9"/>
      <c r="AC169" s="9"/>
      <c r="AD169" s="27"/>
      <c r="AE169" s="42"/>
      <c r="AF169" s="27"/>
      <c r="AG169" s="42"/>
      <c r="AH169" s="27"/>
      <c r="AI169" s="9"/>
      <c r="AJ169" s="9"/>
      <c r="AK169" s="9"/>
      <c r="AM169" s="43"/>
      <c r="AN169" s="43"/>
      <c r="AQ169" s="34"/>
      <c r="AR169" s="34"/>
      <c r="AS169" s="34"/>
      <c r="AT169" s="34"/>
    </row>
    <row r="170" spans="1:46" s="11" customFormat="1" x14ac:dyDescent="0.25">
      <c r="A170" s="23"/>
      <c r="B170" s="9"/>
      <c r="C170" s="9"/>
      <c r="D170" s="9"/>
      <c r="E170" s="9"/>
      <c r="F170" s="10"/>
      <c r="G170" s="10"/>
      <c r="H170" s="27"/>
      <c r="I170" s="9"/>
      <c r="J170" s="9"/>
      <c r="K170" s="9"/>
      <c r="L170" s="9"/>
      <c r="M170" s="25"/>
      <c r="N170" s="25"/>
      <c r="O170" s="27"/>
      <c r="P170" s="27"/>
      <c r="Q170" s="27"/>
      <c r="R170" s="25"/>
      <c r="S170" s="25"/>
      <c r="T170" s="10"/>
      <c r="U170" s="9"/>
      <c r="V170" s="9"/>
      <c r="W170" s="9"/>
      <c r="X170" s="9"/>
      <c r="Y170" s="9"/>
      <c r="Z170" s="9"/>
      <c r="AA170" s="9"/>
      <c r="AB170" s="9"/>
      <c r="AC170" s="9"/>
      <c r="AD170" s="27"/>
      <c r="AE170" s="42"/>
      <c r="AF170" s="27"/>
      <c r="AG170" s="42"/>
      <c r="AH170" s="27"/>
      <c r="AI170" s="9"/>
      <c r="AJ170" s="9"/>
      <c r="AK170" s="9"/>
      <c r="AM170" s="43"/>
      <c r="AN170" s="43"/>
      <c r="AQ170" s="34"/>
      <c r="AR170" s="34"/>
      <c r="AS170" s="34"/>
      <c r="AT170" s="34"/>
    </row>
    <row r="171" spans="1:46" s="11" customFormat="1" x14ac:dyDescent="0.25">
      <c r="A171" s="23"/>
      <c r="B171" s="9"/>
      <c r="C171" s="9"/>
      <c r="D171" s="9"/>
      <c r="E171" s="9"/>
      <c r="F171" s="10"/>
      <c r="G171" s="10"/>
      <c r="H171" s="27"/>
      <c r="I171" s="9"/>
      <c r="J171" s="9"/>
      <c r="K171" s="9"/>
      <c r="L171" s="9"/>
      <c r="M171" s="25"/>
      <c r="N171" s="25"/>
      <c r="O171" s="27"/>
      <c r="P171" s="27"/>
      <c r="Q171" s="27"/>
      <c r="R171" s="25"/>
      <c r="S171" s="25"/>
      <c r="T171" s="10"/>
      <c r="U171" s="9"/>
      <c r="V171" s="9"/>
      <c r="W171" s="9"/>
      <c r="X171" s="9"/>
      <c r="Y171" s="9"/>
      <c r="Z171" s="9"/>
      <c r="AA171" s="9"/>
      <c r="AB171" s="9"/>
      <c r="AC171" s="9"/>
      <c r="AD171" s="27"/>
      <c r="AE171" s="42"/>
      <c r="AF171" s="27"/>
      <c r="AG171" s="42"/>
      <c r="AH171" s="27"/>
      <c r="AI171" s="9"/>
      <c r="AJ171" s="9"/>
      <c r="AK171" s="9"/>
      <c r="AM171" s="43"/>
      <c r="AN171" s="43"/>
      <c r="AQ171" s="34"/>
      <c r="AR171" s="34"/>
      <c r="AS171" s="34"/>
      <c r="AT171" s="34"/>
    </row>
    <row r="172" spans="1:46" s="11" customFormat="1" x14ac:dyDescent="0.25">
      <c r="A172" s="23"/>
      <c r="B172" s="9"/>
      <c r="C172" s="9"/>
      <c r="D172" s="9"/>
      <c r="E172" s="9"/>
      <c r="F172" s="10"/>
      <c r="G172" s="10"/>
      <c r="H172" s="27"/>
      <c r="I172" s="9"/>
      <c r="J172" s="9"/>
      <c r="K172" s="9"/>
      <c r="L172" s="9"/>
      <c r="M172" s="25"/>
      <c r="N172" s="25"/>
      <c r="O172" s="27"/>
      <c r="P172" s="27"/>
      <c r="Q172" s="27"/>
      <c r="R172" s="25"/>
      <c r="S172" s="25"/>
      <c r="T172" s="10"/>
      <c r="U172" s="9"/>
      <c r="V172" s="9"/>
      <c r="W172" s="9"/>
      <c r="X172" s="9"/>
      <c r="Y172" s="9"/>
      <c r="Z172" s="9"/>
      <c r="AA172" s="9"/>
      <c r="AB172" s="9"/>
      <c r="AC172" s="9"/>
      <c r="AD172" s="27"/>
      <c r="AE172" s="42"/>
      <c r="AF172" s="27"/>
      <c r="AG172" s="42"/>
      <c r="AH172" s="27"/>
      <c r="AI172" s="9"/>
      <c r="AJ172" s="9"/>
      <c r="AK172" s="9"/>
      <c r="AM172" s="43"/>
      <c r="AN172" s="43"/>
      <c r="AQ172" s="34"/>
      <c r="AR172" s="34"/>
      <c r="AS172" s="34"/>
      <c r="AT172" s="34"/>
    </row>
    <row r="173" spans="1:46" s="11" customFormat="1" x14ac:dyDescent="0.25">
      <c r="A173" s="23"/>
      <c r="B173" s="9"/>
      <c r="C173" s="9"/>
      <c r="D173" s="9"/>
      <c r="E173" s="9"/>
      <c r="F173" s="10"/>
      <c r="G173" s="10"/>
      <c r="H173" s="27"/>
      <c r="I173" s="9"/>
      <c r="J173" s="9"/>
      <c r="K173" s="9"/>
      <c r="L173" s="9"/>
      <c r="M173" s="25"/>
      <c r="N173" s="25"/>
      <c r="O173" s="27"/>
      <c r="P173" s="27"/>
      <c r="Q173" s="27"/>
      <c r="R173" s="25"/>
      <c r="S173" s="25"/>
      <c r="T173" s="10"/>
      <c r="U173" s="9"/>
      <c r="V173" s="9"/>
      <c r="W173" s="9"/>
      <c r="X173" s="9"/>
      <c r="Y173" s="9"/>
      <c r="Z173" s="9"/>
      <c r="AA173" s="9"/>
      <c r="AB173" s="9"/>
      <c r="AC173" s="9"/>
      <c r="AD173" s="27"/>
      <c r="AE173" s="42"/>
      <c r="AF173" s="27"/>
      <c r="AG173" s="42"/>
      <c r="AH173" s="27"/>
      <c r="AI173" s="9"/>
      <c r="AJ173" s="9"/>
      <c r="AK173" s="9"/>
      <c r="AM173" s="43"/>
      <c r="AN173" s="43"/>
      <c r="AQ173" s="34"/>
      <c r="AR173" s="34"/>
      <c r="AS173" s="34"/>
      <c r="AT173" s="34"/>
    </row>
    <row r="174" spans="1:46" s="11" customFormat="1" x14ac:dyDescent="0.25">
      <c r="A174" s="23"/>
      <c r="B174" s="9"/>
      <c r="C174" s="9"/>
      <c r="D174" s="9"/>
      <c r="E174" s="9"/>
      <c r="F174" s="10"/>
      <c r="G174" s="10"/>
      <c r="H174" s="27"/>
      <c r="I174" s="9"/>
      <c r="J174" s="9"/>
      <c r="K174" s="9"/>
      <c r="L174" s="9"/>
      <c r="M174" s="25"/>
      <c r="N174" s="25"/>
      <c r="O174" s="27"/>
      <c r="P174" s="27"/>
      <c r="Q174" s="27"/>
      <c r="R174" s="25"/>
      <c r="S174" s="25"/>
      <c r="T174" s="10"/>
      <c r="U174" s="9"/>
      <c r="V174" s="9"/>
      <c r="W174" s="9"/>
      <c r="X174" s="9"/>
      <c r="Y174" s="9"/>
      <c r="Z174" s="9"/>
      <c r="AA174" s="9"/>
      <c r="AB174" s="9"/>
      <c r="AC174" s="9"/>
      <c r="AD174" s="27"/>
      <c r="AE174" s="42"/>
      <c r="AF174" s="27"/>
      <c r="AG174" s="42"/>
      <c r="AH174" s="27"/>
      <c r="AI174" s="9"/>
      <c r="AJ174" s="9"/>
      <c r="AK174" s="9"/>
      <c r="AM174" s="43"/>
      <c r="AN174" s="43"/>
      <c r="AQ174" s="34"/>
      <c r="AR174" s="34"/>
      <c r="AS174" s="34"/>
      <c r="AT174" s="34"/>
    </row>
    <row r="175" spans="1:46" s="11" customFormat="1" x14ac:dyDescent="0.25">
      <c r="A175" s="23"/>
      <c r="B175" s="9"/>
      <c r="C175" s="9"/>
      <c r="D175" s="9"/>
      <c r="E175" s="9"/>
      <c r="F175" s="10"/>
      <c r="G175" s="10"/>
      <c r="H175" s="27"/>
      <c r="I175" s="9"/>
      <c r="J175" s="9"/>
      <c r="K175" s="9"/>
      <c r="L175" s="9"/>
      <c r="M175" s="25"/>
      <c r="N175" s="25"/>
      <c r="O175" s="27"/>
      <c r="P175" s="27"/>
      <c r="Q175" s="27"/>
      <c r="R175" s="25"/>
      <c r="S175" s="25"/>
      <c r="T175" s="10"/>
      <c r="U175" s="9"/>
      <c r="V175" s="9"/>
      <c r="W175" s="9"/>
      <c r="X175" s="9"/>
      <c r="Y175" s="9"/>
      <c r="Z175" s="9"/>
      <c r="AA175" s="9"/>
      <c r="AB175" s="9"/>
      <c r="AC175" s="9"/>
      <c r="AD175" s="27"/>
      <c r="AE175" s="42"/>
      <c r="AF175" s="27"/>
      <c r="AG175" s="42"/>
      <c r="AH175" s="27"/>
      <c r="AI175" s="9"/>
      <c r="AJ175" s="9"/>
      <c r="AK175" s="9"/>
      <c r="AM175" s="43"/>
      <c r="AN175" s="43"/>
      <c r="AQ175" s="34"/>
      <c r="AR175" s="34"/>
      <c r="AS175" s="34"/>
      <c r="AT175" s="34"/>
    </row>
    <row r="176" spans="1:46" s="11" customFormat="1" x14ac:dyDescent="0.25">
      <c r="A176" s="23"/>
      <c r="B176" s="9"/>
      <c r="C176" s="9"/>
      <c r="D176" s="9"/>
      <c r="E176" s="9"/>
      <c r="F176" s="10"/>
      <c r="G176" s="10"/>
      <c r="H176" s="27"/>
      <c r="I176" s="9"/>
      <c r="J176" s="9"/>
      <c r="K176" s="9"/>
      <c r="L176" s="9"/>
      <c r="M176" s="25"/>
      <c r="N176" s="25"/>
      <c r="O176" s="27"/>
      <c r="P176" s="27"/>
      <c r="Q176" s="27"/>
      <c r="R176" s="25"/>
      <c r="S176" s="25"/>
      <c r="T176" s="10"/>
      <c r="U176" s="9"/>
      <c r="V176" s="9"/>
      <c r="W176" s="9"/>
      <c r="X176" s="9"/>
      <c r="Y176" s="9"/>
      <c r="Z176" s="9"/>
      <c r="AA176" s="9"/>
      <c r="AB176" s="9"/>
      <c r="AC176" s="9"/>
      <c r="AD176" s="27"/>
      <c r="AE176" s="42"/>
      <c r="AF176" s="27"/>
      <c r="AG176" s="42"/>
      <c r="AH176" s="27"/>
      <c r="AI176" s="9"/>
      <c r="AJ176" s="9"/>
      <c r="AK176" s="9"/>
      <c r="AM176" s="43"/>
      <c r="AN176" s="43"/>
      <c r="AQ176" s="34"/>
      <c r="AR176" s="34"/>
      <c r="AS176" s="34"/>
      <c r="AT176" s="34"/>
    </row>
    <row r="177" spans="1:46" s="11" customFormat="1" x14ac:dyDescent="0.25">
      <c r="A177" s="23"/>
      <c r="B177" s="9"/>
      <c r="C177" s="9"/>
      <c r="D177" s="9"/>
      <c r="E177" s="9"/>
      <c r="F177" s="10"/>
      <c r="G177" s="10"/>
      <c r="H177" s="27"/>
      <c r="I177" s="9"/>
      <c r="J177" s="9"/>
      <c r="K177" s="9"/>
      <c r="L177" s="9"/>
      <c r="M177" s="25"/>
      <c r="N177" s="25"/>
      <c r="O177" s="27"/>
      <c r="P177" s="27"/>
      <c r="Q177" s="27"/>
      <c r="R177" s="25"/>
      <c r="S177" s="25"/>
      <c r="T177" s="10"/>
      <c r="U177" s="9"/>
      <c r="V177" s="9"/>
      <c r="W177" s="9"/>
      <c r="X177" s="9"/>
      <c r="Y177" s="9"/>
      <c r="Z177" s="9"/>
      <c r="AA177" s="9"/>
      <c r="AB177" s="9"/>
      <c r="AC177" s="9"/>
      <c r="AD177" s="27"/>
      <c r="AE177" s="42"/>
      <c r="AF177" s="27"/>
      <c r="AG177" s="42"/>
      <c r="AH177" s="27"/>
      <c r="AI177" s="9"/>
      <c r="AJ177" s="9"/>
      <c r="AK177" s="9"/>
      <c r="AM177" s="43"/>
      <c r="AN177" s="43"/>
      <c r="AQ177" s="34"/>
      <c r="AR177" s="34"/>
      <c r="AS177" s="34"/>
      <c r="AT177" s="34"/>
    </row>
    <row r="178" spans="1:46" s="11" customFormat="1" x14ac:dyDescent="0.25">
      <c r="A178" s="23"/>
      <c r="B178" s="9"/>
      <c r="C178" s="9"/>
      <c r="D178" s="9"/>
      <c r="E178" s="9"/>
      <c r="F178" s="10"/>
      <c r="G178" s="10"/>
      <c r="H178" s="27"/>
      <c r="I178" s="9"/>
      <c r="J178" s="9"/>
      <c r="K178" s="9"/>
      <c r="L178" s="9"/>
      <c r="M178" s="25"/>
      <c r="N178" s="25"/>
      <c r="O178" s="27"/>
      <c r="P178" s="27"/>
      <c r="Q178" s="27"/>
      <c r="R178" s="25"/>
      <c r="S178" s="25"/>
      <c r="T178" s="10"/>
      <c r="U178" s="9"/>
      <c r="V178" s="9"/>
      <c r="W178" s="9"/>
      <c r="X178" s="9"/>
      <c r="Y178" s="9"/>
      <c r="Z178" s="9"/>
      <c r="AA178" s="9"/>
      <c r="AB178" s="9"/>
      <c r="AC178" s="9"/>
      <c r="AD178" s="27"/>
      <c r="AE178" s="42"/>
      <c r="AF178" s="27"/>
      <c r="AG178" s="42"/>
      <c r="AH178" s="27"/>
      <c r="AI178" s="9"/>
      <c r="AJ178" s="9"/>
      <c r="AK178" s="9"/>
      <c r="AM178" s="43"/>
      <c r="AN178" s="43"/>
      <c r="AQ178" s="34"/>
      <c r="AR178" s="34"/>
      <c r="AS178" s="34"/>
      <c r="AT178" s="34"/>
    </row>
    <row r="179" spans="1:46" s="11" customFormat="1" x14ac:dyDescent="0.25">
      <c r="A179" s="23"/>
      <c r="B179" s="9"/>
      <c r="C179" s="9"/>
      <c r="D179" s="9"/>
      <c r="E179" s="9"/>
      <c r="F179" s="10"/>
      <c r="G179" s="10"/>
      <c r="H179" s="27"/>
      <c r="I179" s="9"/>
      <c r="J179" s="9"/>
      <c r="K179" s="9"/>
      <c r="L179" s="9"/>
      <c r="M179" s="25"/>
      <c r="N179" s="25"/>
      <c r="O179" s="27"/>
      <c r="P179" s="27"/>
      <c r="Q179" s="27"/>
      <c r="R179" s="25"/>
      <c r="S179" s="25"/>
      <c r="T179" s="10"/>
      <c r="U179" s="9"/>
      <c r="V179" s="9"/>
      <c r="W179" s="9"/>
      <c r="X179" s="9"/>
      <c r="Y179" s="9"/>
      <c r="Z179" s="9"/>
      <c r="AA179" s="9"/>
      <c r="AB179" s="9"/>
      <c r="AC179" s="9"/>
      <c r="AD179" s="27"/>
      <c r="AE179" s="42"/>
      <c r="AF179" s="27"/>
      <c r="AG179" s="42"/>
      <c r="AH179" s="27"/>
      <c r="AI179" s="9"/>
      <c r="AJ179" s="9"/>
      <c r="AK179" s="9"/>
      <c r="AM179" s="43"/>
      <c r="AN179" s="43"/>
      <c r="AQ179" s="34"/>
      <c r="AR179" s="34"/>
      <c r="AS179" s="34"/>
      <c r="AT179" s="34"/>
    </row>
    <row r="180" spans="1:46" s="11" customFormat="1" x14ac:dyDescent="0.25">
      <c r="A180" s="23"/>
      <c r="B180" s="9"/>
      <c r="C180" s="9"/>
      <c r="D180" s="9"/>
      <c r="E180" s="9"/>
      <c r="F180" s="10"/>
      <c r="G180" s="10"/>
      <c r="H180" s="27"/>
      <c r="I180" s="9"/>
      <c r="J180" s="9"/>
      <c r="K180" s="9"/>
      <c r="L180" s="9"/>
      <c r="M180" s="25"/>
      <c r="N180" s="25"/>
      <c r="O180" s="27"/>
      <c r="P180" s="27"/>
      <c r="Q180" s="27"/>
      <c r="R180" s="25"/>
      <c r="S180" s="25"/>
      <c r="T180" s="10"/>
      <c r="U180" s="9"/>
      <c r="V180" s="9"/>
      <c r="W180" s="9"/>
      <c r="X180" s="9"/>
      <c r="Y180" s="9"/>
      <c r="Z180" s="9"/>
      <c r="AA180" s="9"/>
      <c r="AB180" s="9"/>
      <c r="AC180" s="9"/>
      <c r="AD180" s="27"/>
      <c r="AE180" s="42"/>
      <c r="AF180" s="27"/>
      <c r="AG180" s="42"/>
      <c r="AH180" s="27"/>
      <c r="AI180" s="9"/>
      <c r="AJ180" s="9"/>
      <c r="AK180" s="9"/>
      <c r="AM180" s="43"/>
      <c r="AN180" s="43"/>
      <c r="AQ180" s="34"/>
      <c r="AR180" s="34"/>
      <c r="AS180" s="34"/>
      <c r="AT180" s="34"/>
    </row>
    <row r="181" spans="1:46" s="11" customFormat="1" x14ac:dyDescent="0.25">
      <c r="A181" s="23"/>
      <c r="B181" s="9"/>
      <c r="C181" s="9"/>
      <c r="D181" s="9"/>
      <c r="E181" s="9"/>
      <c r="F181" s="10"/>
      <c r="G181" s="10"/>
      <c r="H181" s="27"/>
      <c r="I181" s="9"/>
      <c r="J181" s="9"/>
      <c r="K181" s="9"/>
      <c r="L181" s="9"/>
      <c r="M181" s="25"/>
      <c r="N181" s="25"/>
      <c r="O181" s="27"/>
      <c r="P181" s="27"/>
      <c r="Q181" s="27"/>
      <c r="R181" s="25"/>
      <c r="S181" s="25"/>
      <c r="T181" s="10"/>
      <c r="U181" s="9"/>
      <c r="V181" s="9"/>
      <c r="W181" s="9"/>
      <c r="X181" s="9"/>
      <c r="Y181" s="9"/>
      <c r="Z181" s="9"/>
      <c r="AA181" s="9"/>
      <c r="AB181" s="9"/>
      <c r="AC181" s="9"/>
      <c r="AD181" s="27"/>
      <c r="AE181" s="42"/>
      <c r="AF181" s="27"/>
      <c r="AG181" s="42"/>
      <c r="AH181" s="27"/>
      <c r="AI181" s="9"/>
      <c r="AJ181" s="9"/>
      <c r="AK181" s="9"/>
      <c r="AM181" s="43"/>
      <c r="AN181" s="43"/>
      <c r="AQ181" s="34"/>
      <c r="AR181" s="34"/>
      <c r="AS181" s="34"/>
      <c r="AT181" s="34"/>
    </row>
    <row r="182" spans="1:46" s="11" customFormat="1" x14ac:dyDescent="0.25">
      <c r="A182" s="23"/>
      <c r="B182" s="9"/>
      <c r="C182" s="9"/>
      <c r="D182" s="9"/>
      <c r="E182" s="9"/>
      <c r="F182" s="10"/>
      <c r="G182" s="10"/>
      <c r="H182" s="27"/>
      <c r="I182" s="9"/>
      <c r="J182" s="9"/>
      <c r="K182" s="9"/>
      <c r="L182" s="9"/>
      <c r="M182" s="25"/>
      <c r="N182" s="25"/>
      <c r="O182" s="27"/>
      <c r="P182" s="27"/>
      <c r="Q182" s="27"/>
      <c r="R182" s="25"/>
      <c r="S182" s="25"/>
      <c r="T182" s="10"/>
      <c r="U182" s="9"/>
      <c r="V182" s="9"/>
      <c r="W182" s="9"/>
      <c r="X182" s="9"/>
      <c r="Y182" s="9"/>
      <c r="Z182" s="9"/>
      <c r="AA182" s="9"/>
      <c r="AB182" s="9"/>
      <c r="AC182" s="9"/>
      <c r="AD182" s="27"/>
      <c r="AE182" s="42"/>
      <c r="AF182" s="27"/>
      <c r="AG182" s="42"/>
      <c r="AH182" s="27"/>
      <c r="AI182" s="9"/>
      <c r="AJ182" s="9"/>
      <c r="AK182" s="9"/>
      <c r="AM182" s="43"/>
      <c r="AN182" s="43"/>
      <c r="AQ182" s="34"/>
      <c r="AR182" s="34"/>
      <c r="AS182" s="34"/>
      <c r="AT182" s="34"/>
    </row>
    <row r="183" spans="1:46" s="11" customFormat="1" x14ac:dyDescent="0.25">
      <c r="A183" s="23"/>
      <c r="B183" s="9"/>
      <c r="C183" s="9"/>
      <c r="D183" s="9"/>
      <c r="E183" s="9"/>
      <c r="F183" s="10"/>
      <c r="G183" s="10"/>
      <c r="H183" s="27"/>
      <c r="I183" s="9"/>
      <c r="J183" s="9"/>
      <c r="K183" s="9"/>
      <c r="L183" s="9"/>
      <c r="M183" s="25"/>
      <c r="N183" s="25"/>
      <c r="O183" s="27"/>
      <c r="P183" s="27"/>
      <c r="Q183" s="27"/>
      <c r="R183" s="25"/>
      <c r="S183" s="25"/>
      <c r="T183" s="10"/>
      <c r="U183" s="9"/>
      <c r="V183" s="9"/>
      <c r="W183" s="9"/>
      <c r="X183" s="9"/>
      <c r="Y183" s="9"/>
      <c r="Z183" s="9"/>
      <c r="AA183" s="9"/>
      <c r="AB183" s="9"/>
      <c r="AC183" s="9"/>
      <c r="AD183" s="27"/>
      <c r="AE183" s="42"/>
      <c r="AF183" s="27"/>
      <c r="AG183" s="42"/>
      <c r="AH183" s="27"/>
      <c r="AI183" s="9"/>
      <c r="AJ183" s="9"/>
      <c r="AK183" s="9"/>
      <c r="AM183" s="43"/>
      <c r="AN183" s="43"/>
      <c r="AQ183" s="34"/>
      <c r="AR183" s="34"/>
      <c r="AS183" s="34"/>
      <c r="AT183" s="34"/>
    </row>
    <row r="184" spans="1:46" s="11" customFormat="1" x14ac:dyDescent="0.25">
      <c r="A184" s="23"/>
      <c r="B184" s="9"/>
      <c r="C184" s="9"/>
      <c r="D184" s="9"/>
      <c r="E184" s="9"/>
      <c r="F184" s="10"/>
      <c r="G184" s="10"/>
      <c r="H184" s="27"/>
      <c r="I184" s="9"/>
      <c r="J184" s="9"/>
      <c r="K184" s="9"/>
      <c r="L184" s="9"/>
      <c r="M184" s="25"/>
      <c r="N184" s="25"/>
      <c r="O184" s="27"/>
      <c r="P184" s="27"/>
      <c r="Q184" s="27"/>
      <c r="R184" s="25"/>
      <c r="S184" s="25"/>
      <c r="T184" s="10"/>
      <c r="U184" s="9"/>
      <c r="V184" s="9"/>
      <c r="W184" s="9"/>
      <c r="X184" s="9"/>
      <c r="Y184" s="9"/>
      <c r="Z184" s="9"/>
      <c r="AA184" s="9"/>
      <c r="AB184" s="9"/>
      <c r="AC184" s="9"/>
      <c r="AD184" s="27"/>
      <c r="AE184" s="42"/>
      <c r="AF184" s="27"/>
      <c r="AG184" s="42"/>
      <c r="AH184" s="27"/>
      <c r="AI184" s="9"/>
      <c r="AJ184" s="9"/>
      <c r="AK184" s="9"/>
      <c r="AM184" s="43"/>
      <c r="AN184" s="43"/>
      <c r="AQ184" s="34"/>
      <c r="AR184" s="34"/>
      <c r="AS184" s="34"/>
      <c r="AT184" s="34"/>
    </row>
    <row r="185" spans="1:46" s="11" customFormat="1" x14ac:dyDescent="0.25">
      <c r="A185" s="23"/>
      <c r="B185" s="9"/>
      <c r="C185" s="9"/>
      <c r="D185" s="9"/>
      <c r="E185" s="9"/>
      <c r="F185" s="10"/>
      <c r="G185" s="10"/>
      <c r="H185" s="27"/>
      <c r="I185" s="9"/>
      <c r="J185" s="9"/>
      <c r="K185" s="9"/>
      <c r="L185" s="9"/>
      <c r="M185" s="25"/>
      <c r="N185" s="25"/>
      <c r="O185" s="27"/>
      <c r="P185" s="27"/>
      <c r="Q185" s="27"/>
      <c r="R185" s="25"/>
      <c r="S185" s="25"/>
      <c r="T185" s="10"/>
      <c r="U185" s="9"/>
      <c r="V185" s="9"/>
      <c r="W185" s="9"/>
      <c r="X185" s="9"/>
      <c r="Y185" s="9"/>
      <c r="Z185" s="9"/>
      <c r="AA185" s="9"/>
      <c r="AB185" s="9"/>
      <c r="AC185" s="9"/>
      <c r="AD185" s="27"/>
      <c r="AE185" s="42"/>
      <c r="AF185" s="27"/>
      <c r="AG185" s="42"/>
      <c r="AH185" s="27"/>
      <c r="AI185" s="9"/>
      <c r="AJ185" s="9"/>
      <c r="AK185" s="9"/>
      <c r="AM185" s="43"/>
      <c r="AN185" s="43"/>
      <c r="AQ185" s="34"/>
      <c r="AR185" s="34"/>
      <c r="AS185" s="34"/>
      <c r="AT185" s="34"/>
    </row>
    <row r="186" spans="1:46" s="11" customFormat="1" x14ac:dyDescent="0.25">
      <c r="A186" s="23"/>
      <c r="B186" s="9"/>
      <c r="C186" s="9"/>
      <c r="D186" s="9"/>
      <c r="E186" s="9"/>
      <c r="F186" s="10"/>
      <c r="G186" s="10"/>
      <c r="H186" s="27"/>
      <c r="I186" s="9"/>
      <c r="J186" s="9"/>
      <c r="K186" s="9"/>
      <c r="L186" s="9"/>
      <c r="M186" s="25"/>
      <c r="N186" s="25"/>
      <c r="O186" s="27"/>
      <c r="P186" s="27"/>
      <c r="Q186" s="27"/>
      <c r="R186" s="25"/>
      <c r="S186" s="25"/>
      <c r="T186" s="10"/>
      <c r="U186" s="9"/>
      <c r="V186" s="9"/>
      <c r="W186" s="9"/>
      <c r="X186" s="9"/>
      <c r="Y186" s="9"/>
      <c r="Z186" s="9"/>
      <c r="AA186" s="9"/>
      <c r="AB186" s="9"/>
      <c r="AC186" s="9"/>
      <c r="AD186" s="27"/>
      <c r="AE186" s="42"/>
      <c r="AF186" s="27"/>
      <c r="AG186" s="42"/>
      <c r="AH186" s="27"/>
      <c r="AI186" s="9"/>
      <c r="AJ186" s="9"/>
      <c r="AK186" s="9"/>
      <c r="AM186" s="43"/>
      <c r="AN186" s="43"/>
      <c r="AQ186" s="34"/>
      <c r="AR186" s="34"/>
      <c r="AS186" s="34"/>
      <c r="AT186" s="34"/>
    </row>
    <row r="187" spans="1:46" s="11" customFormat="1" x14ac:dyDescent="0.25">
      <c r="A187" s="23"/>
      <c r="B187" s="9"/>
      <c r="C187" s="9"/>
      <c r="D187" s="9"/>
      <c r="E187" s="9"/>
      <c r="F187" s="10"/>
      <c r="G187" s="10"/>
      <c r="H187" s="27"/>
      <c r="I187" s="9"/>
      <c r="J187" s="9"/>
      <c r="K187" s="9"/>
      <c r="L187" s="9"/>
      <c r="M187" s="25"/>
      <c r="N187" s="25"/>
      <c r="O187" s="27"/>
      <c r="P187" s="27"/>
      <c r="Q187" s="27"/>
      <c r="R187" s="25"/>
      <c r="S187" s="25"/>
      <c r="T187" s="10"/>
      <c r="U187" s="9"/>
      <c r="V187" s="9"/>
      <c r="W187" s="9"/>
      <c r="X187" s="9"/>
      <c r="Y187" s="9"/>
      <c r="Z187" s="9"/>
      <c r="AA187" s="9"/>
      <c r="AB187" s="9"/>
      <c r="AC187" s="9"/>
      <c r="AD187" s="27"/>
      <c r="AE187" s="42"/>
      <c r="AF187" s="27"/>
      <c r="AG187" s="42"/>
      <c r="AH187" s="27"/>
      <c r="AI187" s="9"/>
      <c r="AJ187" s="9"/>
      <c r="AK187" s="9"/>
      <c r="AM187" s="43"/>
      <c r="AN187" s="43"/>
      <c r="AQ187" s="34"/>
      <c r="AR187" s="34"/>
      <c r="AS187" s="34"/>
      <c r="AT187" s="34"/>
    </row>
    <row r="188" spans="1:46" s="11" customFormat="1" x14ac:dyDescent="0.25">
      <c r="A188" s="23"/>
      <c r="B188" s="9"/>
      <c r="C188" s="9"/>
      <c r="D188" s="9"/>
      <c r="E188" s="9"/>
      <c r="F188" s="10"/>
      <c r="G188" s="10"/>
      <c r="H188" s="27"/>
      <c r="I188" s="9"/>
      <c r="J188" s="9"/>
      <c r="K188" s="9"/>
      <c r="L188" s="9"/>
      <c r="M188" s="25"/>
      <c r="N188" s="25"/>
      <c r="O188" s="27"/>
      <c r="P188" s="27"/>
      <c r="Q188" s="27"/>
      <c r="R188" s="25"/>
      <c r="S188" s="25"/>
      <c r="T188" s="10"/>
      <c r="U188" s="9"/>
      <c r="V188" s="9"/>
      <c r="W188" s="9"/>
      <c r="X188" s="9"/>
      <c r="Y188" s="9"/>
      <c r="Z188" s="9"/>
      <c r="AA188" s="9"/>
      <c r="AB188" s="9"/>
      <c r="AC188" s="9"/>
      <c r="AD188" s="27"/>
      <c r="AE188" s="42"/>
      <c r="AF188" s="27"/>
      <c r="AG188" s="42"/>
      <c r="AH188" s="27"/>
      <c r="AI188" s="9"/>
      <c r="AJ188" s="9"/>
      <c r="AK188" s="9"/>
      <c r="AM188" s="43"/>
      <c r="AN188" s="43"/>
      <c r="AQ188" s="34"/>
      <c r="AR188" s="34"/>
      <c r="AS188" s="34"/>
      <c r="AT188" s="34"/>
    </row>
    <row r="189" spans="1:46" s="11" customFormat="1" x14ac:dyDescent="0.25">
      <c r="A189" s="23"/>
      <c r="B189" s="9"/>
      <c r="C189" s="9"/>
      <c r="D189" s="9"/>
      <c r="E189" s="9"/>
      <c r="F189" s="10"/>
      <c r="G189" s="10"/>
      <c r="H189" s="27"/>
      <c r="I189" s="9"/>
      <c r="J189" s="9"/>
      <c r="K189" s="9"/>
      <c r="L189" s="9"/>
      <c r="M189" s="25"/>
      <c r="N189" s="25"/>
      <c r="O189" s="27"/>
      <c r="P189" s="27"/>
      <c r="Q189" s="27"/>
      <c r="R189" s="25"/>
      <c r="S189" s="25"/>
      <c r="T189" s="10"/>
      <c r="U189" s="9"/>
      <c r="V189" s="9"/>
      <c r="W189" s="9"/>
      <c r="X189" s="9"/>
      <c r="Y189" s="9"/>
      <c r="Z189" s="9"/>
      <c r="AA189" s="9"/>
      <c r="AB189" s="9"/>
      <c r="AC189" s="9"/>
      <c r="AD189" s="27"/>
      <c r="AE189" s="42"/>
      <c r="AF189" s="27"/>
      <c r="AG189" s="42"/>
      <c r="AH189" s="27"/>
      <c r="AI189" s="9"/>
      <c r="AJ189" s="9"/>
      <c r="AK189" s="9"/>
      <c r="AM189" s="43"/>
      <c r="AN189" s="43"/>
      <c r="AQ189" s="34"/>
      <c r="AR189" s="34"/>
      <c r="AS189" s="34"/>
      <c r="AT189" s="34"/>
    </row>
    <row r="190" spans="1:46" s="11" customFormat="1" x14ac:dyDescent="0.25">
      <c r="A190" s="23"/>
      <c r="B190" s="9"/>
      <c r="C190" s="9"/>
      <c r="D190" s="9"/>
      <c r="E190" s="9"/>
      <c r="F190" s="10"/>
      <c r="G190" s="10"/>
      <c r="H190" s="27"/>
      <c r="I190" s="9"/>
      <c r="J190" s="9"/>
      <c r="K190" s="9"/>
      <c r="L190" s="9"/>
      <c r="M190" s="25"/>
      <c r="N190" s="25"/>
      <c r="O190" s="27"/>
      <c r="P190" s="27"/>
      <c r="Q190" s="27"/>
      <c r="R190" s="25"/>
      <c r="S190" s="25"/>
      <c r="T190" s="10"/>
      <c r="U190" s="9"/>
      <c r="V190" s="9"/>
      <c r="W190" s="9"/>
      <c r="X190" s="9"/>
      <c r="Y190" s="9"/>
      <c r="Z190" s="9"/>
      <c r="AA190" s="9"/>
      <c r="AB190" s="9"/>
      <c r="AC190" s="9"/>
      <c r="AD190" s="27"/>
      <c r="AE190" s="42"/>
      <c r="AF190" s="27"/>
      <c r="AG190" s="42"/>
      <c r="AH190" s="27"/>
      <c r="AI190" s="9"/>
      <c r="AJ190" s="9"/>
      <c r="AK190" s="9"/>
      <c r="AM190" s="43"/>
      <c r="AN190" s="43"/>
      <c r="AQ190" s="34"/>
      <c r="AR190" s="34"/>
      <c r="AS190" s="34"/>
      <c r="AT190" s="34"/>
    </row>
    <row r="191" spans="1:46" s="11" customFormat="1" x14ac:dyDescent="0.25">
      <c r="A191" s="23"/>
      <c r="B191" s="9"/>
      <c r="C191" s="9"/>
      <c r="D191" s="9"/>
      <c r="E191" s="9"/>
      <c r="F191" s="10"/>
      <c r="G191" s="10"/>
      <c r="H191" s="27"/>
      <c r="I191" s="9"/>
      <c r="J191" s="9"/>
      <c r="K191" s="9"/>
      <c r="L191" s="9"/>
      <c r="M191" s="25"/>
      <c r="N191" s="25"/>
      <c r="O191" s="27"/>
      <c r="P191" s="27"/>
      <c r="Q191" s="27"/>
      <c r="R191" s="25"/>
      <c r="S191" s="25"/>
      <c r="T191" s="10"/>
      <c r="U191" s="9"/>
      <c r="V191" s="9"/>
      <c r="W191" s="9"/>
      <c r="X191" s="9"/>
      <c r="Y191" s="9"/>
      <c r="Z191" s="9"/>
      <c r="AA191" s="9"/>
      <c r="AB191" s="9"/>
      <c r="AC191" s="9"/>
      <c r="AD191" s="27"/>
      <c r="AE191" s="42"/>
      <c r="AF191" s="27"/>
      <c r="AG191" s="42"/>
      <c r="AH191" s="27"/>
      <c r="AI191" s="9"/>
      <c r="AJ191" s="9"/>
      <c r="AK191" s="9"/>
      <c r="AM191" s="43"/>
      <c r="AN191" s="43"/>
      <c r="AQ191" s="34"/>
      <c r="AR191" s="34"/>
      <c r="AS191" s="34"/>
      <c r="AT191" s="34"/>
    </row>
    <row r="192" spans="1:46" s="11" customFormat="1" x14ac:dyDescent="0.25">
      <c r="A192" s="23"/>
      <c r="B192" s="9"/>
      <c r="C192" s="9"/>
      <c r="D192" s="9"/>
      <c r="E192" s="9"/>
      <c r="F192" s="10"/>
      <c r="G192" s="10"/>
      <c r="H192" s="27"/>
      <c r="I192" s="9"/>
      <c r="J192" s="9"/>
      <c r="K192" s="9"/>
      <c r="L192" s="9"/>
      <c r="M192" s="25"/>
      <c r="N192" s="25"/>
      <c r="O192" s="27"/>
      <c r="P192" s="27"/>
      <c r="Q192" s="27"/>
      <c r="R192" s="25"/>
      <c r="S192" s="25"/>
      <c r="T192" s="10"/>
      <c r="U192" s="9"/>
      <c r="V192" s="9"/>
      <c r="W192" s="9"/>
      <c r="X192" s="9"/>
      <c r="Y192" s="9"/>
      <c r="Z192" s="9"/>
      <c r="AA192" s="9"/>
      <c r="AB192" s="9"/>
      <c r="AC192" s="9"/>
      <c r="AD192" s="27"/>
      <c r="AE192" s="42"/>
      <c r="AF192" s="27"/>
      <c r="AG192" s="42"/>
      <c r="AH192" s="27"/>
      <c r="AI192" s="9"/>
      <c r="AJ192" s="9"/>
      <c r="AK192" s="9"/>
      <c r="AM192" s="43"/>
      <c r="AN192" s="43"/>
      <c r="AQ192" s="34"/>
      <c r="AR192" s="34"/>
      <c r="AS192" s="34"/>
      <c r="AT192" s="34"/>
    </row>
    <row r="193" spans="1:46" s="11" customFormat="1" x14ac:dyDescent="0.25">
      <c r="A193" s="23"/>
      <c r="B193" s="9"/>
      <c r="C193" s="9"/>
      <c r="D193" s="9"/>
      <c r="E193" s="9"/>
      <c r="F193" s="10"/>
      <c r="G193" s="10"/>
      <c r="H193" s="27"/>
      <c r="I193" s="9"/>
      <c r="J193" s="9"/>
      <c r="K193" s="9"/>
      <c r="L193" s="9"/>
      <c r="M193" s="25"/>
      <c r="N193" s="25"/>
      <c r="O193" s="27"/>
      <c r="P193" s="27"/>
      <c r="Q193" s="27"/>
      <c r="R193" s="25"/>
      <c r="S193" s="25"/>
      <c r="T193" s="10"/>
      <c r="U193" s="9"/>
      <c r="V193" s="9"/>
      <c r="W193" s="9"/>
      <c r="X193" s="9"/>
      <c r="Y193" s="9"/>
      <c r="Z193" s="9"/>
      <c r="AA193" s="9"/>
      <c r="AB193" s="9"/>
      <c r="AC193" s="9"/>
      <c r="AD193" s="27"/>
      <c r="AE193" s="42"/>
      <c r="AF193" s="27"/>
      <c r="AG193" s="42"/>
      <c r="AH193" s="27"/>
      <c r="AI193" s="9"/>
      <c r="AJ193" s="9"/>
      <c r="AK193" s="9"/>
      <c r="AM193" s="43"/>
      <c r="AN193" s="43"/>
      <c r="AQ193" s="34"/>
      <c r="AR193" s="34"/>
      <c r="AS193" s="34"/>
      <c r="AT193" s="34"/>
    </row>
    <row r="194" spans="1:46" s="11" customFormat="1" x14ac:dyDescent="0.25">
      <c r="A194" s="23"/>
      <c r="B194" s="9"/>
      <c r="C194" s="9"/>
      <c r="D194" s="9"/>
      <c r="E194" s="9"/>
      <c r="F194" s="10"/>
      <c r="G194" s="10"/>
      <c r="H194" s="27"/>
      <c r="I194" s="9"/>
      <c r="J194" s="9"/>
      <c r="K194" s="9"/>
      <c r="L194" s="9"/>
      <c r="M194" s="25"/>
      <c r="N194" s="25"/>
      <c r="O194" s="27"/>
      <c r="P194" s="27"/>
      <c r="Q194" s="27"/>
      <c r="R194" s="25"/>
      <c r="S194" s="25"/>
      <c r="T194" s="10"/>
      <c r="U194" s="9"/>
      <c r="V194" s="9"/>
      <c r="W194" s="9"/>
      <c r="X194" s="9"/>
      <c r="Y194" s="9"/>
      <c r="Z194" s="9"/>
      <c r="AA194" s="9"/>
      <c r="AB194" s="9"/>
      <c r="AC194" s="9"/>
      <c r="AD194" s="27"/>
      <c r="AE194" s="42"/>
      <c r="AF194" s="27"/>
      <c r="AG194" s="42"/>
      <c r="AH194" s="27"/>
      <c r="AI194" s="9"/>
      <c r="AJ194" s="9"/>
      <c r="AK194" s="9"/>
      <c r="AM194" s="43"/>
      <c r="AN194" s="43"/>
      <c r="AQ194" s="34"/>
      <c r="AR194" s="34"/>
      <c r="AS194" s="34"/>
      <c r="AT194" s="34"/>
    </row>
    <row r="195" spans="1:46" s="11" customFormat="1" x14ac:dyDescent="0.25">
      <c r="A195" s="23"/>
      <c r="B195" s="9"/>
      <c r="C195" s="9"/>
      <c r="D195" s="9"/>
      <c r="E195" s="9"/>
      <c r="F195" s="10"/>
      <c r="G195" s="10"/>
      <c r="H195" s="27"/>
      <c r="I195" s="9"/>
      <c r="J195" s="9"/>
      <c r="K195" s="9"/>
      <c r="L195" s="9"/>
      <c r="M195" s="25"/>
      <c r="N195" s="25"/>
      <c r="O195" s="27"/>
      <c r="P195" s="27"/>
      <c r="Q195" s="27"/>
      <c r="R195" s="25"/>
      <c r="S195" s="25"/>
      <c r="T195" s="10"/>
      <c r="U195" s="9"/>
      <c r="V195" s="9"/>
      <c r="W195" s="9"/>
      <c r="X195" s="9"/>
      <c r="Y195" s="9"/>
      <c r="Z195" s="9"/>
      <c r="AA195" s="9"/>
      <c r="AB195" s="9"/>
      <c r="AC195" s="9"/>
      <c r="AD195" s="27"/>
      <c r="AE195" s="42"/>
      <c r="AF195" s="27"/>
      <c r="AG195" s="42"/>
      <c r="AH195" s="27"/>
      <c r="AI195" s="9"/>
      <c r="AJ195" s="9"/>
      <c r="AK195" s="9"/>
      <c r="AM195" s="43"/>
      <c r="AN195" s="43"/>
      <c r="AQ195" s="34"/>
      <c r="AR195" s="34"/>
      <c r="AS195" s="34"/>
      <c r="AT195" s="34"/>
    </row>
    <row r="196" spans="1:46" s="11" customFormat="1" x14ac:dyDescent="0.25">
      <c r="A196" s="23"/>
      <c r="B196" s="9"/>
      <c r="C196" s="9"/>
      <c r="D196" s="9"/>
      <c r="E196" s="9"/>
      <c r="F196" s="10"/>
      <c r="G196" s="10"/>
      <c r="H196" s="27"/>
      <c r="I196" s="9"/>
      <c r="J196" s="9"/>
      <c r="K196" s="9"/>
      <c r="L196" s="9"/>
      <c r="M196" s="25"/>
      <c r="N196" s="25"/>
      <c r="O196" s="27"/>
      <c r="P196" s="27"/>
      <c r="Q196" s="27"/>
      <c r="R196" s="25"/>
      <c r="S196" s="25"/>
      <c r="T196" s="10"/>
      <c r="U196" s="9"/>
      <c r="V196" s="9"/>
      <c r="W196" s="9"/>
      <c r="X196" s="9"/>
      <c r="Y196" s="9"/>
      <c r="Z196" s="9"/>
      <c r="AA196" s="9"/>
      <c r="AB196" s="9"/>
      <c r="AC196" s="9"/>
      <c r="AD196" s="27"/>
      <c r="AE196" s="42"/>
      <c r="AF196" s="27"/>
      <c r="AG196" s="42"/>
      <c r="AH196" s="27"/>
      <c r="AI196" s="9"/>
      <c r="AJ196" s="9"/>
      <c r="AK196" s="9"/>
      <c r="AM196" s="43"/>
      <c r="AN196" s="43"/>
      <c r="AQ196" s="34"/>
      <c r="AR196" s="34"/>
      <c r="AS196" s="34"/>
      <c r="AT196" s="34"/>
    </row>
    <row r="197" spans="1:46" s="11" customFormat="1" x14ac:dyDescent="0.25">
      <c r="A197" s="23"/>
      <c r="B197" s="9"/>
      <c r="C197" s="9"/>
      <c r="D197" s="9"/>
      <c r="E197" s="9"/>
      <c r="F197" s="10"/>
      <c r="G197" s="10"/>
      <c r="H197" s="27"/>
      <c r="I197" s="9"/>
      <c r="J197" s="9"/>
      <c r="K197" s="9"/>
      <c r="L197" s="9"/>
      <c r="M197" s="25"/>
      <c r="N197" s="25"/>
      <c r="O197" s="27"/>
      <c r="P197" s="27"/>
      <c r="Q197" s="27"/>
      <c r="R197" s="25"/>
      <c r="S197" s="25"/>
      <c r="T197" s="10"/>
      <c r="U197" s="9"/>
      <c r="V197" s="9"/>
      <c r="W197" s="9"/>
      <c r="X197" s="9"/>
      <c r="Y197" s="9"/>
      <c r="Z197" s="9"/>
      <c r="AA197" s="9"/>
      <c r="AB197" s="9"/>
      <c r="AC197" s="9"/>
      <c r="AD197" s="27"/>
      <c r="AE197" s="42"/>
      <c r="AF197" s="27"/>
      <c r="AG197" s="42"/>
      <c r="AH197" s="27"/>
      <c r="AI197" s="9"/>
      <c r="AJ197" s="9"/>
      <c r="AK197" s="9"/>
      <c r="AM197" s="43"/>
      <c r="AN197" s="43"/>
      <c r="AQ197" s="34"/>
      <c r="AR197" s="34"/>
      <c r="AS197" s="34"/>
      <c r="AT197" s="34"/>
    </row>
    <row r="198" spans="1:46" s="11" customFormat="1" x14ac:dyDescent="0.25">
      <c r="A198" s="23"/>
      <c r="B198" s="9"/>
      <c r="C198" s="9"/>
      <c r="D198" s="9"/>
      <c r="E198" s="9"/>
      <c r="F198" s="10"/>
      <c r="G198" s="10"/>
      <c r="H198" s="27"/>
      <c r="I198" s="9"/>
      <c r="J198" s="9"/>
      <c r="K198" s="9"/>
      <c r="L198" s="9"/>
      <c r="M198" s="25"/>
      <c r="N198" s="25"/>
      <c r="O198" s="27"/>
      <c r="P198" s="27"/>
      <c r="Q198" s="27"/>
      <c r="R198" s="25"/>
      <c r="S198" s="25"/>
      <c r="T198" s="10"/>
      <c r="U198" s="9"/>
      <c r="V198" s="9"/>
      <c r="W198" s="9"/>
      <c r="X198" s="9"/>
      <c r="Y198" s="9"/>
      <c r="Z198" s="9"/>
      <c r="AA198" s="9"/>
      <c r="AB198" s="9"/>
      <c r="AC198" s="9"/>
      <c r="AD198" s="27"/>
      <c r="AE198" s="42"/>
      <c r="AF198" s="27"/>
      <c r="AG198" s="42"/>
      <c r="AH198" s="27"/>
      <c r="AI198" s="9"/>
      <c r="AJ198" s="9"/>
      <c r="AK198" s="9"/>
      <c r="AM198" s="43"/>
      <c r="AN198" s="43"/>
      <c r="AQ198" s="34"/>
      <c r="AR198" s="34"/>
      <c r="AS198" s="34"/>
      <c r="AT198" s="34"/>
    </row>
    <row r="199" spans="1:46" s="11" customFormat="1" x14ac:dyDescent="0.25">
      <c r="A199" s="23"/>
      <c r="B199" s="9"/>
      <c r="C199" s="9"/>
      <c r="D199" s="9"/>
      <c r="E199" s="9"/>
      <c r="F199" s="10"/>
      <c r="G199" s="10"/>
      <c r="H199" s="27"/>
      <c r="I199" s="9"/>
      <c r="J199" s="9"/>
      <c r="K199" s="9"/>
      <c r="L199" s="9"/>
      <c r="M199" s="25"/>
      <c r="N199" s="25"/>
      <c r="O199" s="27"/>
      <c r="P199" s="27"/>
      <c r="Q199" s="27"/>
      <c r="R199" s="25"/>
      <c r="S199" s="25"/>
      <c r="T199" s="10"/>
      <c r="U199" s="9"/>
      <c r="V199" s="9"/>
      <c r="W199" s="9"/>
      <c r="X199" s="9"/>
      <c r="Y199" s="9"/>
      <c r="Z199" s="9"/>
      <c r="AA199" s="9"/>
      <c r="AB199" s="9"/>
      <c r="AC199" s="9"/>
      <c r="AD199" s="27"/>
      <c r="AE199" s="42"/>
      <c r="AF199" s="27"/>
      <c r="AG199" s="42"/>
      <c r="AH199" s="27"/>
      <c r="AI199" s="9"/>
      <c r="AJ199" s="9"/>
      <c r="AK199" s="9"/>
      <c r="AM199" s="43"/>
      <c r="AN199" s="43"/>
      <c r="AQ199" s="34"/>
      <c r="AR199" s="34"/>
      <c r="AS199" s="34"/>
      <c r="AT199" s="34"/>
    </row>
    <row r="200" spans="1:46" s="11" customFormat="1" x14ac:dyDescent="0.25">
      <c r="A200" s="23"/>
      <c r="B200" s="9"/>
      <c r="C200" s="9"/>
      <c r="D200" s="9"/>
      <c r="E200" s="9"/>
      <c r="F200" s="10"/>
      <c r="G200" s="10"/>
      <c r="H200" s="27"/>
      <c r="I200" s="9"/>
      <c r="J200" s="9"/>
      <c r="K200" s="9"/>
      <c r="L200" s="9"/>
      <c r="M200" s="25"/>
      <c r="N200" s="25"/>
      <c r="O200" s="27"/>
      <c r="P200" s="27"/>
      <c r="Q200" s="27"/>
      <c r="R200" s="25"/>
      <c r="S200" s="25"/>
      <c r="T200" s="10"/>
      <c r="U200" s="9"/>
      <c r="V200" s="9"/>
      <c r="W200" s="9"/>
      <c r="X200" s="9"/>
      <c r="Y200" s="9"/>
      <c r="Z200" s="9"/>
      <c r="AA200" s="9"/>
      <c r="AB200" s="9"/>
      <c r="AC200" s="9"/>
      <c r="AD200" s="27"/>
      <c r="AE200" s="42"/>
      <c r="AF200" s="27"/>
      <c r="AG200" s="42"/>
      <c r="AH200" s="27"/>
      <c r="AI200" s="9"/>
      <c r="AJ200" s="9"/>
      <c r="AK200" s="9"/>
      <c r="AM200" s="43"/>
      <c r="AN200" s="43"/>
      <c r="AQ200" s="34"/>
      <c r="AR200" s="34"/>
      <c r="AS200" s="34"/>
      <c r="AT200" s="34"/>
    </row>
    <row r="201" spans="1:46" s="11" customFormat="1" x14ac:dyDescent="0.25">
      <c r="A201" s="23"/>
      <c r="B201" s="9"/>
      <c r="C201" s="9"/>
      <c r="D201" s="9"/>
      <c r="E201" s="9"/>
      <c r="F201" s="10"/>
      <c r="G201" s="10"/>
      <c r="H201" s="27"/>
      <c r="I201" s="9"/>
      <c r="J201" s="9"/>
      <c r="K201" s="9"/>
      <c r="L201" s="9"/>
      <c r="M201" s="25"/>
      <c r="N201" s="25"/>
      <c r="O201" s="27"/>
      <c r="P201" s="27"/>
      <c r="Q201" s="27"/>
      <c r="R201" s="25"/>
      <c r="S201" s="25"/>
      <c r="T201" s="10"/>
      <c r="U201" s="9"/>
      <c r="V201" s="9"/>
      <c r="W201" s="9"/>
      <c r="X201" s="9"/>
      <c r="Y201" s="9"/>
      <c r="Z201" s="9"/>
      <c r="AA201" s="9"/>
      <c r="AB201" s="9"/>
      <c r="AC201" s="9"/>
      <c r="AD201" s="27"/>
      <c r="AE201" s="42"/>
      <c r="AF201" s="27"/>
      <c r="AG201" s="42"/>
      <c r="AH201" s="27"/>
      <c r="AI201" s="9"/>
      <c r="AJ201" s="9"/>
      <c r="AK201" s="9"/>
      <c r="AM201" s="43"/>
      <c r="AN201" s="43"/>
      <c r="AQ201" s="34"/>
      <c r="AR201" s="34"/>
      <c r="AS201" s="34"/>
      <c r="AT201" s="34"/>
    </row>
    <row r="202" spans="1:46" s="11" customFormat="1" x14ac:dyDescent="0.25">
      <c r="A202" s="23"/>
      <c r="B202" s="9"/>
      <c r="C202" s="9"/>
      <c r="D202" s="9"/>
      <c r="E202" s="9"/>
      <c r="F202" s="10"/>
      <c r="G202" s="10"/>
      <c r="H202" s="27"/>
      <c r="I202" s="9"/>
      <c r="J202" s="9"/>
      <c r="K202" s="9"/>
      <c r="L202" s="9"/>
      <c r="M202" s="25"/>
      <c r="N202" s="25"/>
      <c r="O202" s="27"/>
      <c r="P202" s="27"/>
      <c r="Q202" s="27"/>
      <c r="R202" s="25"/>
      <c r="S202" s="25"/>
      <c r="T202" s="10"/>
      <c r="U202" s="9"/>
      <c r="V202" s="9"/>
      <c r="W202" s="9"/>
      <c r="X202" s="9"/>
      <c r="Y202" s="9"/>
      <c r="Z202" s="9"/>
      <c r="AA202" s="9"/>
      <c r="AB202" s="9"/>
      <c r="AC202" s="9"/>
      <c r="AD202" s="27"/>
      <c r="AE202" s="42"/>
      <c r="AF202" s="27"/>
      <c r="AG202" s="42"/>
      <c r="AH202" s="27"/>
      <c r="AI202" s="9"/>
      <c r="AJ202" s="9"/>
      <c r="AK202" s="9"/>
      <c r="AM202" s="43"/>
      <c r="AN202" s="43"/>
      <c r="AQ202" s="34"/>
      <c r="AR202" s="34"/>
      <c r="AS202" s="34"/>
      <c r="AT202" s="34"/>
    </row>
    <row r="203" spans="1:46" s="11" customFormat="1" x14ac:dyDescent="0.25">
      <c r="A203" s="23"/>
      <c r="B203" s="9"/>
      <c r="C203" s="9"/>
      <c r="D203" s="9"/>
      <c r="E203" s="9"/>
      <c r="F203" s="10"/>
      <c r="G203" s="10"/>
      <c r="H203" s="27"/>
      <c r="I203" s="9"/>
      <c r="J203" s="9"/>
      <c r="K203" s="9"/>
      <c r="L203" s="9"/>
      <c r="M203" s="25"/>
      <c r="N203" s="25"/>
      <c r="O203" s="27"/>
      <c r="P203" s="27"/>
      <c r="Q203" s="27"/>
      <c r="R203" s="25"/>
      <c r="S203" s="25"/>
      <c r="T203" s="10"/>
      <c r="U203" s="9"/>
      <c r="V203" s="9"/>
      <c r="W203" s="9"/>
      <c r="X203" s="9"/>
      <c r="Y203" s="9"/>
      <c r="Z203" s="9"/>
      <c r="AA203" s="9"/>
      <c r="AB203" s="9"/>
      <c r="AC203" s="9"/>
      <c r="AD203" s="27"/>
      <c r="AE203" s="42"/>
      <c r="AF203" s="27"/>
      <c r="AG203" s="42"/>
      <c r="AH203" s="27"/>
      <c r="AI203" s="9"/>
      <c r="AJ203" s="9"/>
      <c r="AK203" s="9"/>
      <c r="AM203" s="43"/>
      <c r="AN203" s="43"/>
      <c r="AQ203" s="34"/>
      <c r="AR203" s="34"/>
      <c r="AS203" s="34"/>
      <c r="AT203" s="34"/>
    </row>
    <row r="204" spans="1:46" s="11" customFormat="1" x14ac:dyDescent="0.25">
      <c r="A204" s="23"/>
      <c r="B204" s="9"/>
      <c r="C204" s="9"/>
      <c r="D204" s="9"/>
      <c r="E204" s="9"/>
      <c r="F204" s="10"/>
      <c r="G204" s="10"/>
      <c r="H204" s="27"/>
      <c r="I204" s="9"/>
      <c r="J204" s="9"/>
      <c r="K204" s="9"/>
      <c r="L204" s="9"/>
      <c r="M204" s="25"/>
      <c r="N204" s="25"/>
      <c r="O204" s="27"/>
      <c r="P204" s="27"/>
      <c r="Q204" s="27"/>
      <c r="R204" s="25"/>
      <c r="S204" s="25"/>
      <c r="T204" s="10"/>
      <c r="U204" s="9"/>
      <c r="V204" s="9"/>
      <c r="W204" s="9"/>
      <c r="X204" s="9"/>
      <c r="Y204" s="9"/>
      <c r="Z204" s="9"/>
      <c r="AA204" s="9"/>
      <c r="AB204" s="9"/>
      <c r="AC204" s="9"/>
      <c r="AD204" s="27"/>
      <c r="AE204" s="42"/>
      <c r="AF204" s="27"/>
      <c r="AG204" s="42"/>
      <c r="AH204" s="27"/>
      <c r="AI204" s="9"/>
      <c r="AJ204" s="9"/>
      <c r="AK204" s="9"/>
      <c r="AM204" s="43"/>
      <c r="AN204" s="43"/>
      <c r="AQ204" s="34"/>
      <c r="AR204" s="34"/>
      <c r="AS204" s="34"/>
      <c r="AT204" s="34"/>
    </row>
    <row r="205" spans="1:46" s="11" customFormat="1" x14ac:dyDescent="0.25">
      <c r="A205" s="23"/>
      <c r="B205" s="9"/>
      <c r="C205" s="9"/>
      <c r="D205" s="9"/>
      <c r="E205" s="9"/>
      <c r="F205" s="10"/>
      <c r="G205" s="10"/>
      <c r="H205" s="27"/>
      <c r="I205" s="9"/>
      <c r="J205" s="9"/>
      <c r="K205" s="9"/>
      <c r="L205" s="9"/>
      <c r="M205" s="25"/>
      <c r="N205" s="25"/>
      <c r="O205" s="27"/>
      <c r="P205" s="27"/>
      <c r="Q205" s="27"/>
      <c r="R205" s="25"/>
      <c r="S205" s="25"/>
      <c r="T205" s="10"/>
      <c r="U205" s="9"/>
      <c r="V205" s="9"/>
      <c r="W205" s="9"/>
      <c r="X205" s="9"/>
      <c r="Y205" s="9"/>
      <c r="Z205" s="9"/>
      <c r="AA205" s="9"/>
      <c r="AB205" s="9"/>
      <c r="AC205" s="9"/>
      <c r="AD205" s="27"/>
      <c r="AE205" s="42"/>
      <c r="AF205" s="27"/>
      <c r="AG205" s="42"/>
      <c r="AH205" s="27"/>
      <c r="AI205" s="9"/>
      <c r="AJ205" s="9"/>
      <c r="AK205" s="9"/>
      <c r="AM205" s="43"/>
      <c r="AN205" s="43"/>
      <c r="AQ205" s="34"/>
      <c r="AR205" s="34"/>
      <c r="AS205" s="34"/>
      <c r="AT205" s="34"/>
    </row>
    <row r="206" spans="1:46" s="11" customFormat="1" x14ac:dyDescent="0.25">
      <c r="A206" s="23"/>
      <c r="B206" s="9"/>
      <c r="C206" s="9"/>
      <c r="D206" s="9"/>
      <c r="E206" s="9"/>
      <c r="F206" s="10"/>
      <c r="G206" s="10"/>
      <c r="H206" s="27"/>
      <c r="I206" s="9"/>
      <c r="J206" s="9"/>
      <c r="K206" s="9"/>
      <c r="L206" s="9"/>
      <c r="M206" s="25"/>
      <c r="N206" s="25"/>
      <c r="O206" s="27"/>
      <c r="P206" s="27"/>
      <c r="Q206" s="27"/>
      <c r="R206" s="25"/>
      <c r="S206" s="25"/>
      <c r="T206" s="10"/>
      <c r="U206" s="9"/>
      <c r="V206" s="9"/>
      <c r="W206" s="9"/>
      <c r="X206" s="9"/>
      <c r="Y206" s="9"/>
      <c r="Z206" s="9"/>
      <c r="AA206" s="9"/>
      <c r="AB206" s="9"/>
      <c r="AC206" s="9"/>
      <c r="AD206" s="27"/>
      <c r="AE206" s="42"/>
      <c r="AF206" s="27"/>
      <c r="AG206" s="42"/>
      <c r="AH206" s="27"/>
      <c r="AI206" s="9"/>
      <c r="AJ206" s="9"/>
      <c r="AK206" s="9"/>
      <c r="AM206" s="43"/>
      <c r="AN206" s="43"/>
      <c r="AQ206" s="34"/>
      <c r="AR206" s="34"/>
      <c r="AS206" s="34"/>
      <c r="AT206" s="34"/>
    </row>
    <row r="207" spans="1:46" s="11" customFormat="1" x14ac:dyDescent="0.25">
      <c r="A207" s="23"/>
      <c r="B207" s="9"/>
      <c r="C207" s="9"/>
      <c r="D207" s="9"/>
      <c r="E207" s="9"/>
      <c r="F207" s="10"/>
      <c r="G207" s="10"/>
      <c r="H207" s="27"/>
      <c r="I207" s="9"/>
      <c r="J207" s="9"/>
      <c r="K207" s="9"/>
      <c r="L207" s="9"/>
      <c r="M207" s="25"/>
      <c r="N207" s="25"/>
      <c r="O207" s="27"/>
      <c r="P207" s="27"/>
      <c r="Q207" s="27"/>
      <c r="R207" s="25"/>
      <c r="S207" s="25"/>
      <c r="T207" s="10"/>
      <c r="U207" s="9"/>
      <c r="V207" s="9"/>
      <c r="W207" s="9"/>
      <c r="X207" s="9"/>
      <c r="Y207" s="9"/>
      <c r="Z207" s="9"/>
      <c r="AA207" s="9"/>
      <c r="AB207" s="9"/>
      <c r="AC207" s="9"/>
      <c r="AD207" s="27"/>
      <c r="AE207" s="42"/>
      <c r="AF207" s="27"/>
      <c r="AG207" s="42"/>
      <c r="AH207" s="27"/>
      <c r="AI207" s="9"/>
      <c r="AJ207" s="9"/>
      <c r="AK207" s="9"/>
      <c r="AM207" s="43"/>
      <c r="AN207" s="43"/>
      <c r="AQ207" s="34"/>
      <c r="AR207" s="34"/>
      <c r="AS207" s="34"/>
      <c r="AT207" s="34"/>
    </row>
    <row r="208" spans="1:46" s="11" customFormat="1" x14ac:dyDescent="0.25">
      <c r="A208" s="23"/>
      <c r="B208" s="9"/>
      <c r="C208" s="9"/>
      <c r="D208" s="9"/>
      <c r="E208" s="9"/>
      <c r="F208" s="10"/>
      <c r="G208" s="10"/>
      <c r="H208" s="27"/>
      <c r="I208" s="9"/>
      <c r="J208" s="9"/>
      <c r="K208" s="9"/>
      <c r="L208" s="9"/>
      <c r="M208" s="25"/>
      <c r="N208" s="25"/>
      <c r="O208" s="27"/>
      <c r="P208" s="27"/>
      <c r="Q208" s="27"/>
      <c r="R208" s="25"/>
      <c r="S208" s="25"/>
      <c r="T208" s="10"/>
      <c r="U208" s="9"/>
      <c r="V208" s="9"/>
      <c r="W208" s="9"/>
      <c r="X208" s="9"/>
      <c r="Y208" s="9"/>
      <c r="Z208" s="9"/>
      <c r="AA208" s="9"/>
      <c r="AB208" s="9"/>
      <c r="AC208" s="9"/>
      <c r="AD208" s="27"/>
      <c r="AE208" s="42"/>
      <c r="AF208" s="27"/>
      <c r="AG208" s="42"/>
      <c r="AH208" s="27"/>
      <c r="AI208" s="9"/>
      <c r="AJ208" s="9"/>
      <c r="AK208" s="9"/>
      <c r="AM208" s="43"/>
      <c r="AN208" s="43"/>
      <c r="AQ208" s="34"/>
      <c r="AR208" s="34"/>
      <c r="AS208" s="34"/>
      <c r="AT208" s="34"/>
    </row>
    <row r="209" spans="1:46" s="11" customFormat="1" x14ac:dyDescent="0.25">
      <c r="A209" s="23"/>
      <c r="B209" s="9"/>
      <c r="C209" s="9"/>
      <c r="D209" s="9"/>
      <c r="E209" s="9"/>
      <c r="F209" s="10"/>
      <c r="G209" s="10"/>
      <c r="H209" s="27"/>
      <c r="I209" s="9"/>
      <c r="J209" s="9"/>
      <c r="K209" s="9"/>
      <c r="L209" s="9"/>
      <c r="M209" s="25"/>
      <c r="N209" s="25"/>
      <c r="O209" s="27"/>
      <c r="P209" s="27"/>
      <c r="Q209" s="27"/>
      <c r="R209" s="25"/>
      <c r="S209" s="25"/>
      <c r="T209" s="10"/>
      <c r="U209" s="9"/>
      <c r="V209" s="9"/>
      <c r="W209" s="9"/>
      <c r="X209" s="9"/>
      <c r="Y209" s="9"/>
      <c r="Z209" s="9"/>
      <c r="AA209" s="9"/>
      <c r="AB209" s="9"/>
      <c r="AC209" s="9"/>
      <c r="AD209" s="27"/>
      <c r="AE209" s="42"/>
      <c r="AF209" s="27"/>
      <c r="AG209" s="42"/>
      <c r="AH209" s="27"/>
      <c r="AI209" s="9"/>
      <c r="AJ209" s="9"/>
      <c r="AK209" s="9"/>
      <c r="AM209" s="43"/>
      <c r="AN209" s="43"/>
      <c r="AQ209" s="34"/>
      <c r="AR209" s="34"/>
      <c r="AS209" s="34"/>
      <c r="AT209" s="34"/>
    </row>
    <row r="210" spans="1:46" s="11" customFormat="1" x14ac:dyDescent="0.25">
      <c r="A210" s="23"/>
      <c r="B210" s="9"/>
      <c r="C210" s="9"/>
      <c r="D210" s="9"/>
      <c r="E210" s="9"/>
      <c r="F210" s="10"/>
      <c r="G210" s="10"/>
      <c r="H210" s="27"/>
      <c r="I210" s="9"/>
      <c r="J210" s="9"/>
      <c r="K210" s="9"/>
      <c r="L210" s="9"/>
      <c r="M210" s="25"/>
      <c r="N210" s="25"/>
      <c r="O210" s="27"/>
      <c r="P210" s="27"/>
      <c r="Q210" s="27"/>
      <c r="R210" s="25"/>
      <c r="S210" s="25"/>
      <c r="T210" s="10"/>
      <c r="U210" s="9"/>
      <c r="V210" s="9"/>
      <c r="W210" s="9"/>
      <c r="X210" s="9"/>
      <c r="Y210" s="9"/>
      <c r="Z210" s="9"/>
      <c r="AA210" s="9"/>
      <c r="AB210" s="9"/>
      <c r="AC210" s="9"/>
      <c r="AD210" s="27"/>
      <c r="AE210" s="42"/>
      <c r="AF210" s="27"/>
      <c r="AG210" s="42"/>
      <c r="AH210" s="27"/>
      <c r="AI210" s="9"/>
      <c r="AJ210" s="9"/>
      <c r="AK210" s="9"/>
      <c r="AM210" s="43"/>
      <c r="AN210" s="43"/>
      <c r="AQ210" s="34"/>
      <c r="AR210" s="34"/>
      <c r="AS210" s="34"/>
      <c r="AT210" s="34"/>
    </row>
    <row r="211" spans="1:46" s="11" customFormat="1" x14ac:dyDescent="0.25">
      <c r="A211" s="23"/>
      <c r="B211" s="9"/>
      <c r="C211" s="9"/>
      <c r="D211" s="9"/>
      <c r="E211" s="9"/>
      <c r="F211" s="10"/>
      <c r="G211" s="10"/>
      <c r="H211" s="27"/>
      <c r="I211" s="9"/>
      <c r="J211" s="9"/>
      <c r="K211" s="9"/>
      <c r="L211" s="9"/>
      <c r="M211" s="25"/>
      <c r="N211" s="25"/>
      <c r="O211" s="27"/>
      <c r="P211" s="27"/>
      <c r="Q211" s="27"/>
      <c r="R211" s="25"/>
      <c r="S211" s="25"/>
      <c r="T211" s="10"/>
      <c r="U211" s="9"/>
      <c r="V211" s="9"/>
      <c r="W211" s="9"/>
      <c r="X211" s="9"/>
      <c r="Y211" s="9"/>
      <c r="Z211" s="9"/>
      <c r="AA211" s="9"/>
      <c r="AB211" s="9"/>
      <c r="AC211" s="9"/>
      <c r="AD211" s="27"/>
      <c r="AE211" s="42"/>
      <c r="AF211" s="27"/>
      <c r="AG211" s="42"/>
      <c r="AH211" s="27"/>
      <c r="AI211" s="9"/>
      <c r="AJ211" s="9"/>
      <c r="AK211" s="9"/>
      <c r="AM211" s="43"/>
      <c r="AN211" s="43"/>
      <c r="AQ211" s="34"/>
      <c r="AR211" s="34"/>
      <c r="AS211" s="34"/>
      <c r="AT211" s="34"/>
    </row>
    <row r="212" spans="1:46" s="11" customFormat="1" x14ac:dyDescent="0.25">
      <c r="A212" s="23"/>
      <c r="B212" s="9"/>
      <c r="C212" s="9"/>
      <c r="D212" s="9"/>
      <c r="E212" s="9"/>
      <c r="F212" s="10"/>
      <c r="G212" s="10"/>
      <c r="H212" s="27"/>
      <c r="I212" s="9"/>
      <c r="J212" s="9"/>
      <c r="K212" s="9"/>
      <c r="L212" s="9"/>
      <c r="M212" s="25"/>
      <c r="N212" s="25"/>
      <c r="O212" s="27"/>
      <c r="P212" s="27"/>
      <c r="Q212" s="27"/>
      <c r="R212" s="25"/>
      <c r="S212" s="25"/>
      <c r="T212" s="10"/>
      <c r="U212" s="9"/>
      <c r="V212" s="9"/>
      <c r="W212" s="9"/>
      <c r="X212" s="9"/>
      <c r="Y212" s="9"/>
      <c r="Z212" s="9"/>
      <c r="AA212" s="9"/>
      <c r="AB212" s="9"/>
      <c r="AC212" s="9"/>
      <c r="AD212" s="27"/>
      <c r="AE212" s="42"/>
      <c r="AF212" s="27"/>
      <c r="AG212" s="42"/>
      <c r="AH212" s="27"/>
      <c r="AI212" s="9"/>
      <c r="AJ212" s="9"/>
      <c r="AK212" s="9"/>
      <c r="AM212" s="43"/>
      <c r="AN212" s="43"/>
      <c r="AQ212" s="34"/>
      <c r="AR212" s="34"/>
      <c r="AS212" s="34"/>
      <c r="AT212" s="34"/>
    </row>
    <row r="213" spans="1:46" s="11" customFormat="1" x14ac:dyDescent="0.25">
      <c r="A213" s="23"/>
      <c r="B213" s="9"/>
      <c r="C213" s="9"/>
      <c r="D213" s="9"/>
      <c r="E213" s="9"/>
      <c r="F213" s="10"/>
      <c r="G213" s="10"/>
      <c r="H213" s="27"/>
      <c r="I213" s="9"/>
      <c r="J213" s="9"/>
      <c r="K213" s="9"/>
      <c r="L213" s="9"/>
      <c r="M213" s="25"/>
      <c r="N213" s="25"/>
      <c r="O213" s="27"/>
      <c r="P213" s="27"/>
      <c r="Q213" s="27"/>
      <c r="R213" s="25"/>
      <c r="S213" s="25"/>
      <c r="T213" s="10"/>
      <c r="U213" s="9"/>
      <c r="V213" s="9"/>
      <c r="W213" s="9"/>
      <c r="X213" s="9"/>
      <c r="Y213" s="9"/>
      <c r="Z213" s="9"/>
      <c r="AA213" s="9"/>
      <c r="AB213" s="9"/>
      <c r="AC213" s="9"/>
      <c r="AD213" s="27"/>
      <c r="AE213" s="42"/>
      <c r="AF213" s="27"/>
      <c r="AG213" s="42"/>
      <c r="AH213" s="27"/>
      <c r="AI213" s="9"/>
      <c r="AJ213" s="9"/>
      <c r="AK213" s="9"/>
      <c r="AM213" s="43"/>
      <c r="AN213" s="43"/>
      <c r="AQ213" s="34"/>
      <c r="AR213" s="34"/>
      <c r="AS213" s="34"/>
      <c r="AT213" s="34"/>
    </row>
    <row r="214" spans="1:46" s="11" customFormat="1" x14ac:dyDescent="0.25">
      <c r="A214" s="23"/>
      <c r="B214" s="9"/>
      <c r="C214" s="9"/>
      <c r="D214" s="9"/>
      <c r="E214" s="9"/>
      <c r="F214" s="10"/>
      <c r="G214" s="10"/>
      <c r="H214" s="27"/>
      <c r="I214" s="9"/>
      <c r="J214" s="9"/>
      <c r="K214" s="9"/>
      <c r="L214" s="9"/>
      <c r="M214" s="25"/>
      <c r="N214" s="25"/>
      <c r="O214" s="27"/>
      <c r="P214" s="27"/>
      <c r="Q214" s="27"/>
      <c r="R214" s="25"/>
      <c r="S214" s="25"/>
      <c r="T214" s="10"/>
      <c r="U214" s="9"/>
      <c r="V214" s="9"/>
      <c r="W214" s="9"/>
      <c r="X214" s="9"/>
      <c r="Y214" s="9"/>
      <c r="Z214" s="9"/>
      <c r="AA214" s="9"/>
      <c r="AB214" s="9"/>
      <c r="AC214" s="9"/>
      <c r="AD214" s="27"/>
      <c r="AE214" s="42"/>
      <c r="AF214" s="27"/>
      <c r="AG214" s="42"/>
      <c r="AH214" s="27"/>
      <c r="AI214" s="9"/>
      <c r="AJ214" s="9"/>
      <c r="AK214" s="9"/>
      <c r="AM214" s="43"/>
      <c r="AN214" s="43"/>
      <c r="AQ214" s="34"/>
      <c r="AR214" s="34"/>
      <c r="AS214" s="34"/>
      <c r="AT214" s="34"/>
    </row>
    <row r="215" spans="1:46" s="11" customFormat="1" x14ac:dyDescent="0.25">
      <c r="A215" s="23"/>
      <c r="B215" s="9"/>
      <c r="C215" s="9"/>
      <c r="D215" s="9"/>
      <c r="E215" s="9"/>
      <c r="F215" s="10"/>
      <c r="G215" s="10"/>
      <c r="H215" s="27"/>
      <c r="I215" s="9"/>
      <c r="J215" s="9"/>
      <c r="K215" s="9"/>
      <c r="L215" s="9"/>
      <c r="M215" s="25"/>
      <c r="N215" s="25"/>
      <c r="O215" s="27"/>
      <c r="P215" s="27"/>
      <c r="Q215" s="27"/>
      <c r="R215" s="25"/>
      <c r="S215" s="25"/>
      <c r="T215" s="10"/>
      <c r="U215" s="9"/>
      <c r="V215" s="9"/>
      <c r="W215" s="9"/>
      <c r="X215" s="9"/>
      <c r="Y215" s="9"/>
      <c r="Z215" s="9"/>
      <c r="AA215" s="9"/>
      <c r="AB215" s="9"/>
      <c r="AC215" s="9"/>
      <c r="AD215" s="27"/>
      <c r="AE215" s="42"/>
      <c r="AF215" s="27"/>
      <c r="AG215" s="42"/>
      <c r="AH215" s="27"/>
      <c r="AI215" s="9"/>
      <c r="AJ215" s="9"/>
      <c r="AK215" s="9"/>
      <c r="AM215" s="43"/>
      <c r="AN215" s="43"/>
      <c r="AQ215" s="34"/>
      <c r="AR215" s="34"/>
      <c r="AS215" s="34"/>
      <c r="AT215" s="34"/>
    </row>
    <row r="216" spans="1:46" s="11" customFormat="1" x14ac:dyDescent="0.25">
      <c r="A216" s="23"/>
      <c r="B216" s="9"/>
      <c r="C216" s="9"/>
      <c r="D216" s="9"/>
      <c r="E216" s="9"/>
      <c r="F216" s="10"/>
      <c r="G216" s="10"/>
      <c r="H216" s="27"/>
      <c r="I216" s="9"/>
      <c r="J216" s="9"/>
      <c r="K216" s="9"/>
      <c r="L216" s="9"/>
      <c r="M216" s="25"/>
      <c r="N216" s="25"/>
      <c r="O216" s="27"/>
      <c r="P216" s="27"/>
      <c r="Q216" s="27"/>
      <c r="R216" s="25"/>
      <c r="S216" s="25"/>
      <c r="T216" s="10"/>
      <c r="U216" s="9"/>
      <c r="V216" s="9"/>
      <c r="W216" s="9"/>
      <c r="X216" s="9"/>
      <c r="Y216" s="9"/>
      <c r="Z216" s="9"/>
      <c r="AA216" s="9"/>
      <c r="AB216" s="9"/>
      <c r="AC216" s="9"/>
      <c r="AD216" s="27"/>
      <c r="AE216" s="42"/>
      <c r="AF216" s="27"/>
      <c r="AG216" s="42"/>
      <c r="AH216" s="27"/>
      <c r="AI216" s="9"/>
      <c r="AJ216" s="9"/>
      <c r="AK216" s="9"/>
      <c r="AM216" s="43"/>
      <c r="AN216" s="43"/>
      <c r="AQ216" s="34"/>
      <c r="AR216" s="34"/>
      <c r="AS216" s="34"/>
      <c r="AT216" s="34"/>
    </row>
    <row r="217" spans="1:46" s="11" customFormat="1" x14ac:dyDescent="0.25">
      <c r="A217" s="23"/>
      <c r="B217" s="9"/>
      <c r="C217" s="9"/>
      <c r="D217" s="9"/>
      <c r="E217" s="9"/>
      <c r="F217" s="10"/>
      <c r="G217" s="10"/>
      <c r="H217" s="27"/>
      <c r="I217" s="9"/>
      <c r="J217" s="9"/>
      <c r="K217" s="9"/>
      <c r="L217" s="9"/>
      <c r="M217" s="25"/>
      <c r="N217" s="25"/>
      <c r="O217" s="27"/>
      <c r="P217" s="27"/>
      <c r="Q217" s="27"/>
      <c r="R217" s="25"/>
      <c r="S217" s="25"/>
      <c r="T217" s="10"/>
      <c r="U217" s="9"/>
      <c r="V217" s="9"/>
      <c r="W217" s="9"/>
      <c r="X217" s="9"/>
      <c r="Y217" s="9"/>
      <c r="Z217" s="9"/>
      <c r="AA217" s="9"/>
      <c r="AB217" s="9"/>
      <c r="AC217" s="9"/>
      <c r="AD217" s="27"/>
      <c r="AE217" s="42"/>
      <c r="AF217" s="27"/>
      <c r="AG217" s="42"/>
      <c r="AH217" s="27"/>
      <c r="AI217" s="9"/>
      <c r="AJ217" s="9"/>
      <c r="AK217" s="9"/>
      <c r="AM217" s="43"/>
      <c r="AN217" s="43"/>
      <c r="AQ217" s="34"/>
      <c r="AR217" s="34"/>
      <c r="AS217" s="34"/>
      <c r="AT217" s="34"/>
    </row>
    <row r="218" spans="1:46" s="11" customFormat="1" x14ac:dyDescent="0.25">
      <c r="A218" s="23"/>
      <c r="B218" s="9"/>
      <c r="C218" s="9"/>
      <c r="D218" s="9"/>
      <c r="E218" s="9"/>
      <c r="F218" s="10"/>
      <c r="G218" s="10"/>
      <c r="H218" s="27"/>
      <c r="I218" s="9"/>
      <c r="J218" s="9"/>
      <c r="K218" s="9"/>
      <c r="L218" s="9"/>
      <c r="M218" s="25"/>
      <c r="N218" s="25"/>
      <c r="O218" s="27"/>
      <c r="P218" s="27"/>
      <c r="Q218" s="27"/>
      <c r="R218" s="25"/>
      <c r="S218" s="25"/>
      <c r="T218" s="10"/>
      <c r="U218" s="9"/>
      <c r="V218" s="9"/>
      <c r="W218" s="9"/>
      <c r="X218" s="9"/>
      <c r="Y218" s="9"/>
      <c r="Z218" s="9"/>
      <c r="AA218" s="9"/>
      <c r="AB218" s="9"/>
      <c r="AC218" s="9"/>
      <c r="AD218" s="27"/>
      <c r="AE218" s="42"/>
      <c r="AF218" s="27"/>
      <c r="AG218" s="42"/>
      <c r="AH218" s="27"/>
      <c r="AI218" s="9"/>
      <c r="AJ218" s="9"/>
      <c r="AK218" s="9"/>
      <c r="AM218" s="43"/>
      <c r="AN218" s="43"/>
      <c r="AQ218" s="34"/>
      <c r="AR218" s="34"/>
      <c r="AS218" s="34"/>
      <c r="AT218" s="34"/>
    </row>
    <row r="219" spans="1:46" s="11" customFormat="1" x14ac:dyDescent="0.25">
      <c r="A219" s="23"/>
      <c r="B219" s="9"/>
      <c r="C219" s="9"/>
      <c r="D219" s="9"/>
      <c r="E219" s="9"/>
      <c r="F219" s="10"/>
      <c r="G219" s="10"/>
      <c r="H219" s="27"/>
      <c r="I219" s="9"/>
      <c r="J219" s="9"/>
      <c r="K219" s="9"/>
      <c r="L219" s="9"/>
      <c r="M219" s="25"/>
      <c r="N219" s="25"/>
      <c r="O219" s="27"/>
      <c r="P219" s="27"/>
      <c r="Q219" s="27"/>
      <c r="R219" s="25"/>
      <c r="S219" s="25"/>
      <c r="T219" s="10"/>
      <c r="U219" s="9"/>
      <c r="V219" s="9"/>
      <c r="W219" s="9"/>
      <c r="X219" s="9"/>
      <c r="Y219" s="9"/>
      <c r="Z219" s="9"/>
      <c r="AA219" s="9"/>
      <c r="AB219" s="9"/>
      <c r="AC219" s="9"/>
      <c r="AD219" s="27"/>
      <c r="AE219" s="42"/>
      <c r="AF219" s="27"/>
      <c r="AG219" s="42"/>
      <c r="AH219" s="27"/>
      <c r="AI219" s="9"/>
      <c r="AJ219" s="9"/>
      <c r="AK219" s="9"/>
      <c r="AM219" s="43"/>
      <c r="AN219" s="43"/>
      <c r="AQ219" s="34"/>
      <c r="AR219" s="34"/>
      <c r="AS219" s="34"/>
      <c r="AT219" s="34"/>
    </row>
    <row r="220" spans="1:46" s="11" customFormat="1" x14ac:dyDescent="0.25">
      <c r="A220" s="23"/>
      <c r="B220" s="9"/>
      <c r="C220" s="9"/>
      <c r="D220" s="9"/>
      <c r="E220" s="9"/>
      <c r="F220" s="10"/>
      <c r="G220" s="10"/>
      <c r="H220" s="27"/>
      <c r="I220" s="9"/>
      <c r="J220" s="9"/>
      <c r="K220" s="9"/>
      <c r="L220" s="9"/>
      <c r="M220" s="25"/>
      <c r="N220" s="25"/>
      <c r="O220" s="27"/>
      <c r="P220" s="27"/>
      <c r="Q220" s="27"/>
      <c r="R220" s="25"/>
      <c r="S220" s="25"/>
      <c r="T220" s="10"/>
      <c r="U220" s="9"/>
      <c r="V220" s="9"/>
      <c r="W220" s="9"/>
      <c r="X220" s="9"/>
      <c r="Y220" s="9"/>
      <c r="Z220" s="9"/>
      <c r="AA220" s="9"/>
      <c r="AB220" s="9"/>
      <c r="AC220" s="9"/>
      <c r="AD220" s="27"/>
      <c r="AE220" s="42"/>
      <c r="AF220" s="27"/>
      <c r="AG220" s="42"/>
      <c r="AH220" s="27"/>
      <c r="AI220" s="9"/>
      <c r="AJ220" s="9"/>
      <c r="AK220" s="9"/>
      <c r="AM220" s="43"/>
      <c r="AN220" s="43"/>
      <c r="AQ220" s="34"/>
      <c r="AR220" s="34"/>
      <c r="AS220" s="34"/>
      <c r="AT220" s="34"/>
    </row>
    <row r="221" spans="1:46" s="11" customFormat="1" x14ac:dyDescent="0.25">
      <c r="A221" s="23"/>
      <c r="B221" s="9"/>
      <c r="C221" s="9"/>
      <c r="D221" s="9"/>
      <c r="E221" s="9"/>
      <c r="F221" s="10"/>
      <c r="G221" s="10"/>
      <c r="H221" s="27"/>
      <c r="I221" s="9"/>
      <c r="J221" s="9"/>
      <c r="K221" s="9"/>
      <c r="L221" s="9"/>
      <c r="M221" s="25"/>
      <c r="N221" s="25"/>
      <c r="O221" s="27"/>
      <c r="P221" s="27"/>
      <c r="Q221" s="27"/>
      <c r="R221" s="25"/>
      <c r="S221" s="25"/>
      <c r="T221" s="10"/>
      <c r="U221" s="9"/>
      <c r="V221" s="9"/>
      <c r="W221" s="9"/>
      <c r="X221" s="9"/>
      <c r="Y221" s="9"/>
      <c r="Z221" s="9"/>
      <c r="AA221" s="9"/>
      <c r="AB221" s="9"/>
      <c r="AC221" s="9"/>
      <c r="AD221" s="27"/>
      <c r="AE221" s="42"/>
      <c r="AF221" s="27"/>
      <c r="AG221" s="42"/>
      <c r="AH221" s="27"/>
      <c r="AI221" s="9"/>
      <c r="AJ221" s="9"/>
      <c r="AK221" s="9"/>
      <c r="AM221" s="43"/>
      <c r="AN221" s="43"/>
      <c r="AQ221" s="34"/>
      <c r="AR221" s="34"/>
      <c r="AS221" s="34"/>
      <c r="AT221" s="34"/>
    </row>
    <row r="222" spans="1:46" s="11" customFormat="1" x14ac:dyDescent="0.25">
      <c r="A222" s="23"/>
      <c r="B222" s="9"/>
      <c r="C222" s="9"/>
      <c r="D222" s="9"/>
      <c r="E222" s="9"/>
      <c r="F222" s="10"/>
      <c r="G222" s="10"/>
      <c r="H222" s="27"/>
      <c r="I222" s="9"/>
      <c r="J222" s="9"/>
      <c r="K222" s="9"/>
      <c r="L222" s="9"/>
      <c r="M222" s="25"/>
      <c r="N222" s="25"/>
      <c r="O222" s="27"/>
      <c r="P222" s="27"/>
      <c r="Q222" s="27"/>
      <c r="R222" s="25"/>
      <c r="S222" s="25"/>
      <c r="T222" s="10"/>
      <c r="U222" s="9"/>
      <c r="V222" s="9"/>
      <c r="W222" s="9"/>
      <c r="X222" s="9"/>
      <c r="Y222" s="9"/>
      <c r="Z222" s="9"/>
      <c r="AA222" s="9"/>
      <c r="AB222" s="9"/>
      <c r="AC222" s="9"/>
      <c r="AD222" s="27"/>
      <c r="AE222" s="42"/>
      <c r="AF222" s="27"/>
      <c r="AG222" s="42"/>
      <c r="AH222" s="27"/>
      <c r="AI222" s="9"/>
      <c r="AJ222" s="9"/>
      <c r="AK222" s="9"/>
      <c r="AM222" s="43"/>
      <c r="AN222" s="43"/>
      <c r="AQ222" s="34"/>
      <c r="AR222" s="34"/>
      <c r="AS222" s="34"/>
      <c r="AT222" s="34"/>
    </row>
    <row r="223" spans="1:46" s="11" customFormat="1" x14ac:dyDescent="0.25">
      <c r="A223" s="23"/>
      <c r="B223" s="9"/>
      <c r="C223" s="9"/>
      <c r="D223" s="9"/>
      <c r="E223" s="9"/>
      <c r="F223" s="10"/>
      <c r="G223" s="10"/>
      <c r="H223" s="27"/>
      <c r="I223" s="9"/>
      <c r="J223" s="9"/>
      <c r="K223" s="9"/>
      <c r="L223" s="9"/>
      <c r="M223" s="25"/>
      <c r="N223" s="25"/>
      <c r="O223" s="27"/>
      <c r="P223" s="27"/>
      <c r="Q223" s="27"/>
      <c r="R223" s="25"/>
      <c r="S223" s="25"/>
      <c r="T223" s="10"/>
      <c r="U223" s="9"/>
      <c r="V223" s="9"/>
      <c r="W223" s="9"/>
      <c r="X223" s="9"/>
      <c r="Y223" s="9"/>
      <c r="Z223" s="9"/>
      <c r="AA223" s="9"/>
      <c r="AB223" s="9"/>
      <c r="AC223" s="9"/>
      <c r="AD223" s="27"/>
      <c r="AE223" s="42"/>
      <c r="AF223" s="27"/>
      <c r="AG223" s="42"/>
      <c r="AH223" s="27"/>
      <c r="AI223" s="9"/>
      <c r="AJ223" s="9"/>
      <c r="AK223" s="9"/>
      <c r="AM223" s="43"/>
      <c r="AN223" s="43"/>
      <c r="AQ223" s="34"/>
      <c r="AR223" s="34"/>
      <c r="AS223" s="34"/>
      <c r="AT223" s="34"/>
    </row>
    <row r="224" spans="1:46" s="11" customFormat="1" x14ac:dyDescent="0.25">
      <c r="A224" s="23"/>
      <c r="B224" s="9"/>
      <c r="C224" s="9"/>
      <c r="D224" s="9"/>
      <c r="E224" s="9"/>
      <c r="F224" s="10"/>
      <c r="G224" s="10"/>
      <c r="H224" s="27"/>
      <c r="I224" s="9"/>
      <c r="J224" s="9"/>
      <c r="K224" s="9"/>
      <c r="L224" s="9"/>
      <c r="M224" s="25"/>
      <c r="N224" s="25"/>
      <c r="O224" s="27"/>
      <c r="P224" s="27"/>
      <c r="Q224" s="27"/>
      <c r="R224" s="25"/>
      <c r="S224" s="25"/>
      <c r="T224" s="10"/>
      <c r="U224" s="9"/>
      <c r="V224" s="9"/>
      <c r="W224" s="9"/>
      <c r="X224" s="9"/>
      <c r="Y224" s="9"/>
      <c r="Z224" s="9"/>
      <c r="AA224" s="9"/>
      <c r="AB224" s="9"/>
      <c r="AC224" s="9"/>
      <c r="AD224" s="27"/>
      <c r="AE224" s="42"/>
      <c r="AF224" s="27"/>
      <c r="AG224" s="42"/>
      <c r="AH224" s="27"/>
      <c r="AI224" s="9"/>
      <c r="AJ224" s="9"/>
      <c r="AK224" s="9"/>
      <c r="AM224" s="43"/>
      <c r="AN224" s="43"/>
      <c r="AQ224" s="34"/>
      <c r="AR224" s="34"/>
      <c r="AS224" s="34"/>
      <c r="AT224" s="34"/>
    </row>
    <row r="225" spans="1:46" s="11" customFormat="1" x14ac:dyDescent="0.25">
      <c r="A225" s="23"/>
      <c r="B225" s="9"/>
      <c r="C225" s="9"/>
      <c r="D225" s="9"/>
      <c r="E225" s="9"/>
      <c r="F225" s="10"/>
      <c r="G225" s="10"/>
      <c r="H225" s="27"/>
      <c r="I225" s="9"/>
      <c r="J225" s="9"/>
      <c r="K225" s="9"/>
      <c r="L225" s="9"/>
      <c r="M225" s="25"/>
      <c r="N225" s="25"/>
      <c r="O225" s="27"/>
      <c r="P225" s="27"/>
      <c r="Q225" s="27"/>
      <c r="R225" s="25"/>
      <c r="S225" s="25"/>
      <c r="T225" s="10"/>
      <c r="U225" s="9"/>
      <c r="V225" s="9"/>
      <c r="W225" s="9"/>
      <c r="X225" s="9"/>
      <c r="Y225" s="9"/>
      <c r="Z225" s="9"/>
      <c r="AA225" s="9"/>
      <c r="AB225" s="9"/>
      <c r="AC225" s="9"/>
      <c r="AD225" s="27"/>
      <c r="AE225" s="42"/>
      <c r="AF225" s="27"/>
      <c r="AG225" s="42"/>
      <c r="AH225" s="27"/>
      <c r="AI225" s="9"/>
      <c r="AJ225" s="9"/>
      <c r="AK225" s="9"/>
      <c r="AM225" s="43"/>
      <c r="AN225" s="43"/>
      <c r="AQ225" s="34"/>
      <c r="AR225" s="34"/>
      <c r="AS225" s="34"/>
      <c r="AT225" s="34"/>
    </row>
    <row r="226" spans="1:46" s="11" customFormat="1" x14ac:dyDescent="0.25">
      <c r="A226" s="23"/>
      <c r="B226" s="9"/>
      <c r="C226" s="9"/>
      <c r="D226" s="9"/>
      <c r="E226" s="9"/>
      <c r="F226" s="10"/>
      <c r="G226" s="10"/>
      <c r="H226" s="27"/>
      <c r="I226" s="9"/>
      <c r="J226" s="9"/>
      <c r="K226" s="9"/>
      <c r="L226" s="9"/>
      <c r="M226" s="25"/>
      <c r="N226" s="25"/>
      <c r="O226" s="27"/>
      <c r="P226" s="27"/>
      <c r="Q226" s="27"/>
      <c r="R226" s="25"/>
      <c r="S226" s="25"/>
      <c r="T226" s="10"/>
      <c r="U226" s="9"/>
      <c r="V226" s="9"/>
      <c r="W226" s="9"/>
      <c r="X226" s="9"/>
      <c r="Y226" s="9"/>
      <c r="Z226" s="9"/>
      <c r="AA226" s="9"/>
      <c r="AB226" s="9"/>
      <c r="AC226" s="9"/>
      <c r="AD226" s="27"/>
      <c r="AE226" s="42"/>
      <c r="AF226" s="27"/>
      <c r="AG226" s="42"/>
      <c r="AH226" s="27"/>
      <c r="AI226" s="9"/>
      <c r="AJ226" s="9"/>
      <c r="AK226" s="9"/>
      <c r="AM226" s="43"/>
      <c r="AN226" s="43"/>
      <c r="AQ226" s="34"/>
      <c r="AR226" s="34"/>
      <c r="AS226" s="34"/>
      <c r="AT226" s="34"/>
    </row>
    <row r="227" spans="1:46" s="11" customFormat="1" x14ac:dyDescent="0.25">
      <c r="A227" s="23"/>
      <c r="B227" s="9"/>
      <c r="C227" s="9"/>
      <c r="D227" s="9"/>
      <c r="E227" s="9"/>
      <c r="F227" s="10"/>
      <c r="G227" s="10"/>
      <c r="H227" s="27"/>
      <c r="I227" s="9"/>
      <c r="J227" s="9"/>
      <c r="K227" s="9"/>
      <c r="L227" s="9"/>
      <c r="M227" s="25"/>
      <c r="N227" s="25"/>
      <c r="O227" s="27"/>
      <c r="P227" s="27"/>
      <c r="Q227" s="27"/>
      <c r="R227" s="25"/>
      <c r="S227" s="25"/>
      <c r="T227" s="10"/>
      <c r="U227" s="9"/>
      <c r="V227" s="9"/>
      <c r="W227" s="9"/>
      <c r="X227" s="9"/>
      <c r="Y227" s="9"/>
      <c r="Z227" s="9"/>
      <c r="AA227" s="9"/>
      <c r="AB227" s="9"/>
      <c r="AC227" s="9"/>
      <c r="AD227" s="27"/>
      <c r="AE227" s="42"/>
      <c r="AF227" s="27"/>
      <c r="AG227" s="42"/>
      <c r="AH227" s="27"/>
      <c r="AI227" s="9"/>
      <c r="AJ227" s="9"/>
      <c r="AK227" s="9"/>
      <c r="AM227" s="43"/>
      <c r="AN227" s="43"/>
      <c r="AQ227" s="34"/>
      <c r="AR227" s="34"/>
      <c r="AS227" s="34"/>
      <c r="AT227" s="34"/>
    </row>
    <row r="228" spans="1:46" s="11" customFormat="1" x14ac:dyDescent="0.25">
      <c r="A228" s="23"/>
      <c r="B228" s="9"/>
      <c r="C228" s="9"/>
      <c r="D228" s="9"/>
      <c r="E228" s="9"/>
      <c r="F228" s="10"/>
      <c r="G228" s="10"/>
      <c r="H228" s="27"/>
      <c r="I228" s="9"/>
      <c r="J228" s="9"/>
      <c r="K228" s="9"/>
      <c r="L228" s="9"/>
      <c r="M228" s="25"/>
      <c r="N228" s="25"/>
      <c r="O228" s="27"/>
      <c r="P228" s="27"/>
      <c r="Q228" s="27"/>
      <c r="R228" s="25"/>
      <c r="S228" s="25"/>
      <c r="T228" s="10"/>
      <c r="U228" s="9"/>
      <c r="V228" s="9"/>
      <c r="W228" s="9"/>
      <c r="X228" s="9"/>
      <c r="Y228" s="9"/>
      <c r="Z228" s="9"/>
      <c r="AA228" s="9"/>
      <c r="AB228" s="9"/>
      <c r="AC228" s="9"/>
      <c r="AD228" s="27"/>
      <c r="AE228" s="42"/>
      <c r="AF228" s="27"/>
      <c r="AG228" s="42"/>
      <c r="AH228" s="27"/>
      <c r="AI228" s="9"/>
      <c r="AJ228" s="9"/>
      <c r="AK228" s="9"/>
      <c r="AM228" s="43"/>
      <c r="AN228" s="43"/>
      <c r="AQ228" s="34"/>
      <c r="AR228" s="34"/>
      <c r="AS228" s="34"/>
      <c r="AT228" s="34"/>
    </row>
    <row r="229" spans="1:46" s="11" customFormat="1" x14ac:dyDescent="0.25">
      <c r="A229" s="23"/>
      <c r="B229" s="9"/>
      <c r="C229" s="9"/>
      <c r="D229" s="9"/>
      <c r="E229" s="9"/>
      <c r="F229" s="10"/>
      <c r="G229" s="10"/>
      <c r="H229" s="27"/>
      <c r="I229" s="9"/>
      <c r="J229" s="9"/>
      <c r="K229" s="9"/>
      <c r="L229" s="9"/>
      <c r="M229" s="25"/>
      <c r="N229" s="25"/>
      <c r="O229" s="27"/>
      <c r="P229" s="27"/>
      <c r="Q229" s="27"/>
      <c r="R229" s="25"/>
      <c r="S229" s="25"/>
      <c r="T229" s="10"/>
      <c r="U229" s="9"/>
      <c r="V229" s="9"/>
      <c r="W229" s="9"/>
      <c r="X229" s="9"/>
      <c r="Y229" s="9"/>
      <c r="Z229" s="9"/>
      <c r="AA229" s="9"/>
      <c r="AB229" s="9"/>
      <c r="AC229" s="9"/>
      <c r="AD229" s="27"/>
      <c r="AE229" s="42"/>
      <c r="AF229" s="27"/>
      <c r="AG229" s="42"/>
      <c r="AH229" s="27"/>
      <c r="AI229" s="9"/>
      <c r="AJ229" s="9"/>
      <c r="AK229" s="9"/>
      <c r="AM229" s="43"/>
      <c r="AN229" s="43"/>
      <c r="AQ229" s="34"/>
      <c r="AR229" s="34"/>
      <c r="AS229" s="34"/>
      <c r="AT229" s="34"/>
    </row>
    <row r="230" spans="1:46" s="11" customFormat="1" x14ac:dyDescent="0.25">
      <c r="A230" s="23"/>
      <c r="B230" s="9"/>
      <c r="C230" s="9"/>
      <c r="D230" s="9"/>
      <c r="E230" s="9"/>
      <c r="F230" s="10"/>
      <c r="G230" s="10"/>
      <c r="H230" s="27"/>
      <c r="I230" s="9"/>
      <c r="J230" s="9"/>
      <c r="K230" s="9"/>
      <c r="L230" s="9"/>
      <c r="M230" s="25"/>
      <c r="N230" s="25"/>
      <c r="O230" s="27"/>
      <c r="P230" s="27"/>
      <c r="Q230" s="27"/>
      <c r="R230" s="25"/>
      <c r="S230" s="25"/>
      <c r="T230" s="10"/>
      <c r="U230" s="9"/>
      <c r="V230" s="9"/>
      <c r="W230" s="9"/>
      <c r="X230" s="9"/>
      <c r="Y230" s="9"/>
      <c r="Z230" s="9"/>
      <c r="AA230" s="9"/>
      <c r="AB230" s="9"/>
      <c r="AC230" s="9"/>
      <c r="AD230" s="27"/>
      <c r="AE230" s="42"/>
      <c r="AF230" s="27"/>
      <c r="AG230" s="42"/>
      <c r="AH230" s="27"/>
      <c r="AI230" s="9"/>
      <c r="AJ230" s="9"/>
      <c r="AK230" s="9"/>
      <c r="AM230" s="43"/>
      <c r="AN230" s="43"/>
      <c r="AQ230" s="34"/>
      <c r="AR230" s="34"/>
      <c r="AS230" s="34"/>
      <c r="AT230" s="34"/>
    </row>
    <row r="231" spans="1:46" s="11" customFormat="1" x14ac:dyDescent="0.25">
      <c r="A231" s="23"/>
      <c r="B231" s="9"/>
      <c r="C231" s="9"/>
      <c r="D231" s="9"/>
      <c r="E231" s="9"/>
      <c r="F231" s="10"/>
      <c r="G231" s="10"/>
      <c r="H231" s="27"/>
      <c r="I231" s="9"/>
      <c r="J231" s="9"/>
      <c r="K231" s="9"/>
      <c r="L231" s="9"/>
      <c r="M231" s="25"/>
      <c r="N231" s="25"/>
      <c r="O231" s="27"/>
      <c r="P231" s="27"/>
      <c r="Q231" s="27"/>
      <c r="R231" s="25"/>
      <c r="S231" s="25"/>
      <c r="T231" s="10"/>
      <c r="U231" s="9"/>
      <c r="V231" s="9"/>
      <c r="W231" s="9"/>
      <c r="X231" s="9"/>
      <c r="Y231" s="9"/>
      <c r="Z231" s="9"/>
      <c r="AA231" s="9"/>
      <c r="AB231" s="9"/>
      <c r="AC231" s="9"/>
      <c r="AD231" s="27"/>
      <c r="AE231" s="42"/>
      <c r="AF231" s="27"/>
      <c r="AG231" s="42"/>
      <c r="AH231" s="27"/>
      <c r="AI231" s="9"/>
      <c r="AJ231" s="9"/>
      <c r="AK231" s="9"/>
      <c r="AM231" s="43"/>
      <c r="AN231" s="43"/>
      <c r="AQ231" s="34"/>
      <c r="AR231" s="34"/>
      <c r="AS231" s="34"/>
      <c r="AT231" s="34"/>
    </row>
    <row r="232" spans="1:46" s="11" customFormat="1" x14ac:dyDescent="0.25">
      <c r="A232" s="23"/>
      <c r="B232" s="9"/>
      <c r="C232" s="9"/>
      <c r="D232" s="9"/>
      <c r="E232" s="9"/>
      <c r="F232" s="10"/>
      <c r="G232" s="10"/>
      <c r="H232" s="27"/>
      <c r="I232" s="9"/>
      <c r="J232" s="9"/>
      <c r="K232" s="9"/>
      <c r="L232" s="9"/>
      <c r="M232" s="25"/>
      <c r="N232" s="25"/>
      <c r="O232" s="27"/>
      <c r="P232" s="27"/>
      <c r="Q232" s="27"/>
      <c r="R232" s="25"/>
      <c r="S232" s="25"/>
      <c r="T232" s="10"/>
      <c r="U232" s="9"/>
      <c r="V232" s="9"/>
      <c r="W232" s="9"/>
      <c r="X232" s="9"/>
      <c r="Y232" s="9"/>
      <c r="Z232" s="9"/>
      <c r="AA232" s="9"/>
      <c r="AB232" s="9"/>
      <c r="AC232" s="9"/>
      <c r="AD232" s="27"/>
      <c r="AE232" s="42"/>
      <c r="AF232" s="27"/>
      <c r="AG232" s="42"/>
      <c r="AH232" s="27"/>
      <c r="AI232" s="9"/>
      <c r="AJ232" s="9"/>
      <c r="AK232" s="9"/>
      <c r="AM232" s="43"/>
      <c r="AN232" s="43"/>
      <c r="AQ232" s="34"/>
      <c r="AR232" s="34"/>
      <c r="AS232" s="34"/>
      <c r="AT232" s="34"/>
    </row>
    <row r="233" spans="1:46" s="11" customFormat="1" x14ac:dyDescent="0.25">
      <c r="A233" s="23"/>
      <c r="B233" s="9"/>
      <c r="C233" s="9"/>
      <c r="D233" s="9"/>
      <c r="E233" s="9"/>
      <c r="F233" s="10"/>
      <c r="G233" s="10"/>
      <c r="H233" s="27"/>
      <c r="I233" s="9"/>
      <c r="J233" s="9"/>
      <c r="K233" s="9"/>
      <c r="L233" s="9"/>
      <c r="M233" s="25"/>
      <c r="N233" s="25"/>
      <c r="O233" s="27"/>
      <c r="P233" s="27"/>
      <c r="Q233" s="27"/>
      <c r="R233" s="25"/>
      <c r="S233" s="25"/>
      <c r="T233" s="10"/>
      <c r="U233" s="9"/>
      <c r="V233" s="9"/>
      <c r="W233" s="9"/>
      <c r="X233" s="9"/>
      <c r="Y233" s="9"/>
      <c r="Z233" s="9"/>
      <c r="AA233" s="9"/>
      <c r="AB233" s="9"/>
      <c r="AC233" s="9"/>
      <c r="AD233" s="27"/>
      <c r="AE233" s="42"/>
      <c r="AF233" s="27"/>
      <c r="AG233" s="42"/>
      <c r="AH233" s="27"/>
      <c r="AI233" s="9"/>
      <c r="AJ233" s="9"/>
      <c r="AK233" s="9"/>
      <c r="AM233" s="43"/>
      <c r="AN233" s="43"/>
      <c r="AQ233" s="34"/>
      <c r="AR233" s="34"/>
      <c r="AS233" s="34"/>
      <c r="AT233" s="34"/>
    </row>
    <row r="234" spans="1:46" s="11" customFormat="1" x14ac:dyDescent="0.25">
      <c r="A234" s="23"/>
      <c r="B234" s="9"/>
      <c r="C234" s="9"/>
      <c r="D234" s="9"/>
      <c r="E234" s="9"/>
      <c r="F234" s="10"/>
      <c r="G234" s="10"/>
      <c r="H234" s="27"/>
      <c r="I234" s="9"/>
      <c r="J234" s="9"/>
      <c r="K234" s="9"/>
      <c r="L234" s="9"/>
      <c r="M234" s="25"/>
      <c r="N234" s="25"/>
      <c r="O234" s="27"/>
      <c r="P234" s="27"/>
      <c r="Q234" s="27"/>
      <c r="R234" s="25"/>
      <c r="S234" s="25"/>
      <c r="T234" s="10"/>
      <c r="U234" s="9"/>
      <c r="V234" s="9"/>
      <c r="W234" s="9"/>
      <c r="X234" s="9"/>
      <c r="Y234" s="9"/>
      <c r="Z234" s="9"/>
      <c r="AA234" s="9"/>
      <c r="AB234" s="9"/>
      <c r="AC234" s="9"/>
      <c r="AD234" s="27"/>
      <c r="AE234" s="42"/>
      <c r="AF234" s="27"/>
      <c r="AG234" s="42"/>
      <c r="AH234" s="27"/>
      <c r="AI234" s="9"/>
      <c r="AJ234" s="9"/>
      <c r="AK234" s="9"/>
      <c r="AM234" s="43"/>
      <c r="AN234" s="43"/>
      <c r="AQ234" s="34"/>
      <c r="AR234" s="34"/>
      <c r="AS234" s="34"/>
      <c r="AT234" s="34"/>
    </row>
    <row r="235" spans="1:46" s="11" customFormat="1" x14ac:dyDescent="0.25">
      <c r="A235" s="23"/>
      <c r="B235" s="9"/>
      <c r="C235" s="9"/>
      <c r="D235" s="9"/>
      <c r="E235" s="9"/>
      <c r="F235" s="10"/>
      <c r="G235" s="10"/>
      <c r="H235" s="27"/>
      <c r="I235" s="9"/>
      <c r="J235" s="9"/>
      <c r="K235" s="9"/>
      <c r="L235" s="9"/>
      <c r="M235" s="25"/>
      <c r="N235" s="25"/>
      <c r="O235" s="27"/>
      <c r="P235" s="27"/>
      <c r="Q235" s="27"/>
      <c r="R235" s="25"/>
      <c r="S235" s="25"/>
      <c r="T235" s="10"/>
      <c r="U235" s="9"/>
      <c r="V235" s="9"/>
      <c r="W235" s="9"/>
      <c r="X235" s="9"/>
      <c r="Y235" s="9"/>
      <c r="Z235" s="9"/>
      <c r="AA235" s="9"/>
      <c r="AB235" s="9"/>
      <c r="AC235" s="9"/>
      <c r="AD235" s="27"/>
      <c r="AE235" s="42"/>
      <c r="AF235" s="27"/>
      <c r="AG235" s="42"/>
      <c r="AH235" s="27"/>
      <c r="AI235" s="9"/>
      <c r="AJ235" s="9"/>
      <c r="AK235" s="9"/>
      <c r="AM235" s="43"/>
      <c r="AN235" s="43"/>
      <c r="AQ235" s="34"/>
      <c r="AR235" s="34"/>
      <c r="AS235" s="34"/>
      <c r="AT235" s="34"/>
    </row>
    <row r="236" spans="1:46" s="11" customFormat="1" x14ac:dyDescent="0.25">
      <c r="A236" s="23"/>
      <c r="B236" s="9"/>
      <c r="C236" s="9"/>
      <c r="D236" s="9"/>
      <c r="E236" s="9"/>
      <c r="F236" s="10"/>
      <c r="G236" s="10"/>
      <c r="H236" s="27"/>
      <c r="I236" s="9"/>
      <c r="J236" s="9"/>
      <c r="K236" s="9"/>
      <c r="L236" s="9"/>
      <c r="M236" s="25"/>
      <c r="N236" s="25"/>
      <c r="O236" s="27"/>
      <c r="P236" s="27"/>
      <c r="Q236" s="27"/>
      <c r="R236" s="25"/>
      <c r="S236" s="25"/>
      <c r="T236" s="10"/>
      <c r="U236" s="9"/>
      <c r="V236" s="9"/>
      <c r="W236" s="9"/>
      <c r="X236" s="9"/>
      <c r="Y236" s="9"/>
      <c r="Z236" s="9"/>
      <c r="AA236" s="9"/>
      <c r="AB236" s="9"/>
      <c r="AC236" s="9"/>
      <c r="AD236" s="27"/>
      <c r="AE236" s="42"/>
      <c r="AF236" s="27"/>
      <c r="AG236" s="42"/>
      <c r="AH236" s="27"/>
      <c r="AI236" s="9"/>
      <c r="AJ236" s="9"/>
      <c r="AK236" s="9"/>
      <c r="AM236" s="43"/>
      <c r="AN236" s="43"/>
      <c r="AQ236" s="34"/>
      <c r="AR236" s="34"/>
      <c r="AS236" s="34"/>
      <c r="AT236" s="34"/>
    </row>
    <row r="237" spans="1:46" s="11" customFormat="1" x14ac:dyDescent="0.25">
      <c r="A237" s="23"/>
      <c r="B237" s="9"/>
      <c r="C237" s="9"/>
      <c r="D237" s="9"/>
      <c r="E237" s="9"/>
      <c r="F237" s="10"/>
      <c r="G237" s="10"/>
      <c r="H237" s="27"/>
      <c r="I237" s="9"/>
      <c r="J237" s="9"/>
      <c r="K237" s="9"/>
      <c r="L237" s="9"/>
      <c r="M237" s="25"/>
      <c r="N237" s="25"/>
      <c r="O237" s="27"/>
      <c r="P237" s="27"/>
      <c r="Q237" s="27"/>
      <c r="R237" s="25"/>
      <c r="S237" s="25"/>
      <c r="T237" s="10"/>
      <c r="U237" s="9"/>
      <c r="V237" s="9"/>
      <c r="W237" s="9"/>
      <c r="X237" s="9"/>
      <c r="Y237" s="9"/>
      <c r="Z237" s="9"/>
      <c r="AA237" s="9"/>
      <c r="AB237" s="9"/>
      <c r="AC237" s="9"/>
      <c r="AD237" s="27"/>
      <c r="AE237" s="42"/>
      <c r="AF237" s="27"/>
      <c r="AG237" s="42"/>
      <c r="AH237" s="27"/>
      <c r="AI237" s="9"/>
      <c r="AJ237" s="9"/>
      <c r="AK237" s="9"/>
      <c r="AM237" s="43"/>
      <c r="AN237" s="43"/>
      <c r="AQ237" s="34"/>
      <c r="AR237" s="34"/>
      <c r="AS237" s="34"/>
      <c r="AT237" s="34"/>
    </row>
    <row r="238" spans="1:46" s="11" customFormat="1" x14ac:dyDescent="0.25">
      <c r="A238" s="23"/>
      <c r="B238" s="9"/>
      <c r="C238" s="9"/>
      <c r="D238" s="9"/>
      <c r="E238" s="9"/>
      <c r="F238" s="10"/>
      <c r="G238" s="10"/>
      <c r="H238" s="27"/>
      <c r="I238" s="9"/>
      <c r="J238" s="9"/>
      <c r="K238" s="9"/>
      <c r="L238" s="9"/>
      <c r="M238" s="25"/>
      <c r="N238" s="25"/>
      <c r="O238" s="27"/>
      <c r="P238" s="27"/>
      <c r="Q238" s="27"/>
      <c r="R238" s="25"/>
      <c r="S238" s="25"/>
      <c r="T238" s="10"/>
      <c r="U238" s="9"/>
      <c r="V238" s="9"/>
      <c r="W238" s="9"/>
      <c r="X238" s="9"/>
      <c r="Y238" s="9"/>
      <c r="Z238" s="9"/>
      <c r="AA238" s="9"/>
      <c r="AB238" s="9"/>
      <c r="AC238" s="9"/>
      <c r="AD238" s="27"/>
      <c r="AE238" s="42"/>
      <c r="AF238" s="27"/>
      <c r="AG238" s="42"/>
      <c r="AH238" s="27"/>
      <c r="AI238" s="9"/>
      <c r="AJ238" s="9"/>
      <c r="AK238" s="9"/>
      <c r="AM238" s="43"/>
      <c r="AN238" s="43"/>
      <c r="AQ238" s="34"/>
      <c r="AR238" s="34"/>
      <c r="AS238" s="34"/>
      <c r="AT238" s="34"/>
    </row>
    <row r="239" spans="1:46" s="11" customFormat="1" x14ac:dyDescent="0.25">
      <c r="A239" s="23"/>
      <c r="B239" s="9"/>
      <c r="C239" s="9"/>
      <c r="D239" s="9"/>
      <c r="E239" s="9"/>
      <c r="F239" s="10"/>
      <c r="G239" s="10"/>
      <c r="H239" s="27"/>
      <c r="I239" s="9"/>
      <c r="J239" s="9"/>
      <c r="K239" s="9"/>
      <c r="L239" s="9"/>
      <c r="M239" s="25"/>
      <c r="N239" s="25"/>
      <c r="O239" s="27"/>
      <c r="P239" s="27"/>
      <c r="Q239" s="27"/>
      <c r="R239" s="25"/>
      <c r="S239" s="25"/>
      <c r="T239" s="10"/>
      <c r="U239" s="9"/>
      <c r="V239" s="9"/>
      <c r="W239" s="9"/>
      <c r="X239" s="9"/>
      <c r="Y239" s="9"/>
      <c r="Z239" s="9"/>
      <c r="AA239" s="9"/>
      <c r="AB239" s="9"/>
      <c r="AC239" s="9"/>
      <c r="AD239" s="27"/>
      <c r="AE239" s="42"/>
      <c r="AF239" s="27"/>
      <c r="AG239" s="42"/>
      <c r="AH239" s="27"/>
      <c r="AI239" s="9"/>
      <c r="AJ239" s="9"/>
      <c r="AK239" s="9"/>
      <c r="AM239" s="43"/>
      <c r="AN239" s="43"/>
      <c r="AQ239" s="34"/>
      <c r="AR239" s="34"/>
      <c r="AS239" s="34"/>
      <c r="AT239" s="34"/>
    </row>
    <row r="240" spans="1:46" s="11" customFormat="1" x14ac:dyDescent="0.25">
      <c r="A240" s="23"/>
      <c r="B240" s="9"/>
      <c r="C240" s="9"/>
      <c r="D240" s="9"/>
      <c r="E240" s="9"/>
      <c r="F240" s="10"/>
      <c r="G240" s="10"/>
      <c r="H240" s="27"/>
      <c r="I240" s="9"/>
      <c r="J240" s="9"/>
      <c r="K240" s="9"/>
      <c r="L240" s="9"/>
      <c r="M240" s="25"/>
      <c r="N240" s="25"/>
      <c r="O240" s="27"/>
      <c r="P240" s="27"/>
      <c r="Q240" s="27"/>
      <c r="R240" s="25"/>
      <c r="S240" s="25"/>
      <c r="T240" s="10"/>
      <c r="U240" s="9"/>
      <c r="V240" s="9"/>
      <c r="W240" s="9"/>
      <c r="X240" s="9"/>
      <c r="Y240" s="9"/>
      <c r="Z240" s="9"/>
      <c r="AA240" s="9"/>
      <c r="AB240" s="9"/>
      <c r="AC240" s="9"/>
      <c r="AD240" s="27"/>
      <c r="AE240" s="42"/>
      <c r="AF240" s="27"/>
      <c r="AG240" s="42"/>
      <c r="AH240" s="27"/>
      <c r="AI240" s="9"/>
      <c r="AJ240" s="9"/>
      <c r="AK240" s="9"/>
      <c r="AM240" s="43"/>
      <c r="AN240" s="43"/>
      <c r="AQ240" s="34"/>
      <c r="AR240" s="34"/>
      <c r="AS240" s="34"/>
      <c r="AT240" s="34"/>
    </row>
    <row r="241" spans="1:46" s="11" customFormat="1" x14ac:dyDescent="0.25">
      <c r="A241" s="23"/>
      <c r="B241" s="9"/>
      <c r="C241" s="9"/>
      <c r="D241" s="9"/>
      <c r="E241" s="9"/>
      <c r="F241" s="10"/>
      <c r="G241" s="10"/>
      <c r="H241" s="27"/>
      <c r="I241" s="9"/>
      <c r="J241" s="9"/>
      <c r="K241" s="9"/>
      <c r="L241" s="9"/>
      <c r="M241" s="25"/>
      <c r="N241" s="25"/>
      <c r="O241" s="27"/>
      <c r="P241" s="27"/>
      <c r="Q241" s="27"/>
      <c r="R241" s="25"/>
      <c r="S241" s="25"/>
      <c r="T241" s="10"/>
      <c r="U241" s="9"/>
      <c r="V241" s="9"/>
      <c r="W241" s="9"/>
      <c r="X241" s="9"/>
      <c r="Y241" s="9"/>
      <c r="Z241" s="9"/>
      <c r="AA241" s="9"/>
      <c r="AB241" s="9"/>
      <c r="AC241" s="9"/>
      <c r="AD241" s="27"/>
      <c r="AE241" s="42"/>
      <c r="AF241" s="27"/>
      <c r="AG241" s="42"/>
      <c r="AH241" s="27"/>
      <c r="AI241" s="9"/>
      <c r="AJ241" s="9"/>
      <c r="AK241" s="9"/>
      <c r="AM241" s="43"/>
      <c r="AN241" s="43"/>
      <c r="AQ241" s="34"/>
      <c r="AR241" s="34"/>
      <c r="AS241" s="34"/>
      <c r="AT241" s="34"/>
    </row>
    <row r="242" spans="1:46" s="11" customFormat="1" x14ac:dyDescent="0.25">
      <c r="A242" s="23"/>
      <c r="B242" s="9"/>
      <c r="C242" s="9"/>
      <c r="D242" s="9"/>
      <c r="E242" s="9"/>
      <c r="F242" s="10"/>
      <c r="G242" s="10"/>
      <c r="H242" s="27"/>
      <c r="I242" s="9"/>
      <c r="J242" s="9"/>
      <c r="K242" s="9"/>
      <c r="L242" s="9"/>
      <c r="M242" s="25"/>
      <c r="N242" s="25"/>
      <c r="O242" s="27"/>
      <c r="P242" s="27"/>
      <c r="Q242" s="27"/>
      <c r="R242" s="25"/>
      <c r="S242" s="25"/>
      <c r="T242" s="10"/>
      <c r="U242" s="9"/>
      <c r="V242" s="9"/>
      <c r="W242" s="9"/>
      <c r="X242" s="9"/>
      <c r="Y242" s="9"/>
      <c r="Z242" s="9"/>
      <c r="AA242" s="9"/>
      <c r="AB242" s="9"/>
      <c r="AC242" s="9"/>
      <c r="AD242" s="27"/>
      <c r="AE242" s="42"/>
      <c r="AF242" s="27"/>
      <c r="AG242" s="42"/>
      <c r="AH242" s="27"/>
      <c r="AI242" s="9"/>
      <c r="AJ242" s="9"/>
      <c r="AK242" s="9"/>
      <c r="AM242" s="43"/>
      <c r="AN242" s="43"/>
      <c r="AQ242" s="34"/>
      <c r="AR242" s="34"/>
      <c r="AS242" s="34"/>
      <c r="AT242" s="34"/>
    </row>
    <row r="243" spans="1:46" s="11" customFormat="1" x14ac:dyDescent="0.25">
      <c r="A243" s="23"/>
      <c r="B243" s="9"/>
      <c r="C243" s="9"/>
      <c r="D243" s="9"/>
      <c r="E243" s="9"/>
      <c r="F243" s="10"/>
      <c r="G243" s="10"/>
      <c r="H243" s="27"/>
      <c r="I243" s="9"/>
      <c r="J243" s="9"/>
      <c r="K243" s="9"/>
      <c r="L243" s="9"/>
      <c r="M243" s="25"/>
      <c r="N243" s="25"/>
      <c r="O243" s="27"/>
      <c r="P243" s="27"/>
      <c r="Q243" s="27"/>
      <c r="R243" s="25"/>
      <c r="S243" s="25"/>
      <c r="T243" s="10"/>
      <c r="U243" s="9"/>
      <c r="V243" s="9"/>
      <c r="W243" s="9"/>
      <c r="X243" s="9"/>
      <c r="Y243" s="9"/>
      <c r="Z243" s="9"/>
      <c r="AA243" s="9"/>
      <c r="AB243" s="9"/>
      <c r="AC243" s="9"/>
      <c r="AD243" s="27"/>
      <c r="AE243" s="42"/>
      <c r="AF243" s="27"/>
      <c r="AG243" s="42"/>
      <c r="AH243" s="27"/>
      <c r="AI243" s="9"/>
      <c r="AJ243" s="9"/>
      <c r="AK243" s="9"/>
      <c r="AM243" s="43"/>
      <c r="AN243" s="43"/>
      <c r="AQ243" s="34"/>
      <c r="AR243" s="34"/>
      <c r="AS243" s="34"/>
      <c r="AT243" s="34"/>
    </row>
    <row r="244" spans="1:46" s="11" customFormat="1" x14ac:dyDescent="0.25">
      <c r="A244" s="23"/>
      <c r="B244" s="9"/>
      <c r="C244" s="9"/>
      <c r="D244" s="9"/>
      <c r="E244" s="9"/>
      <c r="F244" s="10"/>
      <c r="G244" s="10"/>
      <c r="H244" s="27"/>
      <c r="I244" s="9"/>
      <c r="J244" s="9"/>
      <c r="K244" s="9"/>
      <c r="L244" s="9"/>
      <c r="M244" s="25"/>
      <c r="N244" s="25"/>
      <c r="O244" s="27"/>
      <c r="P244" s="27"/>
      <c r="Q244" s="27"/>
      <c r="R244" s="25"/>
      <c r="S244" s="25"/>
      <c r="T244" s="10"/>
      <c r="U244" s="9"/>
      <c r="V244" s="9"/>
      <c r="W244" s="9"/>
      <c r="X244" s="9"/>
      <c r="Y244" s="9"/>
      <c r="Z244" s="9"/>
      <c r="AA244" s="9"/>
      <c r="AB244" s="9"/>
      <c r="AC244" s="9"/>
      <c r="AD244" s="27"/>
      <c r="AE244" s="42"/>
      <c r="AF244" s="27"/>
      <c r="AG244" s="42"/>
      <c r="AH244" s="27"/>
      <c r="AI244" s="9"/>
      <c r="AJ244" s="9"/>
      <c r="AK244" s="9"/>
      <c r="AM244" s="43"/>
      <c r="AN244" s="43"/>
      <c r="AQ244" s="34"/>
      <c r="AR244" s="34"/>
      <c r="AS244" s="34"/>
      <c r="AT244" s="34"/>
    </row>
    <row r="245" spans="1:46" s="11" customFormat="1" x14ac:dyDescent="0.25">
      <c r="A245" s="23"/>
      <c r="B245" s="9"/>
      <c r="C245" s="9"/>
      <c r="D245" s="9"/>
      <c r="E245" s="9"/>
      <c r="F245" s="10"/>
      <c r="G245" s="10"/>
      <c r="H245" s="27"/>
      <c r="I245" s="9"/>
      <c r="J245" s="9"/>
      <c r="K245" s="9"/>
      <c r="L245" s="9"/>
      <c r="M245" s="25"/>
      <c r="N245" s="25"/>
      <c r="O245" s="27"/>
      <c r="P245" s="27"/>
      <c r="Q245" s="27"/>
      <c r="R245" s="25"/>
      <c r="S245" s="25"/>
      <c r="T245" s="10"/>
      <c r="U245" s="9"/>
      <c r="V245" s="9"/>
      <c r="W245" s="9"/>
      <c r="X245" s="9"/>
      <c r="Y245" s="9"/>
      <c r="Z245" s="9"/>
      <c r="AA245" s="9"/>
      <c r="AB245" s="9"/>
      <c r="AC245" s="9"/>
      <c r="AD245" s="27"/>
      <c r="AE245" s="42"/>
      <c r="AF245" s="27"/>
      <c r="AG245" s="42"/>
      <c r="AH245" s="27"/>
      <c r="AI245" s="9"/>
      <c r="AJ245" s="9"/>
      <c r="AK245" s="9"/>
      <c r="AM245" s="43"/>
      <c r="AN245" s="43"/>
      <c r="AQ245" s="34"/>
      <c r="AR245" s="34"/>
      <c r="AS245" s="34"/>
      <c r="AT245" s="34"/>
    </row>
    <row r="246" spans="1:46" s="11" customFormat="1" x14ac:dyDescent="0.25">
      <c r="A246" s="23"/>
      <c r="B246" s="9"/>
      <c r="C246" s="9"/>
      <c r="D246" s="9"/>
      <c r="E246" s="9"/>
      <c r="F246" s="10"/>
      <c r="G246" s="10"/>
      <c r="H246" s="27"/>
      <c r="I246" s="9"/>
      <c r="J246" s="9"/>
      <c r="K246" s="9"/>
      <c r="L246" s="9"/>
      <c r="M246" s="25"/>
      <c r="N246" s="25"/>
      <c r="O246" s="27"/>
      <c r="P246" s="27"/>
      <c r="Q246" s="27"/>
      <c r="R246" s="25"/>
      <c r="S246" s="25"/>
      <c r="T246" s="10"/>
      <c r="U246" s="9"/>
      <c r="V246" s="9"/>
      <c r="W246" s="9"/>
      <c r="X246" s="9"/>
      <c r="Y246" s="9"/>
      <c r="Z246" s="9"/>
      <c r="AA246" s="9"/>
      <c r="AB246" s="9"/>
      <c r="AC246" s="9"/>
      <c r="AD246" s="27"/>
      <c r="AE246" s="42"/>
      <c r="AF246" s="27"/>
      <c r="AG246" s="42"/>
      <c r="AH246" s="27"/>
      <c r="AI246" s="9"/>
      <c r="AJ246" s="9"/>
      <c r="AK246" s="9"/>
      <c r="AM246" s="43"/>
      <c r="AN246" s="43"/>
      <c r="AQ246" s="34"/>
      <c r="AR246" s="34"/>
      <c r="AS246" s="34"/>
      <c r="AT246" s="34"/>
    </row>
    <row r="247" spans="1:46" s="11" customFormat="1" x14ac:dyDescent="0.25">
      <c r="A247" s="23"/>
      <c r="B247" s="9"/>
      <c r="C247" s="9"/>
      <c r="D247" s="9"/>
      <c r="E247" s="9"/>
      <c r="F247" s="10"/>
      <c r="G247" s="10"/>
      <c r="H247" s="27"/>
      <c r="I247" s="9"/>
      <c r="J247" s="9"/>
      <c r="K247" s="9"/>
      <c r="L247" s="9"/>
      <c r="M247" s="25"/>
      <c r="N247" s="25"/>
      <c r="O247" s="27"/>
      <c r="P247" s="27"/>
      <c r="Q247" s="27"/>
      <c r="R247" s="25"/>
      <c r="S247" s="25"/>
      <c r="T247" s="10"/>
      <c r="U247" s="9"/>
      <c r="V247" s="9"/>
      <c r="W247" s="9"/>
      <c r="X247" s="9"/>
      <c r="Y247" s="9"/>
      <c r="Z247" s="9"/>
      <c r="AA247" s="9"/>
      <c r="AB247" s="9"/>
      <c r="AC247" s="9"/>
      <c r="AD247" s="27"/>
      <c r="AE247" s="42"/>
      <c r="AF247" s="27"/>
      <c r="AG247" s="42"/>
      <c r="AH247" s="27"/>
      <c r="AI247" s="9"/>
      <c r="AJ247" s="9"/>
      <c r="AK247" s="9"/>
      <c r="AM247" s="43"/>
      <c r="AN247" s="43"/>
      <c r="AQ247" s="34"/>
      <c r="AR247" s="34"/>
      <c r="AS247" s="34"/>
      <c r="AT247" s="34"/>
    </row>
    <row r="248" spans="1:46" s="11" customFormat="1" x14ac:dyDescent="0.25">
      <c r="A248" s="23"/>
      <c r="B248" s="9"/>
      <c r="C248" s="9"/>
      <c r="D248" s="9"/>
      <c r="E248" s="9"/>
      <c r="F248" s="10"/>
      <c r="G248" s="10"/>
      <c r="H248" s="27"/>
      <c r="I248" s="9"/>
      <c r="J248" s="9"/>
      <c r="K248" s="9"/>
      <c r="L248" s="9"/>
      <c r="M248" s="25"/>
      <c r="N248" s="25"/>
      <c r="O248" s="27"/>
      <c r="P248" s="27"/>
      <c r="Q248" s="27"/>
      <c r="R248" s="25"/>
      <c r="S248" s="25"/>
      <c r="T248" s="10"/>
      <c r="U248" s="9"/>
      <c r="V248" s="9"/>
      <c r="W248" s="9"/>
      <c r="X248" s="9"/>
      <c r="Y248" s="9"/>
      <c r="Z248" s="9"/>
      <c r="AA248" s="9"/>
      <c r="AB248" s="9"/>
      <c r="AC248" s="9"/>
      <c r="AD248" s="27"/>
      <c r="AE248" s="42"/>
      <c r="AF248" s="27"/>
      <c r="AG248" s="42"/>
      <c r="AH248" s="27"/>
      <c r="AI248" s="9"/>
      <c r="AJ248" s="9"/>
      <c r="AK248" s="9"/>
      <c r="AM248" s="43"/>
      <c r="AN248" s="43"/>
      <c r="AQ248" s="34"/>
      <c r="AR248" s="34"/>
      <c r="AS248" s="34"/>
      <c r="AT248" s="34"/>
    </row>
    <row r="249" spans="1:46" s="11" customFormat="1" x14ac:dyDescent="0.25">
      <c r="A249" s="23"/>
      <c r="B249" s="9"/>
      <c r="C249" s="9"/>
      <c r="D249" s="9"/>
      <c r="E249" s="9"/>
      <c r="F249" s="10"/>
      <c r="G249" s="10"/>
      <c r="H249" s="27"/>
      <c r="I249" s="9"/>
      <c r="J249" s="9"/>
      <c r="K249" s="9"/>
      <c r="L249" s="9"/>
      <c r="M249" s="25"/>
      <c r="N249" s="25"/>
      <c r="O249" s="27"/>
      <c r="P249" s="27"/>
      <c r="Q249" s="27"/>
      <c r="R249" s="25"/>
      <c r="S249" s="25"/>
      <c r="T249" s="10"/>
      <c r="U249" s="9"/>
      <c r="V249" s="9"/>
      <c r="W249" s="9"/>
      <c r="X249" s="9"/>
      <c r="Y249" s="9"/>
      <c r="Z249" s="9"/>
      <c r="AA249" s="9"/>
      <c r="AB249" s="9"/>
      <c r="AC249" s="9"/>
      <c r="AD249" s="27"/>
      <c r="AE249" s="42"/>
      <c r="AF249" s="27"/>
      <c r="AG249" s="42"/>
      <c r="AH249" s="27"/>
      <c r="AI249" s="9"/>
      <c r="AJ249" s="9"/>
      <c r="AK249" s="9"/>
      <c r="AM249" s="43"/>
      <c r="AN249" s="43"/>
      <c r="AQ249" s="34"/>
      <c r="AR249" s="34"/>
      <c r="AS249" s="34"/>
      <c r="AT249" s="34"/>
    </row>
    <row r="250" spans="1:46" s="11" customFormat="1" x14ac:dyDescent="0.25">
      <c r="A250" s="23"/>
      <c r="B250" s="9"/>
      <c r="C250" s="9"/>
      <c r="D250" s="9"/>
      <c r="E250" s="9"/>
      <c r="F250" s="10"/>
      <c r="G250" s="10"/>
      <c r="H250" s="27"/>
      <c r="I250" s="9"/>
      <c r="J250" s="9"/>
      <c r="K250" s="9"/>
      <c r="L250" s="9"/>
      <c r="M250" s="25"/>
      <c r="N250" s="25"/>
      <c r="O250" s="27"/>
      <c r="P250" s="27"/>
      <c r="Q250" s="27"/>
      <c r="R250" s="25"/>
      <c r="S250" s="25"/>
      <c r="T250" s="10"/>
      <c r="U250" s="9"/>
      <c r="V250" s="9"/>
      <c r="W250" s="9"/>
      <c r="X250" s="9"/>
      <c r="Y250" s="9"/>
      <c r="Z250" s="9"/>
      <c r="AA250" s="9"/>
      <c r="AB250" s="9"/>
      <c r="AC250" s="9"/>
      <c r="AD250" s="27"/>
      <c r="AE250" s="42"/>
      <c r="AF250" s="27"/>
      <c r="AG250" s="42"/>
      <c r="AH250" s="27"/>
      <c r="AI250" s="9"/>
      <c r="AJ250" s="9"/>
      <c r="AK250" s="9"/>
      <c r="AM250" s="43"/>
      <c r="AN250" s="43"/>
      <c r="AQ250" s="34"/>
      <c r="AR250" s="34"/>
      <c r="AS250" s="34"/>
      <c r="AT250" s="34"/>
    </row>
    <row r="251" spans="1:46" s="11" customFormat="1" x14ac:dyDescent="0.25">
      <c r="A251" s="23"/>
      <c r="B251" s="9"/>
      <c r="C251" s="9"/>
      <c r="D251" s="9"/>
      <c r="E251" s="9"/>
      <c r="F251" s="10"/>
      <c r="G251" s="10"/>
      <c r="H251" s="27"/>
      <c r="I251" s="9"/>
      <c r="J251" s="9"/>
      <c r="K251" s="9"/>
      <c r="L251" s="9"/>
      <c r="M251" s="25"/>
      <c r="N251" s="25"/>
      <c r="O251" s="27"/>
      <c r="P251" s="27"/>
      <c r="Q251" s="27"/>
      <c r="R251" s="25"/>
      <c r="S251" s="25"/>
      <c r="T251" s="10"/>
      <c r="U251" s="9"/>
      <c r="V251" s="9"/>
      <c r="W251" s="9"/>
      <c r="X251" s="9"/>
      <c r="Y251" s="9"/>
      <c r="Z251" s="9"/>
      <c r="AA251" s="9"/>
      <c r="AB251" s="9"/>
      <c r="AC251" s="9"/>
      <c r="AD251" s="27"/>
      <c r="AE251" s="42"/>
      <c r="AF251" s="27"/>
      <c r="AG251" s="42"/>
      <c r="AH251" s="27"/>
      <c r="AI251" s="9"/>
      <c r="AJ251" s="9"/>
      <c r="AK251" s="9"/>
      <c r="AM251" s="43"/>
      <c r="AN251" s="43"/>
      <c r="AQ251" s="34"/>
      <c r="AR251" s="34"/>
      <c r="AS251" s="34"/>
      <c r="AT251" s="34"/>
    </row>
    <row r="252" spans="1:46" s="11" customFormat="1" x14ac:dyDescent="0.25">
      <c r="A252" s="23"/>
      <c r="B252" s="9"/>
      <c r="C252" s="9"/>
      <c r="D252" s="9"/>
      <c r="E252" s="9"/>
      <c r="F252" s="10"/>
      <c r="G252" s="10"/>
      <c r="H252" s="27"/>
      <c r="I252" s="9"/>
      <c r="J252" s="9"/>
      <c r="K252" s="9"/>
      <c r="L252" s="9"/>
      <c r="M252" s="25"/>
      <c r="N252" s="25"/>
      <c r="O252" s="27"/>
      <c r="P252" s="27"/>
      <c r="Q252" s="27"/>
      <c r="R252" s="25"/>
      <c r="S252" s="25"/>
      <c r="T252" s="10"/>
      <c r="U252" s="9"/>
      <c r="V252" s="9"/>
      <c r="W252" s="9"/>
      <c r="X252" s="9"/>
      <c r="Y252" s="9"/>
      <c r="Z252" s="9"/>
      <c r="AA252" s="9"/>
      <c r="AB252" s="9"/>
      <c r="AC252" s="9"/>
      <c r="AD252" s="27"/>
      <c r="AE252" s="42"/>
      <c r="AF252" s="27"/>
      <c r="AG252" s="42"/>
      <c r="AH252" s="27"/>
      <c r="AI252" s="9"/>
      <c r="AJ252" s="9"/>
      <c r="AK252" s="9"/>
      <c r="AM252" s="43"/>
      <c r="AN252" s="43"/>
      <c r="AQ252" s="34"/>
      <c r="AR252" s="34"/>
      <c r="AS252" s="34"/>
      <c r="AT252" s="34"/>
    </row>
    <row r="253" spans="1:46" s="11" customFormat="1" x14ac:dyDescent="0.25">
      <c r="A253" s="23"/>
      <c r="B253" s="9"/>
      <c r="C253" s="9"/>
      <c r="D253" s="9"/>
      <c r="E253" s="9"/>
      <c r="F253" s="10"/>
      <c r="G253" s="10"/>
      <c r="H253" s="27"/>
      <c r="I253" s="9"/>
      <c r="J253" s="9"/>
      <c r="K253" s="9"/>
      <c r="L253" s="9"/>
      <c r="M253" s="25"/>
      <c r="N253" s="25"/>
      <c r="O253" s="27"/>
      <c r="P253" s="27"/>
      <c r="Q253" s="27"/>
      <c r="R253" s="25"/>
      <c r="S253" s="25"/>
      <c r="T253" s="10"/>
      <c r="U253" s="9"/>
      <c r="V253" s="9"/>
      <c r="W253" s="9"/>
      <c r="X253" s="9"/>
      <c r="Y253" s="9"/>
      <c r="Z253" s="9"/>
      <c r="AA253" s="9"/>
      <c r="AB253" s="9"/>
      <c r="AC253" s="9"/>
      <c r="AD253" s="27"/>
      <c r="AE253" s="42"/>
      <c r="AF253" s="27"/>
      <c r="AG253" s="42"/>
      <c r="AH253" s="27"/>
      <c r="AI253" s="9"/>
      <c r="AJ253" s="9"/>
      <c r="AK253" s="9"/>
      <c r="AM253" s="43"/>
      <c r="AN253" s="43"/>
      <c r="AQ253" s="34"/>
      <c r="AR253" s="34"/>
      <c r="AS253" s="34"/>
      <c r="AT253" s="34"/>
    </row>
    <row r="254" spans="1:46" s="11" customFormat="1" x14ac:dyDescent="0.25">
      <c r="A254" s="23"/>
      <c r="B254" s="9"/>
      <c r="C254" s="9"/>
      <c r="D254" s="9"/>
      <c r="E254" s="9"/>
      <c r="F254" s="10"/>
      <c r="G254" s="10"/>
      <c r="H254" s="27"/>
      <c r="I254" s="9"/>
      <c r="J254" s="9"/>
      <c r="K254" s="9"/>
      <c r="L254" s="9"/>
      <c r="M254" s="25"/>
      <c r="N254" s="25"/>
      <c r="O254" s="27"/>
      <c r="P254" s="27"/>
      <c r="Q254" s="27"/>
      <c r="R254" s="25"/>
      <c r="S254" s="25"/>
      <c r="T254" s="10"/>
      <c r="U254" s="9"/>
      <c r="V254" s="9"/>
      <c r="W254" s="9"/>
      <c r="X254" s="9"/>
      <c r="Y254" s="9"/>
      <c r="Z254" s="9"/>
      <c r="AA254" s="9"/>
      <c r="AB254" s="9"/>
      <c r="AC254" s="9"/>
      <c r="AD254" s="27"/>
      <c r="AE254" s="42"/>
      <c r="AF254" s="27"/>
      <c r="AG254" s="42"/>
      <c r="AH254" s="27"/>
      <c r="AI254" s="9"/>
      <c r="AJ254" s="9"/>
      <c r="AK254" s="9"/>
      <c r="AM254" s="43"/>
      <c r="AN254" s="43"/>
      <c r="AQ254" s="34"/>
      <c r="AR254" s="34"/>
      <c r="AS254" s="34"/>
      <c r="AT254" s="34"/>
    </row>
    <row r="255" spans="1:46" s="11" customFormat="1" x14ac:dyDescent="0.25">
      <c r="A255" s="23"/>
      <c r="B255" s="9"/>
      <c r="C255" s="9"/>
      <c r="D255" s="9"/>
      <c r="E255" s="9"/>
      <c r="F255" s="10"/>
      <c r="G255" s="10"/>
      <c r="H255" s="27"/>
      <c r="I255" s="9"/>
      <c r="J255" s="9"/>
      <c r="K255" s="9"/>
      <c r="L255" s="9"/>
      <c r="M255" s="25"/>
      <c r="N255" s="25"/>
      <c r="O255" s="27"/>
      <c r="P255" s="27"/>
      <c r="Q255" s="27"/>
      <c r="R255" s="25"/>
      <c r="S255" s="25"/>
      <c r="T255" s="10"/>
      <c r="U255" s="9"/>
      <c r="V255" s="9"/>
      <c r="W255" s="9"/>
      <c r="X255" s="9"/>
      <c r="Y255" s="9"/>
      <c r="Z255" s="9"/>
      <c r="AA255" s="9"/>
      <c r="AB255" s="9"/>
      <c r="AC255" s="9"/>
      <c r="AD255" s="27"/>
      <c r="AE255" s="42"/>
      <c r="AF255" s="27"/>
      <c r="AG255" s="42"/>
      <c r="AH255" s="27"/>
      <c r="AI255" s="9"/>
      <c r="AJ255" s="9"/>
      <c r="AK255" s="9"/>
      <c r="AM255" s="43"/>
      <c r="AN255" s="43"/>
      <c r="AQ255" s="34"/>
      <c r="AR255" s="34"/>
      <c r="AS255" s="34"/>
      <c r="AT255" s="34"/>
    </row>
    <row r="256" spans="1:46" s="11" customFormat="1" x14ac:dyDescent="0.25">
      <c r="A256" s="23"/>
      <c r="B256" s="9"/>
      <c r="C256" s="9"/>
      <c r="D256" s="9"/>
      <c r="E256" s="9"/>
      <c r="F256" s="10"/>
      <c r="G256" s="10"/>
      <c r="H256" s="27"/>
      <c r="I256" s="9"/>
      <c r="J256" s="9"/>
      <c r="K256" s="9"/>
      <c r="L256" s="9"/>
      <c r="M256" s="25"/>
      <c r="N256" s="25"/>
      <c r="O256" s="27"/>
      <c r="P256" s="27"/>
      <c r="Q256" s="27"/>
      <c r="R256" s="25"/>
      <c r="S256" s="25"/>
      <c r="T256" s="10"/>
      <c r="U256" s="9"/>
      <c r="V256" s="9"/>
      <c r="W256" s="9"/>
      <c r="X256" s="9"/>
      <c r="Y256" s="9"/>
      <c r="Z256" s="9"/>
      <c r="AA256" s="9"/>
      <c r="AB256" s="9"/>
      <c r="AC256" s="9"/>
      <c r="AD256" s="27"/>
      <c r="AE256" s="42"/>
      <c r="AF256" s="27"/>
      <c r="AG256" s="42"/>
      <c r="AH256" s="27"/>
      <c r="AI256" s="9"/>
      <c r="AJ256" s="9"/>
      <c r="AK256" s="9"/>
      <c r="AM256" s="43"/>
      <c r="AN256" s="43"/>
      <c r="AQ256" s="34"/>
      <c r="AR256" s="34"/>
      <c r="AS256" s="34"/>
      <c r="AT256" s="34"/>
    </row>
    <row r="257" spans="1:46" s="11" customFormat="1" x14ac:dyDescent="0.25">
      <c r="A257" s="23"/>
      <c r="B257" s="9"/>
      <c r="C257" s="9"/>
      <c r="D257" s="9"/>
      <c r="E257" s="9"/>
      <c r="F257" s="10"/>
      <c r="G257" s="10"/>
      <c r="H257" s="27"/>
      <c r="I257" s="9"/>
      <c r="J257" s="9"/>
      <c r="K257" s="9"/>
      <c r="L257" s="9"/>
      <c r="M257" s="25"/>
      <c r="N257" s="25"/>
      <c r="O257" s="27"/>
      <c r="P257" s="27"/>
      <c r="Q257" s="27"/>
      <c r="R257" s="25"/>
      <c r="S257" s="25"/>
      <c r="T257" s="10"/>
      <c r="U257" s="9"/>
      <c r="V257" s="9"/>
      <c r="W257" s="9"/>
      <c r="X257" s="9"/>
      <c r="Y257" s="9"/>
      <c r="Z257" s="9"/>
      <c r="AA257" s="9"/>
      <c r="AB257" s="9"/>
      <c r="AC257" s="9"/>
      <c r="AD257" s="27"/>
      <c r="AE257" s="42"/>
      <c r="AF257" s="27"/>
      <c r="AG257" s="42"/>
      <c r="AH257" s="27"/>
      <c r="AI257" s="9"/>
      <c r="AJ257" s="9"/>
      <c r="AK257" s="9"/>
      <c r="AM257" s="43"/>
      <c r="AN257" s="43"/>
      <c r="AQ257" s="34"/>
      <c r="AR257" s="34"/>
      <c r="AS257" s="34"/>
      <c r="AT257" s="34"/>
    </row>
    <row r="258" spans="1:46" s="11" customFormat="1" x14ac:dyDescent="0.25">
      <c r="A258" s="23"/>
      <c r="B258" s="9"/>
      <c r="C258" s="9"/>
      <c r="D258" s="9"/>
      <c r="E258" s="9"/>
      <c r="F258" s="10"/>
      <c r="G258" s="10"/>
      <c r="H258" s="27"/>
      <c r="I258" s="9"/>
      <c r="J258" s="9"/>
      <c r="K258" s="9"/>
      <c r="L258" s="9"/>
      <c r="M258" s="25"/>
      <c r="N258" s="25"/>
      <c r="O258" s="27"/>
      <c r="P258" s="27"/>
      <c r="Q258" s="27"/>
      <c r="R258" s="25"/>
      <c r="S258" s="25"/>
      <c r="T258" s="10"/>
      <c r="U258" s="9"/>
      <c r="V258" s="9"/>
      <c r="W258" s="9"/>
      <c r="X258" s="9"/>
      <c r="Y258" s="9"/>
      <c r="Z258" s="9"/>
      <c r="AA258" s="9"/>
      <c r="AB258" s="9"/>
      <c r="AC258" s="9"/>
      <c r="AD258" s="27"/>
      <c r="AE258" s="42"/>
      <c r="AF258" s="27"/>
      <c r="AG258" s="42"/>
      <c r="AH258" s="27"/>
      <c r="AI258" s="9"/>
      <c r="AJ258" s="9"/>
      <c r="AK258" s="9"/>
      <c r="AM258" s="43"/>
      <c r="AN258" s="43"/>
      <c r="AQ258" s="34"/>
      <c r="AR258" s="34"/>
      <c r="AS258" s="34"/>
      <c r="AT258" s="34"/>
    </row>
    <row r="259" spans="1:46" s="11" customFormat="1" x14ac:dyDescent="0.25">
      <c r="A259" s="23"/>
      <c r="B259" s="9"/>
      <c r="C259" s="9"/>
      <c r="D259" s="9"/>
      <c r="E259" s="9"/>
      <c r="F259" s="10"/>
      <c r="G259" s="10"/>
      <c r="H259" s="27"/>
      <c r="I259" s="9"/>
      <c r="J259" s="9"/>
      <c r="K259" s="9"/>
      <c r="L259" s="9"/>
      <c r="M259" s="25"/>
      <c r="N259" s="25"/>
      <c r="O259" s="27"/>
      <c r="P259" s="27"/>
      <c r="Q259" s="27"/>
      <c r="R259" s="25"/>
      <c r="S259" s="25"/>
      <c r="T259" s="10"/>
      <c r="U259" s="9"/>
      <c r="V259" s="9"/>
      <c r="W259" s="9"/>
      <c r="X259" s="9"/>
      <c r="Y259" s="9"/>
      <c r="Z259" s="9"/>
      <c r="AA259" s="9"/>
      <c r="AB259" s="9"/>
      <c r="AC259" s="9"/>
      <c r="AD259" s="27"/>
      <c r="AE259" s="42"/>
      <c r="AF259" s="27"/>
      <c r="AG259" s="42"/>
      <c r="AH259" s="27"/>
      <c r="AI259" s="9"/>
      <c r="AJ259" s="9"/>
      <c r="AK259" s="9"/>
      <c r="AM259" s="43"/>
      <c r="AN259" s="43"/>
      <c r="AQ259" s="34"/>
      <c r="AR259" s="34"/>
      <c r="AS259" s="34"/>
      <c r="AT259" s="34"/>
    </row>
    <row r="260" spans="1:46" s="11" customFormat="1" x14ac:dyDescent="0.25">
      <c r="A260" s="23"/>
      <c r="B260" s="9"/>
      <c r="C260" s="9"/>
      <c r="D260" s="9"/>
      <c r="E260" s="9"/>
      <c r="F260" s="10"/>
      <c r="G260" s="10"/>
      <c r="H260" s="27"/>
      <c r="I260" s="9"/>
      <c r="J260" s="9"/>
      <c r="K260" s="9"/>
      <c r="L260" s="9"/>
      <c r="M260" s="25"/>
      <c r="N260" s="25"/>
      <c r="O260" s="27"/>
      <c r="P260" s="27"/>
      <c r="Q260" s="27"/>
      <c r="R260" s="25"/>
      <c r="S260" s="25"/>
      <c r="T260" s="10"/>
      <c r="U260" s="9"/>
      <c r="V260" s="9"/>
      <c r="W260" s="9"/>
      <c r="X260" s="9"/>
      <c r="Y260" s="9"/>
      <c r="Z260" s="9"/>
      <c r="AA260" s="9"/>
      <c r="AB260" s="9"/>
      <c r="AC260" s="9"/>
      <c r="AD260" s="27"/>
      <c r="AE260" s="42"/>
      <c r="AF260" s="27"/>
      <c r="AG260" s="42"/>
      <c r="AH260" s="27"/>
      <c r="AI260" s="9"/>
      <c r="AJ260" s="9"/>
      <c r="AK260" s="9"/>
      <c r="AM260" s="43"/>
      <c r="AN260" s="43"/>
      <c r="AQ260" s="34"/>
      <c r="AR260" s="34"/>
      <c r="AS260" s="34"/>
      <c r="AT260" s="34"/>
    </row>
    <row r="261" spans="1:46" s="11" customFormat="1" x14ac:dyDescent="0.25">
      <c r="A261" s="23"/>
      <c r="B261" s="9"/>
      <c r="C261" s="9"/>
      <c r="D261" s="9"/>
      <c r="E261" s="9"/>
      <c r="F261" s="10"/>
      <c r="G261" s="10"/>
      <c r="H261" s="27"/>
      <c r="I261" s="9"/>
      <c r="J261" s="9"/>
      <c r="K261" s="9"/>
      <c r="L261" s="9"/>
      <c r="M261" s="25"/>
      <c r="N261" s="25"/>
      <c r="O261" s="27"/>
      <c r="P261" s="27"/>
      <c r="Q261" s="27"/>
      <c r="R261" s="25"/>
      <c r="S261" s="25"/>
      <c r="T261" s="10"/>
      <c r="U261" s="9"/>
      <c r="V261" s="9"/>
      <c r="W261" s="9"/>
      <c r="X261" s="9"/>
      <c r="Y261" s="9"/>
      <c r="Z261" s="9"/>
      <c r="AA261" s="9"/>
      <c r="AB261" s="9"/>
      <c r="AC261" s="9"/>
      <c r="AD261" s="27"/>
      <c r="AE261" s="42"/>
      <c r="AF261" s="27"/>
      <c r="AG261" s="42"/>
      <c r="AH261" s="27"/>
      <c r="AI261" s="9"/>
      <c r="AJ261" s="9"/>
      <c r="AK261" s="9"/>
      <c r="AM261" s="43"/>
      <c r="AN261" s="43"/>
      <c r="AQ261" s="34"/>
      <c r="AR261" s="34"/>
      <c r="AS261" s="34"/>
      <c r="AT261" s="34"/>
    </row>
    <row r="262" spans="1:46" s="11" customFormat="1" x14ac:dyDescent="0.25">
      <c r="A262" s="23"/>
      <c r="B262" s="9"/>
      <c r="C262" s="9"/>
      <c r="D262" s="9"/>
      <c r="E262" s="9"/>
      <c r="F262" s="10"/>
      <c r="G262" s="10"/>
      <c r="H262" s="27"/>
      <c r="I262" s="9"/>
      <c r="J262" s="9"/>
      <c r="K262" s="9"/>
      <c r="L262" s="9"/>
      <c r="M262" s="25"/>
      <c r="N262" s="25"/>
      <c r="O262" s="27"/>
      <c r="P262" s="27"/>
      <c r="Q262" s="27"/>
      <c r="R262" s="25"/>
      <c r="S262" s="25"/>
      <c r="T262" s="10"/>
      <c r="U262" s="9"/>
      <c r="V262" s="9"/>
      <c r="W262" s="9"/>
      <c r="X262" s="9"/>
      <c r="Y262" s="9"/>
      <c r="Z262" s="9"/>
      <c r="AA262" s="9"/>
      <c r="AB262" s="9"/>
      <c r="AC262" s="9"/>
      <c r="AD262" s="27"/>
      <c r="AE262" s="42"/>
      <c r="AF262" s="27"/>
      <c r="AG262" s="42"/>
      <c r="AH262" s="27"/>
      <c r="AI262" s="9"/>
      <c r="AJ262" s="9"/>
      <c r="AK262" s="9"/>
      <c r="AM262" s="43"/>
      <c r="AN262" s="43"/>
      <c r="AQ262" s="34"/>
      <c r="AR262" s="34"/>
      <c r="AS262" s="34"/>
      <c r="AT262" s="34"/>
    </row>
    <row r="263" spans="1:46" s="11" customFormat="1" x14ac:dyDescent="0.25">
      <c r="A263" s="23"/>
      <c r="B263" s="9"/>
      <c r="C263" s="9"/>
      <c r="D263" s="9"/>
      <c r="E263" s="9"/>
      <c r="F263" s="10"/>
      <c r="G263" s="10"/>
      <c r="H263" s="27"/>
      <c r="I263" s="9"/>
      <c r="J263" s="9"/>
      <c r="K263" s="9"/>
      <c r="L263" s="9"/>
      <c r="M263" s="25"/>
      <c r="N263" s="25"/>
      <c r="O263" s="27"/>
      <c r="P263" s="27"/>
      <c r="Q263" s="27"/>
      <c r="R263" s="25"/>
      <c r="S263" s="25"/>
      <c r="T263" s="10"/>
      <c r="U263" s="9"/>
      <c r="V263" s="9"/>
      <c r="W263" s="9"/>
      <c r="X263" s="9"/>
      <c r="Y263" s="9"/>
      <c r="Z263" s="9"/>
      <c r="AA263" s="9"/>
      <c r="AB263" s="9"/>
      <c r="AC263" s="9"/>
      <c r="AD263" s="27"/>
      <c r="AE263" s="42"/>
      <c r="AF263" s="27"/>
      <c r="AG263" s="42"/>
      <c r="AH263" s="27"/>
      <c r="AI263" s="9"/>
      <c r="AJ263" s="9"/>
      <c r="AK263" s="9"/>
      <c r="AM263" s="43"/>
      <c r="AN263" s="43"/>
      <c r="AQ263" s="34"/>
      <c r="AR263" s="34"/>
      <c r="AS263" s="34"/>
      <c r="AT263" s="34"/>
    </row>
    <row r="264" spans="1:46" s="11" customFormat="1" x14ac:dyDescent="0.25">
      <c r="A264" s="23"/>
      <c r="B264" s="9"/>
      <c r="C264" s="9"/>
      <c r="D264" s="9"/>
      <c r="E264" s="9"/>
      <c r="F264" s="10"/>
      <c r="G264" s="10"/>
      <c r="H264" s="27"/>
      <c r="I264" s="9"/>
      <c r="J264" s="9"/>
      <c r="K264" s="9"/>
      <c r="L264" s="9"/>
      <c r="M264" s="25"/>
      <c r="N264" s="25"/>
      <c r="O264" s="27"/>
      <c r="P264" s="27"/>
      <c r="Q264" s="27"/>
      <c r="R264" s="25"/>
      <c r="S264" s="25"/>
      <c r="T264" s="10"/>
      <c r="U264" s="9"/>
      <c r="V264" s="9"/>
      <c r="W264" s="9"/>
      <c r="X264" s="9"/>
      <c r="Y264" s="9"/>
      <c r="Z264" s="9"/>
      <c r="AA264" s="9"/>
      <c r="AB264" s="9"/>
      <c r="AC264" s="9"/>
      <c r="AD264" s="27"/>
      <c r="AE264" s="42"/>
      <c r="AF264" s="27"/>
      <c r="AG264" s="42"/>
      <c r="AH264" s="27"/>
      <c r="AI264" s="9"/>
      <c r="AJ264" s="9"/>
      <c r="AK264" s="9"/>
      <c r="AM264" s="43"/>
      <c r="AN264" s="43"/>
      <c r="AQ264" s="34"/>
      <c r="AR264" s="34"/>
      <c r="AS264" s="34"/>
      <c r="AT264" s="34"/>
    </row>
    <row r="265" spans="1:46" s="11" customFormat="1" x14ac:dyDescent="0.25">
      <c r="A265" s="23"/>
      <c r="B265" s="9"/>
      <c r="C265" s="9"/>
      <c r="D265" s="9"/>
      <c r="E265" s="9"/>
      <c r="F265" s="10"/>
      <c r="G265" s="10"/>
      <c r="H265" s="27"/>
      <c r="I265" s="9"/>
      <c r="J265" s="9"/>
      <c r="K265" s="9"/>
      <c r="L265" s="9"/>
      <c r="M265" s="25"/>
      <c r="N265" s="25"/>
      <c r="O265" s="27"/>
      <c r="P265" s="27"/>
      <c r="Q265" s="27"/>
      <c r="R265" s="25"/>
      <c r="S265" s="25"/>
      <c r="T265" s="10"/>
      <c r="U265" s="9"/>
      <c r="V265" s="9"/>
      <c r="W265" s="9"/>
      <c r="X265" s="9"/>
      <c r="Y265" s="9"/>
      <c r="Z265" s="9"/>
      <c r="AA265" s="9"/>
      <c r="AB265" s="9"/>
      <c r="AC265" s="9"/>
      <c r="AD265" s="27"/>
      <c r="AE265" s="42"/>
      <c r="AF265" s="27"/>
      <c r="AG265" s="42"/>
      <c r="AH265" s="27"/>
      <c r="AI265" s="9"/>
      <c r="AJ265" s="9"/>
      <c r="AK265" s="9"/>
      <c r="AM265" s="43"/>
      <c r="AN265" s="43"/>
      <c r="AQ265" s="34"/>
      <c r="AR265" s="34"/>
      <c r="AS265" s="34"/>
      <c r="AT265" s="34"/>
    </row>
    <row r="266" spans="1:46" s="11" customFormat="1" x14ac:dyDescent="0.25">
      <c r="A266" s="23"/>
      <c r="B266" s="9"/>
      <c r="C266" s="9"/>
      <c r="D266" s="9"/>
      <c r="E266" s="9"/>
      <c r="F266" s="10"/>
      <c r="G266" s="10"/>
      <c r="H266" s="27"/>
      <c r="I266" s="9"/>
      <c r="J266" s="9"/>
      <c r="K266" s="9"/>
      <c r="L266" s="9"/>
      <c r="M266" s="25"/>
      <c r="N266" s="25"/>
      <c r="O266" s="27"/>
      <c r="P266" s="27"/>
      <c r="Q266" s="27"/>
      <c r="R266" s="25"/>
      <c r="S266" s="25"/>
      <c r="T266" s="10"/>
      <c r="U266" s="9"/>
      <c r="V266" s="9"/>
      <c r="W266" s="9"/>
      <c r="X266" s="9"/>
      <c r="Y266" s="9"/>
      <c r="Z266" s="9"/>
      <c r="AA266" s="9"/>
      <c r="AB266" s="9"/>
      <c r="AC266" s="9"/>
      <c r="AD266" s="27"/>
      <c r="AE266" s="42"/>
      <c r="AF266" s="27"/>
      <c r="AG266" s="42"/>
      <c r="AH266" s="27"/>
      <c r="AI266" s="9"/>
      <c r="AJ266" s="9"/>
      <c r="AK266" s="9"/>
      <c r="AM266" s="43"/>
      <c r="AN266" s="43"/>
      <c r="AQ266" s="34"/>
      <c r="AR266" s="34"/>
      <c r="AS266" s="34"/>
      <c r="AT266" s="34"/>
    </row>
    <row r="267" spans="1:46" s="11" customFormat="1" x14ac:dyDescent="0.25">
      <c r="A267" s="23"/>
      <c r="B267" s="9"/>
      <c r="C267" s="9"/>
      <c r="D267" s="9"/>
      <c r="E267" s="9"/>
      <c r="F267" s="10"/>
      <c r="G267" s="10"/>
      <c r="H267" s="27"/>
      <c r="I267" s="9"/>
      <c r="J267" s="9"/>
      <c r="K267" s="9"/>
      <c r="L267" s="9"/>
      <c r="M267" s="25"/>
      <c r="N267" s="25"/>
      <c r="O267" s="27"/>
      <c r="P267" s="27"/>
      <c r="Q267" s="27"/>
      <c r="R267" s="25"/>
      <c r="S267" s="25"/>
      <c r="T267" s="10"/>
      <c r="U267" s="9"/>
      <c r="V267" s="9"/>
      <c r="W267" s="9"/>
      <c r="X267" s="9"/>
      <c r="Y267" s="9"/>
      <c r="Z267" s="9"/>
      <c r="AA267" s="9"/>
      <c r="AB267" s="9"/>
      <c r="AC267" s="9"/>
      <c r="AD267" s="27"/>
      <c r="AE267" s="42"/>
      <c r="AF267" s="27"/>
      <c r="AG267" s="42"/>
      <c r="AH267" s="27"/>
      <c r="AI267" s="9"/>
      <c r="AJ267" s="9"/>
      <c r="AK267" s="9"/>
      <c r="AM267" s="43"/>
      <c r="AN267" s="43"/>
      <c r="AQ267" s="34"/>
      <c r="AR267" s="34"/>
      <c r="AS267" s="34"/>
      <c r="AT267" s="34"/>
    </row>
    <row r="268" spans="1:46" s="11" customFormat="1" x14ac:dyDescent="0.25">
      <c r="A268" s="23"/>
      <c r="B268" s="9"/>
      <c r="C268" s="9"/>
      <c r="D268" s="9"/>
      <c r="E268" s="9"/>
      <c r="F268" s="10"/>
      <c r="G268" s="10"/>
      <c r="H268" s="27"/>
      <c r="I268" s="9"/>
      <c r="J268" s="9"/>
      <c r="K268" s="9"/>
      <c r="L268" s="9"/>
      <c r="M268" s="25"/>
      <c r="N268" s="25"/>
      <c r="O268" s="27"/>
      <c r="P268" s="27"/>
      <c r="Q268" s="27"/>
      <c r="R268" s="25"/>
      <c r="S268" s="25"/>
      <c r="T268" s="10"/>
      <c r="U268" s="9"/>
      <c r="V268" s="9"/>
      <c r="W268" s="9"/>
      <c r="X268" s="9"/>
      <c r="Y268" s="9"/>
      <c r="Z268" s="9"/>
      <c r="AA268" s="9"/>
      <c r="AB268" s="9"/>
      <c r="AC268" s="9"/>
      <c r="AD268" s="27"/>
      <c r="AE268" s="42"/>
      <c r="AF268" s="27"/>
      <c r="AG268" s="42"/>
      <c r="AH268" s="27"/>
      <c r="AI268" s="9"/>
      <c r="AJ268" s="9"/>
      <c r="AK268" s="9"/>
      <c r="AM268" s="43"/>
      <c r="AN268" s="43"/>
      <c r="AQ268" s="34"/>
      <c r="AR268" s="34"/>
      <c r="AS268" s="34"/>
      <c r="AT268" s="34"/>
    </row>
    <row r="269" spans="1:46" s="11" customFormat="1" x14ac:dyDescent="0.25">
      <c r="A269" s="23"/>
      <c r="B269" s="9"/>
      <c r="C269" s="9"/>
      <c r="D269" s="9"/>
      <c r="E269" s="9"/>
      <c r="F269" s="10"/>
      <c r="G269" s="10"/>
      <c r="H269" s="27"/>
      <c r="I269" s="9"/>
      <c r="J269" s="9"/>
      <c r="K269" s="9"/>
      <c r="L269" s="9"/>
      <c r="M269" s="25"/>
      <c r="N269" s="25"/>
      <c r="O269" s="27"/>
      <c r="P269" s="27"/>
      <c r="Q269" s="27"/>
      <c r="R269" s="25"/>
      <c r="S269" s="25"/>
      <c r="T269" s="10"/>
      <c r="U269" s="9"/>
      <c r="V269" s="9"/>
      <c r="W269" s="9"/>
      <c r="X269" s="9"/>
      <c r="Y269" s="9"/>
      <c r="Z269" s="9"/>
      <c r="AA269" s="9"/>
      <c r="AB269" s="9"/>
      <c r="AC269" s="9"/>
      <c r="AD269" s="27"/>
      <c r="AE269" s="42"/>
      <c r="AF269" s="27"/>
      <c r="AG269" s="42"/>
      <c r="AH269" s="27"/>
      <c r="AI269" s="9"/>
      <c r="AJ269" s="9"/>
      <c r="AK269" s="9"/>
      <c r="AM269" s="43"/>
      <c r="AN269" s="43"/>
      <c r="AQ269" s="34"/>
      <c r="AR269" s="34"/>
      <c r="AS269" s="34"/>
      <c r="AT269" s="34"/>
    </row>
    <row r="270" spans="1:46" s="11" customFormat="1" x14ac:dyDescent="0.25">
      <c r="A270" s="23"/>
      <c r="B270" s="9"/>
      <c r="C270" s="9"/>
      <c r="D270" s="9"/>
      <c r="E270" s="9"/>
      <c r="F270" s="10"/>
      <c r="G270" s="10"/>
      <c r="H270" s="27"/>
      <c r="I270" s="9"/>
      <c r="J270" s="9"/>
      <c r="K270" s="9"/>
      <c r="L270" s="9"/>
      <c r="M270" s="25"/>
      <c r="N270" s="25"/>
      <c r="O270" s="27"/>
      <c r="P270" s="27"/>
      <c r="Q270" s="27"/>
      <c r="R270" s="25"/>
      <c r="S270" s="25"/>
      <c r="T270" s="10"/>
      <c r="U270" s="9"/>
      <c r="V270" s="9"/>
      <c r="W270" s="9"/>
      <c r="X270" s="9"/>
      <c r="Y270" s="9"/>
      <c r="Z270" s="9"/>
      <c r="AA270" s="9"/>
      <c r="AB270" s="9"/>
      <c r="AC270" s="9"/>
      <c r="AD270" s="27"/>
      <c r="AE270" s="42"/>
      <c r="AF270" s="27"/>
      <c r="AG270" s="42"/>
      <c r="AH270" s="27"/>
      <c r="AI270" s="9"/>
      <c r="AJ270" s="9"/>
      <c r="AK270" s="9"/>
      <c r="AM270" s="43"/>
      <c r="AN270" s="43"/>
      <c r="AQ270" s="34"/>
      <c r="AR270" s="34"/>
      <c r="AS270" s="34"/>
      <c r="AT270" s="34"/>
    </row>
    <row r="271" spans="1:46" s="11" customFormat="1" x14ac:dyDescent="0.25">
      <c r="A271" s="23"/>
      <c r="B271" s="9"/>
      <c r="C271" s="9"/>
      <c r="D271" s="9"/>
      <c r="E271" s="9"/>
      <c r="F271" s="10"/>
      <c r="G271" s="10"/>
      <c r="H271" s="27"/>
      <c r="I271" s="9"/>
      <c r="J271" s="9"/>
      <c r="K271" s="9"/>
      <c r="L271" s="9"/>
      <c r="M271" s="25"/>
      <c r="N271" s="25"/>
      <c r="O271" s="27"/>
      <c r="P271" s="27"/>
      <c r="Q271" s="27"/>
      <c r="R271" s="25"/>
      <c r="S271" s="25"/>
      <c r="T271" s="10"/>
      <c r="U271" s="9"/>
      <c r="V271" s="9"/>
      <c r="W271" s="9"/>
      <c r="X271" s="9"/>
      <c r="Y271" s="9"/>
      <c r="Z271" s="9"/>
      <c r="AA271" s="9"/>
      <c r="AB271" s="9"/>
      <c r="AC271" s="9"/>
      <c r="AD271" s="27"/>
      <c r="AE271" s="42"/>
      <c r="AF271" s="27"/>
      <c r="AG271" s="42"/>
      <c r="AH271" s="27"/>
      <c r="AI271" s="9"/>
      <c r="AJ271" s="9"/>
      <c r="AK271" s="9"/>
      <c r="AM271" s="43"/>
      <c r="AN271" s="43"/>
      <c r="AQ271" s="34"/>
      <c r="AR271" s="34"/>
      <c r="AS271" s="34"/>
      <c r="AT271" s="34"/>
    </row>
    <row r="272" spans="1:46" s="11" customFormat="1" x14ac:dyDescent="0.25">
      <c r="A272" s="23"/>
      <c r="B272" s="9"/>
      <c r="C272" s="9"/>
      <c r="D272" s="9"/>
      <c r="E272" s="9"/>
      <c r="F272" s="10"/>
      <c r="G272" s="10"/>
      <c r="H272" s="27"/>
      <c r="I272" s="9"/>
      <c r="J272" s="9"/>
      <c r="K272" s="9"/>
      <c r="L272" s="9"/>
      <c r="M272" s="25"/>
      <c r="N272" s="25"/>
      <c r="O272" s="27"/>
      <c r="P272" s="27"/>
      <c r="Q272" s="27"/>
      <c r="R272" s="25"/>
      <c r="S272" s="25"/>
      <c r="T272" s="10"/>
      <c r="U272" s="9"/>
      <c r="V272" s="9"/>
      <c r="W272" s="9"/>
      <c r="X272" s="9"/>
      <c r="Y272" s="9"/>
      <c r="Z272" s="9"/>
      <c r="AA272" s="9"/>
      <c r="AB272" s="9"/>
      <c r="AC272" s="9"/>
      <c r="AD272" s="27"/>
      <c r="AE272" s="42"/>
      <c r="AF272" s="27"/>
      <c r="AG272" s="42"/>
      <c r="AH272" s="27"/>
      <c r="AI272" s="9"/>
      <c r="AJ272" s="9"/>
      <c r="AK272" s="9"/>
      <c r="AM272" s="43"/>
      <c r="AN272" s="43"/>
      <c r="AQ272" s="34"/>
      <c r="AR272" s="34"/>
      <c r="AS272" s="34"/>
      <c r="AT272" s="34"/>
    </row>
    <row r="273" spans="1:46" s="11" customFormat="1" x14ac:dyDescent="0.25">
      <c r="A273" s="23"/>
      <c r="B273" s="9"/>
      <c r="C273" s="9"/>
      <c r="D273" s="9"/>
      <c r="E273" s="9"/>
      <c r="F273" s="10"/>
      <c r="G273" s="10"/>
      <c r="H273" s="27"/>
      <c r="I273" s="9"/>
      <c r="J273" s="9"/>
      <c r="K273" s="9"/>
      <c r="L273" s="9"/>
      <c r="M273" s="25"/>
      <c r="N273" s="25"/>
      <c r="O273" s="27"/>
      <c r="P273" s="27"/>
      <c r="Q273" s="27"/>
      <c r="R273" s="25"/>
      <c r="S273" s="25"/>
      <c r="T273" s="10"/>
      <c r="U273" s="9"/>
      <c r="V273" s="9"/>
      <c r="W273" s="9"/>
      <c r="X273" s="9"/>
      <c r="Y273" s="9"/>
      <c r="Z273" s="9"/>
      <c r="AA273" s="9"/>
      <c r="AB273" s="9"/>
      <c r="AC273" s="9"/>
      <c r="AD273" s="27"/>
      <c r="AE273" s="42"/>
      <c r="AF273" s="27"/>
      <c r="AG273" s="42"/>
      <c r="AH273" s="27"/>
      <c r="AI273" s="9"/>
      <c r="AJ273" s="9"/>
      <c r="AK273" s="9"/>
      <c r="AM273" s="43"/>
      <c r="AN273" s="43"/>
      <c r="AQ273" s="34"/>
      <c r="AR273" s="34"/>
      <c r="AS273" s="34"/>
      <c r="AT273" s="34"/>
    </row>
    <row r="274" spans="1:46" s="11" customFormat="1" x14ac:dyDescent="0.25">
      <c r="A274" s="23"/>
      <c r="B274" s="9"/>
      <c r="C274" s="9"/>
      <c r="D274" s="9"/>
      <c r="E274" s="9"/>
      <c r="F274" s="10"/>
      <c r="G274" s="10"/>
      <c r="H274" s="27"/>
      <c r="I274" s="9"/>
      <c r="J274" s="9"/>
      <c r="K274" s="9"/>
      <c r="L274" s="9"/>
      <c r="M274" s="25"/>
      <c r="N274" s="25"/>
      <c r="O274" s="27"/>
      <c r="P274" s="27"/>
      <c r="Q274" s="27"/>
      <c r="R274" s="25"/>
      <c r="S274" s="25"/>
      <c r="T274" s="10"/>
      <c r="U274" s="9"/>
      <c r="V274" s="9"/>
      <c r="W274" s="9"/>
      <c r="X274" s="9"/>
      <c r="Y274" s="9"/>
      <c r="Z274" s="9"/>
      <c r="AA274" s="9"/>
      <c r="AB274" s="9"/>
      <c r="AC274" s="9"/>
      <c r="AD274" s="27"/>
      <c r="AE274" s="42"/>
      <c r="AF274" s="27"/>
      <c r="AG274" s="42"/>
      <c r="AH274" s="27"/>
      <c r="AI274" s="9"/>
      <c r="AJ274" s="9"/>
      <c r="AK274" s="9"/>
      <c r="AM274" s="43"/>
      <c r="AN274" s="43"/>
      <c r="AQ274" s="34"/>
      <c r="AR274" s="34"/>
      <c r="AS274" s="34"/>
      <c r="AT274" s="34"/>
    </row>
    <row r="275" spans="1:46" s="11" customFormat="1" x14ac:dyDescent="0.25">
      <c r="A275" s="23"/>
      <c r="B275" s="9"/>
      <c r="C275" s="9"/>
      <c r="D275" s="9"/>
      <c r="E275" s="9"/>
      <c r="F275" s="10"/>
      <c r="G275" s="10"/>
      <c r="H275" s="27"/>
      <c r="I275" s="9"/>
      <c r="J275" s="9"/>
      <c r="K275" s="9"/>
      <c r="L275" s="9"/>
      <c r="M275" s="25"/>
      <c r="N275" s="25"/>
      <c r="O275" s="27"/>
      <c r="P275" s="27"/>
      <c r="Q275" s="27"/>
      <c r="R275" s="25"/>
      <c r="S275" s="25"/>
      <c r="T275" s="10"/>
      <c r="U275" s="9"/>
      <c r="V275" s="9"/>
      <c r="W275" s="9"/>
      <c r="X275" s="9"/>
      <c r="Y275" s="9"/>
      <c r="Z275" s="9"/>
      <c r="AA275" s="9"/>
      <c r="AB275" s="9"/>
      <c r="AC275" s="9"/>
      <c r="AD275" s="27"/>
      <c r="AE275" s="42"/>
      <c r="AF275" s="27"/>
      <c r="AG275" s="42"/>
      <c r="AH275" s="27"/>
      <c r="AI275" s="9"/>
      <c r="AJ275" s="9"/>
      <c r="AK275" s="9"/>
      <c r="AM275" s="43"/>
      <c r="AN275" s="43"/>
      <c r="AQ275" s="34"/>
      <c r="AR275" s="34"/>
      <c r="AS275" s="34"/>
      <c r="AT275" s="34"/>
    </row>
    <row r="276" spans="1:46" s="11" customFormat="1" x14ac:dyDescent="0.25">
      <c r="A276" s="23"/>
      <c r="B276" s="9"/>
      <c r="C276" s="9"/>
      <c r="D276" s="9"/>
      <c r="E276" s="9"/>
      <c r="F276" s="10"/>
      <c r="G276" s="10"/>
      <c r="H276" s="27"/>
      <c r="I276" s="9"/>
      <c r="J276" s="9"/>
      <c r="K276" s="9"/>
      <c r="L276" s="9"/>
      <c r="M276" s="25"/>
      <c r="N276" s="25"/>
      <c r="O276" s="27"/>
      <c r="P276" s="27"/>
      <c r="Q276" s="27"/>
      <c r="R276" s="25"/>
      <c r="S276" s="25"/>
      <c r="T276" s="10"/>
      <c r="U276" s="9"/>
      <c r="V276" s="9"/>
      <c r="W276" s="9"/>
      <c r="X276" s="9"/>
      <c r="Y276" s="9"/>
      <c r="Z276" s="9"/>
      <c r="AA276" s="9"/>
      <c r="AB276" s="9"/>
      <c r="AC276" s="9"/>
      <c r="AD276" s="27"/>
      <c r="AE276" s="42"/>
      <c r="AF276" s="27"/>
      <c r="AG276" s="42"/>
      <c r="AH276" s="27"/>
      <c r="AI276" s="9"/>
      <c r="AJ276" s="9"/>
      <c r="AK276" s="9"/>
      <c r="AM276" s="43"/>
      <c r="AN276" s="43"/>
      <c r="AQ276" s="34"/>
      <c r="AR276" s="34"/>
      <c r="AS276" s="34"/>
      <c r="AT276" s="34"/>
    </row>
    <row r="277" spans="1:46" s="11" customFormat="1" x14ac:dyDescent="0.25">
      <c r="A277" s="23"/>
      <c r="B277" s="9"/>
      <c r="C277" s="9"/>
      <c r="D277" s="9"/>
      <c r="E277" s="9"/>
      <c r="F277" s="10"/>
      <c r="G277" s="10"/>
      <c r="H277" s="27"/>
      <c r="I277" s="9"/>
      <c r="J277" s="9"/>
      <c r="K277" s="9"/>
      <c r="L277" s="9"/>
      <c r="M277" s="25"/>
      <c r="N277" s="25"/>
      <c r="O277" s="27"/>
      <c r="P277" s="27"/>
      <c r="Q277" s="27"/>
      <c r="R277" s="25"/>
      <c r="S277" s="25"/>
      <c r="T277" s="10"/>
      <c r="U277" s="9"/>
      <c r="V277" s="9"/>
      <c r="W277" s="9"/>
      <c r="X277" s="9"/>
      <c r="Y277" s="9"/>
      <c r="Z277" s="9"/>
      <c r="AA277" s="9"/>
      <c r="AB277" s="9"/>
      <c r="AC277" s="9"/>
      <c r="AD277" s="27"/>
      <c r="AE277" s="42"/>
      <c r="AF277" s="27"/>
      <c r="AG277" s="42"/>
      <c r="AH277" s="27"/>
      <c r="AI277" s="9"/>
      <c r="AJ277" s="9"/>
      <c r="AK277" s="9"/>
      <c r="AM277" s="43"/>
      <c r="AN277" s="43"/>
      <c r="AQ277" s="34"/>
      <c r="AR277" s="34"/>
      <c r="AS277" s="34"/>
      <c r="AT277" s="34"/>
    </row>
    <row r="278" spans="1:46" s="11" customFormat="1" x14ac:dyDescent="0.25">
      <c r="A278" s="23"/>
      <c r="B278" s="9"/>
      <c r="C278" s="9"/>
      <c r="D278" s="9"/>
      <c r="E278" s="9"/>
      <c r="F278" s="10"/>
      <c r="G278" s="10"/>
      <c r="H278" s="27"/>
      <c r="I278" s="9"/>
      <c r="J278" s="9"/>
      <c r="K278" s="9"/>
      <c r="L278" s="9"/>
      <c r="M278" s="25"/>
      <c r="N278" s="25"/>
      <c r="O278" s="27"/>
      <c r="P278" s="27"/>
      <c r="Q278" s="27"/>
      <c r="R278" s="25"/>
      <c r="S278" s="25"/>
      <c r="T278" s="10"/>
      <c r="U278" s="9"/>
      <c r="V278" s="9"/>
      <c r="W278" s="9"/>
      <c r="X278" s="9"/>
      <c r="Y278" s="9"/>
      <c r="Z278" s="9"/>
      <c r="AA278" s="9"/>
      <c r="AB278" s="9"/>
      <c r="AC278" s="9"/>
      <c r="AD278" s="27"/>
      <c r="AE278" s="42"/>
      <c r="AF278" s="27"/>
      <c r="AG278" s="42"/>
      <c r="AH278" s="27"/>
      <c r="AI278" s="9"/>
      <c r="AJ278" s="9"/>
      <c r="AK278" s="9"/>
      <c r="AM278" s="43"/>
      <c r="AN278" s="43"/>
      <c r="AQ278" s="34"/>
      <c r="AR278" s="34"/>
      <c r="AS278" s="34"/>
      <c r="AT278" s="34"/>
    </row>
    <row r="279" spans="1:46" s="11" customFormat="1" x14ac:dyDescent="0.25">
      <c r="A279" s="23"/>
      <c r="B279" s="9"/>
      <c r="C279" s="9"/>
      <c r="D279" s="9"/>
      <c r="E279" s="9"/>
      <c r="F279" s="10"/>
      <c r="G279" s="10"/>
      <c r="H279" s="27"/>
      <c r="I279" s="9"/>
      <c r="J279" s="9"/>
      <c r="K279" s="9"/>
      <c r="L279" s="9"/>
      <c r="M279" s="25"/>
      <c r="N279" s="25"/>
      <c r="O279" s="27"/>
      <c r="P279" s="27"/>
      <c r="Q279" s="27"/>
      <c r="R279" s="25"/>
      <c r="S279" s="25"/>
      <c r="T279" s="10"/>
      <c r="U279" s="9"/>
      <c r="V279" s="9"/>
      <c r="W279" s="9"/>
      <c r="X279" s="9"/>
      <c r="Y279" s="9"/>
      <c r="Z279" s="9"/>
      <c r="AA279" s="9"/>
      <c r="AB279" s="9"/>
      <c r="AC279" s="9"/>
      <c r="AD279" s="27"/>
      <c r="AE279" s="42"/>
      <c r="AF279" s="27"/>
      <c r="AG279" s="42"/>
      <c r="AH279" s="27"/>
      <c r="AI279" s="9"/>
      <c r="AJ279" s="9"/>
      <c r="AK279" s="9"/>
      <c r="AM279" s="43"/>
      <c r="AN279" s="43"/>
      <c r="AQ279" s="34"/>
      <c r="AR279" s="34"/>
      <c r="AS279" s="34"/>
      <c r="AT279" s="34"/>
    </row>
    <row r="280" spans="1:46" s="11" customFormat="1" x14ac:dyDescent="0.25">
      <c r="A280" s="23"/>
      <c r="B280" s="9"/>
      <c r="C280" s="9"/>
      <c r="D280" s="9"/>
      <c r="E280" s="9"/>
      <c r="F280" s="10"/>
      <c r="G280" s="10"/>
      <c r="H280" s="27"/>
      <c r="I280" s="9"/>
      <c r="J280" s="9"/>
      <c r="K280" s="9"/>
      <c r="L280" s="9"/>
      <c r="M280" s="25"/>
      <c r="N280" s="25"/>
      <c r="O280" s="27"/>
      <c r="P280" s="27"/>
      <c r="Q280" s="27"/>
      <c r="R280" s="25"/>
      <c r="S280" s="25"/>
      <c r="T280" s="10"/>
      <c r="U280" s="9"/>
      <c r="V280" s="9"/>
      <c r="W280" s="9"/>
      <c r="X280" s="9"/>
      <c r="Y280" s="9"/>
      <c r="Z280" s="9"/>
      <c r="AA280" s="9"/>
      <c r="AB280" s="9"/>
      <c r="AC280" s="9"/>
      <c r="AD280" s="27"/>
      <c r="AE280" s="42"/>
      <c r="AF280" s="27"/>
      <c r="AG280" s="42"/>
      <c r="AH280" s="27"/>
      <c r="AI280" s="9"/>
      <c r="AJ280" s="9"/>
      <c r="AK280" s="9"/>
      <c r="AM280" s="43"/>
      <c r="AN280" s="43"/>
      <c r="AQ280" s="34"/>
      <c r="AR280" s="34"/>
      <c r="AS280" s="34"/>
      <c r="AT280" s="34"/>
    </row>
    <row r="281" spans="1:46" s="11" customFormat="1" x14ac:dyDescent="0.25">
      <c r="A281" s="23"/>
      <c r="B281" s="9"/>
      <c r="C281" s="9"/>
      <c r="D281" s="9"/>
      <c r="E281" s="9"/>
      <c r="F281" s="10"/>
      <c r="G281" s="10"/>
      <c r="H281" s="27"/>
      <c r="I281" s="9"/>
      <c r="J281" s="9"/>
      <c r="K281" s="9"/>
      <c r="L281" s="9"/>
      <c r="M281" s="25"/>
      <c r="N281" s="25"/>
      <c r="O281" s="27"/>
      <c r="P281" s="27"/>
      <c r="Q281" s="27"/>
      <c r="R281" s="25"/>
      <c r="S281" s="25"/>
      <c r="T281" s="10"/>
      <c r="U281" s="9"/>
      <c r="V281" s="9"/>
      <c r="W281" s="9"/>
      <c r="X281" s="9"/>
      <c r="Y281" s="9"/>
      <c r="Z281" s="9"/>
      <c r="AA281" s="9"/>
      <c r="AB281" s="9"/>
      <c r="AC281" s="9"/>
      <c r="AD281" s="27"/>
      <c r="AE281" s="42"/>
      <c r="AF281" s="27"/>
      <c r="AG281" s="42"/>
      <c r="AH281" s="27"/>
      <c r="AI281" s="9"/>
      <c r="AJ281" s="9"/>
      <c r="AK281" s="9"/>
      <c r="AM281" s="43"/>
      <c r="AN281" s="43"/>
      <c r="AQ281" s="34"/>
      <c r="AR281" s="34"/>
      <c r="AS281" s="34"/>
      <c r="AT281" s="34"/>
    </row>
    <row r="282" spans="1:46" s="11" customFormat="1" x14ac:dyDescent="0.25">
      <c r="A282" s="23"/>
      <c r="B282" s="9"/>
      <c r="C282" s="9"/>
      <c r="D282" s="9"/>
      <c r="E282" s="9"/>
      <c r="F282" s="10"/>
      <c r="G282" s="10"/>
      <c r="H282" s="27"/>
      <c r="I282" s="9"/>
      <c r="J282" s="9"/>
      <c r="K282" s="9"/>
      <c r="L282" s="9"/>
      <c r="M282" s="25"/>
      <c r="N282" s="25"/>
      <c r="O282" s="27"/>
      <c r="P282" s="27"/>
      <c r="Q282" s="27"/>
      <c r="R282" s="25"/>
      <c r="S282" s="25"/>
      <c r="T282" s="10"/>
      <c r="U282" s="9"/>
      <c r="V282" s="9"/>
      <c r="W282" s="9"/>
      <c r="X282" s="9"/>
      <c r="Y282" s="9"/>
      <c r="Z282" s="9"/>
      <c r="AA282" s="9"/>
      <c r="AB282" s="9"/>
      <c r="AC282" s="9"/>
      <c r="AD282" s="27"/>
      <c r="AE282" s="42"/>
      <c r="AF282" s="27"/>
      <c r="AG282" s="42"/>
      <c r="AH282" s="27"/>
      <c r="AI282" s="9"/>
      <c r="AJ282" s="9"/>
      <c r="AK282" s="9"/>
      <c r="AM282" s="43"/>
      <c r="AN282" s="43"/>
      <c r="AQ282" s="34"/>
      <c r="AR282" s="34"/>
      <c r="AS282" s="34"/>
      <c r="AT282" s="34"/>
    </row>
    <row r="283" spans="1:46" s="11" customFormat="1" x14ac:dyDescent="0.25">
      <c r="A283" s="23"/>
      <c r="B283" s="9"/>
      <c r="C283" s="9"/>
      <c r="D283" s="9"/>
      <c r="E283" s="9"/>
      <c r="F283" s="10"/>
      <c r="G283" s="10"/>
      <c r="H283" s="27"/>
      <c r="I283" s="9"/>
      <c r="J283" s="9"/>
      <c r="K283" s="9"/>
      <c r="L283" s="9"/>
      <c r="M283" s="25"/>
      <c r="N283" s="25"/>
      <c r="O283" s="27"/>
      <c r="P283" s="27"/>
      <c r="Q283" s="27"/>
      <c r="R283" s="25"/>
      <c r="S283" s="25"/>
      <c r="T283" s="10"/>
      <c r="U283" s="9"/>
      <c r="V283" s="9"/>
      <c r="W283" s="9"/>
      <c r="X283" s="9"/>
      <c r="Y283" s="9"/>
      <c r="Z283" s="9"/>
      <c r="AA283" s="9"/>
      <c r="AB283" s="9"/>
      <c r="AC283" s="9"/>
      <c r="AD283" s="27"/>
      <c r="AE283" s="42"/>
      <c r="AF283" s="27"/>
      <c r="AG283" s="42"/>
      <c r="AH283" s="27"/>
      <c r="AI283" s="9"/>
      <c r="AJ283" s="9"/>
      <c r="AK283" s="9"/>
      <c r="AM283" s="43"/>
      <c r="AN283" s="43"/>
      <c r="AQ283" s="34"/>
      <c r="AR283" s="34"/>
      <c r="AS283" s="34"/>
      <c r="AT283" s="34"/>
    </row>
    <row r="284" spans="1:46" s="11" customFormat="1" x14ac:dyDescent="0.25">
      <c r="A284" s="23"/>
      <c r="B284" s="9"/>
      <c r="C284" s="9"/>
      <c r="D284" s="9"/>
      <c r="E284" s="9"/>
      <c r="F284" s="10"/>
      <c r="G284" s="10"/>
      <c r="H284" s="27"/>
      <c r="I284" s="9"/>
      <c r="J284" s="9"/>
      <c r="K284" s="9"/>
      <c r="L284" s="9"/>
      <c r="M284" s="25"/>
      <c r="N284" s="25"/>
      <c r="O284" s="27"/>
      <c r="P284" s="27"/>
      <c r="Q284" s="27"/>
      <c r="R284" s="25"/>
      <c r="S284" s="25"/>
      <c r="T284" s="10"/>
      <c r="U284" s="9"/>
      <c r="V284" s="9"/>
      <c r="W284" s="9"/>
      <c r="X284" s="9"/>
      <c r="Y284" s="9"/>
      <c r="Z284" s="9"/>
      <c r="AA284" s="9"/>
      <c r="AB284" s="9"/>
      <c r="AC284" s="9"/>
      <c r="AD284" s="27"/>
      <c r="AE284" s="42"/>
      <c r="AF284" s="27"/>
      <c r="AG284" s="42"/>
      <c r="AH284" s="27"/>
      <c r="AI284" s="9"/>
      <c r="AJ284" s="9"/>
      <c r="AK284" s="9"/>
      <c r="AM284" s="43"/>
      <c r="AN284" s="43"/>
      <c r="AQ284" s="34"/>
      <c r="AR284" s="34"/>
      <c r="AS284" s="34"/>
      <c r="AT284" s="34"/>
    </row>
    <row r="285" spans="1:46" s="11" customFormat="1" x14ac:dyDescent="0.25">
      <c r="A285" s="23"/>
      <c r="B285" s="9"/>
      <c r="C285" s="9"/>
      <c r="D285" s="9"/>
      <c r="E285" s="9"/>
      <c r="F285" s="10"/>
      <c r="G285" s="10"/>
      <c r="H285" s="27"/>
      <c r="I285" s="9"/>
      <c r="J285" s="9"/>
      <c r="K285" s="9"/>
      <c r="L285" s="9"/>
      <c r="M285" s="25"/>
      <c r="N285" s="25"/>
      <c r="O285" s="27"/>
      <c r="P285" s="27"/>
      <c r="Q285" s="27"/>
      <c r="R285" s="25"/>
      <c r="S285" s="25"/>
      <c r="T285" s="10"/>
      <c r="U285" s="9"/>
      <c r="V285" s="9"/>
      <c r="W285" s="9"/>
      <c r="X285" s="9"/>
      <c r="Y285" s="9"/>
      <c r="Z285" s="9"/>
      <c r="AA285" s="9"/>
      <c r="AB285" s="9"/>
      <c r="AC285" s="9"/>
      <c r="AD285" s="27"/>
      <c r="AE285" s="42"/>
      <c r="AF285" s="27"/>
      <c r="AG285" s="42"/>
      <c r="AH285" s="27"/>
      <c r="AI285" s="9"/>
      <c r="AJ285" s="9"/>
      <c r="AK285" s="9"/>
      <c r="AM285" s="43"/>
      <c r="AN285" s="43"/>
      <c r="AQ285" s="34"/>
      <c r="AR285" s="34"/>
      <c r="AS285" s="34"/>
      <c r="AT285" s="34"/>
    </row>
    <row r="286" spans="1:46" s="11" customFormat="1" x14ac:dyDescent="0.25">
      <c r="A286" s="23"/>
      <c r="B286" s="9"/>
      <c r="C286" s="9"/>
      <c r="D286" s="9"/>
      <c r="E286" s="9"/>
      <c r="F286" s="10"/>
      <c r="G286" s="10"/>
      <c r="H286" s="27"/>
      <c r="I286" s="9"/>
      <c r="J286" s="9"/>
      <c r="K286" s="9"/>
      <c r="L286" s="9"/>
      <c r="M286" s="25"/>
      <c r="N286" s="25"/>
      <c r="O286" s="27"/>
      <c r="P286" s="27"/>
      <c r="Q286" s="27"/>
      <c r="R286" s="25"/>
      <c r="S286" s="25"/>
      <c r="T286" s="10"/>
      <c r="U286" s="9"/>
      <c r="V286" s="9"/>
      <c r="W286" s="9"/>
      <c r="X286" s="9"/>
      <c r="Y286" s="9"/>
      <c r="Z286" s="9"/>
      <c r="AA286" s="9"/>
      <c r="AB286" s="9"/>
      <c r="AC286" s="9"/>
      <c r="AD286" s="27"/>
      <c r="AE286" s="42"/>
      <c r="AF286" s="27"/>
      <c r="AG286" s="42"/>
      <c r="AH286" s="27"/>
      <c r="AI286" s="9"/>
      <c r="AJ286" s="9"/>
      <c r="AK286" s="9"/>
      <c r="AM286" s="43"/>
      <c r="AN286" s="43"/>
      <c r="AQ286" s="34"/>
      <c r="AR286" s="34"/>
      <c r="AS286" s="34"/>
      <c r="AT286" s="34"/>
    </row>
    <row r="287" spans="1:46" s="11" customFormat="1" x14ac:dyDescent="0.25">
      <c r="A287" s="23"/>
      <c r="B287" s="9"/>
      <c r="C287" s="9"/>
      <c r="D287" s="9"/>
      <c r="E287" s="9"/>
      <c r="F287" s="10"/>
      <c r="G287" s="10"/>
      <c r="H287" s="27"/>
      <c r="I287" s="9"/>
      <c r="J287" s="9"/>
      <c r="K287" s="9"/>
      <c r="L287" s="9"/>
      <c r="M287" s="25"/>
      <c r="N287" s="25"/>
      <c r="O287" s="27"/>
      <c r="P287" s="27"/>
      <c r="Q287" s="27"/>
      <c r="R287" s="25"/>
      <c r="S287" s="25"/>
      <c r="T287" s="10"/>
      <c r="U287" s="9"/>
      <c r="V287" s="9"/>
      <c r="W287" s="9"/>
      <c r="X287" s="9"/>
      <c r="Y287" s="9"/>
      <c r="Z287" s="9"/>
      <c r="AA287" s="9"/>
      <c r="AB287" s="9"/>
      <c r="AC287" s="9"/>
      <c r="AD287" s="27"/>
      <c r="AE287" s="42"/>
      <c r="AF287" s="27"/>
      <c r="AG287" s="42"/>
      <c r="AH287" s="27"/>
      <c r="AI287" s="9"/>
      <c r="AJ287" s="9"/>
      <c r="AK287" s="9"/>
      <c r="AM287" s="43"/>
      <c r="AN287" s="43"/>
      <c r="AQ287" s="34"/>
      <c r="AR287" s="34"/>
      <c r="AS287" s="34"/>
      <c r="AT287" s="34"/>
    </row>
    <row r="288" spans="1:46" s="11" customFormat="1" x14ac:dyDescent="0.25">
      <c r="A288" s="23"/>
      <c r="B288" s="9"/>
      <c r="C288" s="9"/>
      <c r="D288" s="9"/>
      <c r="E288" s="9"/>
      <c r="F288" s="10"/>
      <c r="G288" s="10"/>
      <c r="H288" s="27"/>
      <c r="I288" s="9"/>
      <c r="J288" s="9"/>
      <c r="K288" s="9"/>
      <c r="L288" s="9"/>
      <c r="M288" s="25"/>
      <c r="N288" s="25"/>
      <c r="O288" s="27"/>
      <c r="P288" s="27"/>
      <c r="Q288" s="27"/>
      <c r="R288" s="25"/>
      <c r="S288" s="25"/>
      <c r="T288" s="10"/>
      <c r="U288" s="9"/>
      <c r="V288" s="9"/>
      <c r="W288" s="9"/>
      <c r="X288" s="9"/>
      <c r="Y288" s="9"/>
      <c r="Z288" s="9"/>
      <c r="AA288" s="9"/>
      <c r="AB288" s="9"/>
      <c r="AC288" s="9"/>
      <c r="AD288" s="27"/>
      <c r="AE288" s="42"/>
      <c r="AF288" s="27"/>
      <c r="AG288" s="42"/>
      <c r="AH288" s="27"/>
      <c r="AI288" s="9"/>
      <c r="AJ288" s="9"/>
      <c r="AK288" s="9"/>
      <c r="AM288" s="43"/>
      <c r="AN288" s="43"/>
      <c r="AQ288" s="34"/>
      <c r="AR288" s="34"/>
      <c r="AS288" s="34"/>
      <c r="AT288" s="34"/>
    </row>
    <row r="289" spans="1:46" s="11" customFormat="1" x14ac:dyDescent="0.25">
      <c r="A289" s="23"/>
      <c r="B289" s="9"/>
      <c r="C289" s="9"/>
      <c r="D289" s="9"/>
      <c r="E289" s="9"/>
      <c r="F289" s="10"/>
      <c r="G289" s="10"/>
      <c r="H289" s="27"/>
      <c r="I289" s="9"/>
      <c r="J289" s="9"/>
      <c r="K289" s="9"/>
      <c r="L289" s="9"/>
      <c r="M289" s="25"/>
      <c r="N289" s="25"/>
      <c r="O289" s="27"/>
      <c r="P289" s="27"/>
      <c r="Q289" s="27"/>
      <c r="R289" s="25"/>
      <c r="S289" s="25"/>
      <c r="T289" s="10"/>
      <c r="U289" s="9"/>
      <c r="V289" s="9"/>
      <c r="W289" s="9"/>
      <c r="X289" s="9"/>
      <c r="Y289" s="9"/>
      <c r="Z289" s="9"/>
      <c r="AA289" s="9"/>
      <c r="AB289" s="9"/>
      <c r="AC289" s="9"/>
      <c r="AD289" s="27"/>
      <c r="AE289" s="42"/>
      <c r="AF289" s="27"/>
      <c r="AG289" s="42"/>
      <c r="AH289" s="27"/>
      <c r="AI289" s="9"/>
      <c r="AJ289" s="9"/>
      <c r="AK289" s="9"/>
      <c r="AM289" s="43"/>
      <c r="AN289" s="43"/>
      <c r="AQ289" s="34"/>
      <c r="AR289" s="34"/>
      <c r="AS289" s="34"/>
      <c r="AT289" s="34"/>
    </row>
    <row r="290" spans="1:46" s="11" customFormat="1" x14ac:dyDescent="0.25">
      <c r="A290" s="23"/>
      <c r="B290" s="9"/>
      <c r="C290" s="9"/>
      <c r="D290" s="9"/>
      <c r="E290" s="9"/>
      <c r="F290" s="10"/>
      <c r="G290" s="10"/>
      <c r="H290" s="27"/>
      <c r="I290" s="9"/>
      <c r="J290" s="9"/>
      <c r="K290" s="9"/>
      <c r="L290" s="9"/>
      <c r="M290" s="25"/>
      <c r="N290" s="25"/>
      <c r="O290" s="27"/>
      <c r="P290" s="27"/>
      <c r="Q290" s="27"/>
      <c r="R290" s="25"/>
      <c r="S290" s="25"/>
      <c r="T290" s="10"/>
      <c r="U290" s="9"/>
      <c r="V290" s="9"/>
      <c r="W290" s="9"/>
      <c r="X290" s="9"/>
      <c r="Y290" s="9"/>
      <c r="Z290" s="9"/>
      <c r="AA290" s="9"/>
      <c r="AB290" s="9"/>
      <c r="AC290" s="9"/>
      <c r="AD290" s="27"/>
      <c r="AE290" s="42"/>
      <c r="AF290" s="27"/>
      <c r="AG290" s="42"/>
      <c r="AH290" s="27"/>
      <c r="AI290" s="9"/>
      <c r="AJ290" s="9"/>
      <c r="AK290" s="9"/>
      <c r="AM290" s="43"/>
      <c r="AN290" s="43"/>
      <c r="AQ290" s="34"/>
      <c r="AR290" s="34"/>
      <c r="AS290" s="34"/>
      <c r="AT290" s="34"/>
    </row>
    <row r="291" spans="1:46" s="11" customFormat="1" x14ac:dyDescent="0.25">
      <c r="A291" s="23"/>
      <c r="B291" s="9"/>
      <c r="C291" s="9"/>
      <c r="D291" s="9"/>
      <c r="E291" s="9"/>
      <c r="F291" s="10"/>
      <c r="G291" s="10"/>
      <c r="H291" s="27"/>
      <c r="I291" s="9"/>
      <c r="J291" s="9"/>
      <c r="K291" s="9"/>
      <c r="L291" s="9"/>
      <c r="M291" s="25"/>
      <c r="N291" s="25"/>
      <c r="O291" s="27"/>
      <c r="P291" s="27"/>
      <c r="Q291" s="27"/>
      <c r="R291" s="25"/>
      <c r="S291" s="25"/>
      <c r="T291" s="10"/>
      <c r="U291" s="9"/>
      <c r="V291" s="9"/>
      <c r="W291" s="9"/>
      <c r="X291" s="9"/>
      <c r="Y291" s="9"/>
      <c r="Z291" s="9"/>
      <c r="AA291" s="9"/>
      <c r="AB291" s="9"/>
      <c r="AC291" s="9"/>
      <c r="AD291" s="27"/>
      <c r="AE291" s="42"/>
      <c r="AF291" s="27"/>
      <c r="AG291" s="42"/>
      <c r="AH291" s="27"/>
      <c r="AI291" s="9"/>
      <c r="AJ291" s="9"/>
      <c r="AK291" s="9"/>
      <c r="AM291" s="43"/>
      <c r="AN291" s="43"/>
      <c r="AQ291" s="34"/>
      <c r="AR291" s="34"/>
      <c r="AS291" s="34"/>
      <c r="AT291" s="34"/>
    </row>
    <row r="292" spans="1:46" s="11" customFormat="1" x14ac:dyDescent="0.25">
      <c r="A292" s="23"/>
      <c r="B292" s="9"/>
      <c r="C292" s="9"/>
      <c r="D292" s="9"/>
      <c r="E292" s="9"/>
      <c r="F292" s="10"/>
      <c r="G292" s="10"/>
      <c r="H292" s="27"/>
      <c r="I292" s="9"/>
      <c r="J292" s="9"/>
      <c r="K292" s="9"/>
      <c r="L292" s="9"/>
      <c r="M292" s="25"/>
      <c r="N292" s="25"/>
      <c r="O292" s="27"/>
      <c r="P292" s="27"/>
      <c r="Q292" s="27"/>
      <c r="R292" s="25"/>
      <c r="S292" s="25"/>
      <c r="T292" s="10"/>
      <c r="U292" s="9"/>
      <c r="V292" s="9"/>
      <c r="W292" s="9"/>
      <c r="X292" s="9"/>
      <c r="Y292" s="9"/>
      <c r="Z292" s="9"/>
      <c r="AA292" s="9"/>
      <c r="AB292" s="9"/>
      <c r="AC292" s="9"/>
      <c r="AD292" s="27"/>
      <c r="AE292" s="42"/>
      <c r="AF292" s="27"/>
      <c r="AG292" s="42"/>
      <c r="AH292" s="27"/>
      <c r="AI292" s="9"/>
      <c r="AJ292" s="9"/>
      <c r="AK292" s="9"/>
      <c r="AM292" s="43"/>
      <c r="AN292" s="43"/>
      <c r="AQ292" s="34"/>
      <c r="AR292" s="34"/>
      <c r="AS292" s="34"/>
      <c r="AT292" s="34"/>
    </row>
    <row r="293" spans="1:46" s="11" customFormat="1" x14ac:dyDescent="0.25">
      <c r="A293" s="23"/>
      <c r="B293" s="9"/>
      <c r="C293" s="9"/>
      <c r="D293" s="9"/>
      <c r="E293" s="9"/>
      <c r="F293" s="10"/>
      <c r="G293" s="10"/>
      <c r="H293" s="27"/>
      <c r="I293" s="9"/>
      <c r="J293" s="9"/>
      <c r="K293" s="9"/>
      <c r="L293" s="9"/>
      <c r="M293" s="25"/>
      <c r="N293" s="25"/>
      <c r="O293" s="27"/>
      <c r="P293" s="27"/>
      <c r="Q293" s="27"/>
      <c r="R293" s="25"/>
      <c r="S293" s="25"/>
      <c r="T293" s="10"/>
      <c r="U293" s="9"/>
      <c r="V293" s="9"/>
      <c r="W293" s="9"/>
      <c r="X293" s="9"/>
      <c r="Y293" s="9"/>
      <c r="Z293" s="9"/>
      <c r="AA293" s="9"/>
      <c r="AB293" s="9"/>
      <c r="AC293" s="9"/>
      <c r="AD293" s="27"/>
      <c r="AE293" s="42"/>
      <c r="AF293" s="27"/>
      <c r="AG293" s="42"/>
      <c r="AH293" s="27"/>
      <c r="AI293" s="9"/>
      <c r="AJ293" s="9"/>
      <c r="AK293" s="9"/>
      <c r="AM293" s="43"/>
      <c r="AN293" s="43"/>
      <c r="AQ293" s="34"/>
      <c r="AR293" s="34"/>
      <c r="AS293" s="34"/>
      <c r="AT293" s="34"/>
    </row>
    <row r="294" spans="1:46" s="11" customFormat="1" x14ac:dyDescent="0.25">
      <c r="A294" s="23"/>
      <c r="B294" s="9"/>
      <c r="C294" s="9"/>
      <c r="D294" s="9"/>
      <c r="E294" s="9"/>
      <c r="F294" s="10"/>
      <c r="G294" s="10"/>
      <c r="H294" s="27"/>
      <c r="I294" s="9"/>
      <c r="J294" s="9"/>
      <c r="K294" s="9"/>
      <c r="L294" s="9"/>
      <c r="M294" s="25"/>
      <c r="N294" s="25"/>
      <c r="O294" s="27"/>
      <c r="P294" s="27"/>
      <c r="Q294" s="27"/>
      <c r="R294" s="25"/>
      <c r="S294" s="25"/>
      <c r="T294" s="10"/>
      <c r="U294" s="9"/>
      <c r="V294" s="9"/>
      <c r="W294" s="9"/>
      <c r="X294" s="9"/>
      <c r="Y294" s="9"/>
      <c r="Z294" s="9"/>
      <c r="AA294" s="9"/>
      <c r="AB294" s="9"/>
      <c r="AC294" s="9"/>
      <c r="AD294" s="27"/>
      <c r="AE294" s="42"/>
      <c r="AF294" s="27"/>
      <c r="AG294" s="42"/>
      <c r="AH294" s="27"/>
      <c r="AI294" s="9"/>
      <c r="AJ294" s="9"/>
      <c r="AK294" s="9"/>
      <c r="AM294" s="43"/>
      <c r="AN294" s="43"/>
      <c r="AQ294" s="34"/>
      <c r="AR294" s="34"/>
      <c r="AS294" s="34"/>
      <c r="AT294" s="34"/>
    </row>
    <row r="295" spans="1:46" s="11" customFormat="1" x14ac:dyDescent="0.25">
      <c r="A295" s="23"/>
      <c r="B295" s="9"/>
      <c r="C295" s="9"/>
      <c r="D295" s="9"/>
      <c r="E295" s="9"/>
      <c r="F295" s="10"/>
      <c r="G295" s="10"/>
      <c r="H295" s="27"/>
      <c r="I295" s="9"/>
      <c r="J295" s="9"/>
      <c r="K295" s="9"/>
      <c r="L295" s="9"/>
      <c r="M295" s="25"/>
      <c r="N295" s="25"/>
      <c r="O295" s="27"/>
      <c r="P295" s="27"/>
      <c r="Q295" s="27"/>
      <c r="R295" s="25"/>
      <c r="S295" s="25"/>
      <c r="T295" s="10"/>
      <c r="U295" s="9"/>
      <c r="V295" s="9"/>
      <c r="W295" s="9"/>
      <c r="X295" s="9"/>
      <c r="Y295" s="9"/>
      <c r="Z295" s="9"/>
      <c r="AA295" s="9"/>
      <c r="AB295" s="9"/>
      <c r="AC295" s="9"/>
      <c r="AD295" s="27"/>
      <c r="AE295" s="42"/>
      <c r="AF295" s="27"/>
      <c r="AG295" s="42"/>
      <c r="AH295" s="27"/>
      <c r="AI295" s="9"/>
      <c r="AJ295" s="9"/>
      <c r="AK295" s="9"/>
      <c r="AM295" s="43"/>
      <c r="AN295" s="43"/>
      <c r="AQ295" s="34"/>
      <c r="AR295" s="34"/>
      <c r="AS295" s="34"/>
      <c r="AT295" s="34"/>
    </row>
    <row r="296" spans="1:46" s="11" customFormat="1" x14ac:dyDescent="0.25">
      <c r="A296" s="23"/>
      <c r="B296" s="9"/>
      <c r="C296" s="9"/>
      <c r="D296" s="9"/>
      <c r="E296" s="9"/>
      <c r="F296" s="10"/>
      <c r="G296" s="10"/>
      <c r="H296" s="27"/>
      <c r="I296" s="9"/>
      <c r="J296" s="9"/>
      <c r="K296" s="9"/>
      <c r="L296" s="9"/>
      <c r="M296" s="25"/>
      <c r="N296" s="25"/>
      <c r="O296" s="27"/>
      <c r="P296" s="27"/>
      <c r="Q296" s="27"/>
      <c r="R296" s="25"/>
      <c r="S296" s="25"/>
      <c r="T296" s="10"/>
      <c r="U296" s="9"/>
      <c r="V296" s="9"/>
      <c r="W296" s="9"/>
      <c r="X296" s="9"/>
      <c r="Y296" s="9"/>
      <c r="Z296" s="9"/>
      <c r="AA296" s="9"/>
      <c r="AB296" s="9"/>
      <c r="AC296" s="9"/>
      <c r="AD296" s="27"/>
      <c r="AE296" s="42"/>
      <c r="AF296" s="27"/>
      <c r="AG296" s="42"/>
      <c r="AH296" s="27"/>
      <c r="AI296" s="9"/>
      <c r="AJ296" s="9"/>
      <c r="AK296" s="9"/>
      <c r="AM296" s="43"/>
      <c r="AN296" s="43"/>
      <c r="AQ296" s="34"/>
      <c r="AR296" s="34"/>
      <c r="AS296" s="34"/>
      <c r="AT296" s="34"/>
    </row>
    <row r="297" spans="1:46" s="11" customFormat="1" x14ac:dyDescent="0.25">
      <c r="A297" s="23"/>
      <c r="B297" s="9"/>
      <c r="C297" s="9"/>
      <c r="D297" s="9"/>
      <c r="E297" s="9"/>
      <c r="F297" s="10"/>
      <c r="G297" s="10"/>
      <c r="H297" s="27"/>
      <c r="I297" s="9"/>
      <c r="J297" s="9"/>
      <c r="K297" s="9"/>
      <c r="L297" s="9"/>
      <c r="M297" s="25"/>
      <c r="N297" s="25"/>
      <c r="O297" s="27"/>
      <c r="P297" s="27"/>
      <c r="Q297" s="27"/>
      <c r="R297" s="25"/>
      <c r="S297" s="25"/>
      <c r="T297" s="10"/>
      <c r="U297" s="9"/>
      <c r="V297" s="9"/>
      <c r="W297" s="9"/>
      <c r="X297" s="9"/>
      <c r="Y297" s="9"/>
      <c r="Z297" s="9"/>
      <c r="AA297" s="9"/>
      <c r="AB297" s="9"/>
      <c r="AC297" s="9"/>
      <c r="AD297" s="27"/>
      <c r="AE297" s="42"/>
      <c r="AF297" s="27"/>
      <c r="AG297" s="42"/>
      <c r="AH297" s="27"/>
      <c r="AI297" s="9"/>
      <c r="AJ297" s="9"/>
      <c r="AK297" s="9"/>
      <c r="AM297" s="43"/>
      <c r="AN297" s="43"/>
      <c r="AQ297" s="34"/>
      <c r="AR297" s="34"/>
      <c r="AS297" s="34"/>
      <c r="AT297" s="34"/>
    </row>
    <row r="298" spans="1:46" s="11" customFormat="1" x14ac:dyDescent="0.25">
      <c r="A298" s="23"/>
      <c r="B298" s="9"/>
      <c r="C298" s="9"/>
      <c r="D298" s="9"/>
      <c r="E298" s="9"/>
      <c r="F298" s="10"/>
      <c r="G298" s="10"/>
      <c r="H298" s="27"/>
      <c r="I298" s="9"/>
      <c r="J298" s="9"/>
      <c r="K298" s="9"/>
      <c r="L298" s="9"/>
      <c r="M298" s="25"/>
      <c r="N298" s="25"/>
      <c r="O298" s="27"/>
      <c r="P298" s="27"/>
      <c r="Q298" s="27"/>
      <c r="R298" s="25"/>
      <c r="S298" s="25"/>
      <c r="T298" s="10"/>
      <c r="U298" s="9"/>
      <c r="V298" s="9"/>
      <c r="W298" s="9"/>
      <c r="X298" s="9"/>
      <c r="Y298" s="9"/>
      <c r="Z298" s="9"/>
      <c r="AA298" s="9"/>
      <c r="AB298" s="9"/>
      <c r="AC298" s="9"/>
      <c r="AD298" s="27"/>
      <c r="AE298" s="42"/>
      <c r="AF298" s="27"/>
      <c r="AG298" s="42"/>
      <c r="AH298" s="27"/>
      <c r="AI298" s="9"/>
      <c r="AJ298" s="9"/>
      <c r="AK298" s="9"/>
      <c r="AM298" s="43"/>
      <c r="AN298" s="43"/>
      <c r="AQ298" s="34"/>
      <c r="AR298" s="34"/>
      <c r="AS298" s="34"/>
      <c r="AT298" s="34"/>
    </row>
    <row r="299" spans="1:46" s="11" customFormat="1" x14ac:dyDescent="0.25">
      <c r="A299" s="23"/>
      <c r="B299" s="9"/>
      <c r="C299" s="9"/>
      <c r="D299" s="9"/>
      <c r="E299" s="9"/>
      <c r="F299" s="10"/>
      <c r="G299" s="10"/>
      <c r="H299" s="27"/>
      <c r="I299" s="9"/>
      <c r="J299" s="9"/>
      <c r="K299" s="9"/>
      <c r="L299" s="9"/>
      <c r="M299" s="25"/>
      <c r="N299" s="25"/>
      <c r="O299" s="27"/>
      <c r="P299" s="27"/>
      <c r="Q299" s="27"/>
      <c r="R299" s="25"/>
      <c r="S299" s="25"/>
      <c r="T299" s="10"/>
      <c r="U299" s="9"/>
      <c r="V299" s="9"/>
      <c r="W299" s="9"/>
      <c r="X299" s="9"/>
      <c r="Y299" s="9"/>
      <c r="Z299" s="9"/>
      <c r="AA299" s="9"/>
      <c r="AB299" s="9"/>
      <c r="AC299" s="9"/>
      <c r="AD299" s="27"/>
      <c r="AE299" s="42"/>
      <c r="AF299" s="27"/>
      <c r="AG299" s="42"/>
      <c r="AH299" s="27"/>
      <c r="AI299" s="9"/>
      <c r="AJ299" s="9"/>
      <c r="AK299" s="9"/>
      <c r="AM299" s="43"/>
      <c r="AN299" s="43"/>
      <c r="AQ299" s="34"/>
      <c r="AR299" s="34"/>
      <c r="AS299" s="34"/>
      <c r="AT299" s="34"/>
    </row>
    <row r="300" spans="1:46" s="11" customFormat="1" x14ac:dyDescent="0.25">
      <c r="A300" s="23"/>
      <c r="B300" s="9"/>
      <c r="C300" s="9"/>
      <c r="D300" s="9"/>
      <c r="E300" s="9"/>
      <c r="F300" s="10"/>
      <c r="G300" s="10"/>
      <c r="H300" s="27"/>
      <c r="I300" s="9"/>
      <c r="J300" s="9"/>
      <c r="K300" s="9"/>
      <c r="L300" s="9"/>
      <c r="M300" s="25"/>
      <c r="N300" s="25"/>
      <c r="O300" s="27"/>
      <c r="P300" s="27"/>
      <c r="Q300" s="27"/>
      <c r="R300" s="25"/>
      <c r="S300" s="25"/>
      <c r="T300" s="10"/>
      <c r="U300" s="9"/>
      <c r="V300" s="9"/>
      <c r="W300" s="9"/>
      <c r="X300" s="9"/>
      <c r="Y300" s="9"/>
      <c r="Z300" s="9"/>
      <c r="AA300" s="9"/>
      <c r="AB300" s="9"/>
      <c r="AC300" s="9"/>
      <c r="AD300" s="27"/>
      <c r="AE300" s="42"/>
      <c r="AF300" s="27"/>
      <c r="AG300" s="42"/>
      <c r="AH300" s="27"/>
      <c r="AI300" s="9"/>
      <c r="AJ300" s="9"/>
      <c r="AK300" s="9"/>
      <c r="AM300" s="43"/>
      <c r="AN300" s="43"/>
      <c r="AQ300" s="34"/>
      <c r="AR300" s="34"/>
      <c r="AS300" s="34"/>
      <c r="AT300" s="34"/>
    </row>
    <row r="301" spans="1:46" s="11" customFormat="1" x14ac:dyDescent="0.25">
      <c r="A301" s="23"/>
      <c r="B301" s="9"/>
      <c r="C301" s="9"/>
      <c r="D301" s="9"/>
      <c r="E301" s="9"/>
      <c r="F301" s="10"/>
      <c r="G301" s="10"/>
      <c r="H301" s="27"/>
      <c r="I301" s="9"/>
      <c r="J301" s="9"/>
      <c r="K301" s="9"/>
      <c r="L301" s="9"/>
      <c r="M301" s="25"/>
      <c r="N301" s="25"/>
      <c r="O301" s="27"/>
      <c r="P301" s="27"/>
      <c r="Q301" s="27"/>
      <c r="R301" s="25"/>
      <c r="S301" s="25"/>
      <c r="T301" s="10"/>
      <c r="U301" s="9"/>
      <c r="V301" s="9"/>
      <c r="W301" s="9"/>
      <c r="X301" s="9"/>
      <c r="Y301" s="9"/>
      <c r="Z301" s="9"/>
      <c r="AA301" s="9"/>
      <c r="AB301" s="9"/>
      <c r="AC301" s="9"/>
      <c r="AD301" s="27"/>
      <c r="AE301" s="42"/>
      <c r="AF301" s="27"/>
      <c r="AG301" s="42"/>
      <c r="AH301" s="27"/>
      <c r="AI301" s="9"/>
      <c r="AJ301" s="9"/>
      <c r="AK301" s="9"/>
      <c r="AM301" s="43"/>
      <c r="AN301" s="43"/>
      <c r="AQ301" s="34"/>
      <c r="AR301" s="34"/>
      <c r="AS301" s="34"/>
      <c r="AT301" s="34"/>
    </row>
    <row r="302" spans="1:46" s="11" customFormat="1" x14ac:dyDescent="0.25">
      <c r="A302" s="23"/>
      <c r="B302" s="9"/>
      <c r="C302" s="9"/>
      <c r="D302" s="9"/>
      <c r="E302" s="9"/>
      <c r="F302" s="10"/>
      <c r="G302" s="10"/>
      <c r="H302" s="27"/>
      <c r="I302" s="9"/>
      <c r="J302" s="9"/>
      <c r="K302" s="9"/>
      <c r="L302" s="9"/>
      <c r="M302" s="25"/>
      <c r="N302" s="25"/>
      <c r="O302" s="27"/>
      <c r="P302" s="27"/>
      <c r="Q302" s="27"/>
      <c r="R302" s="25"/>
      <c r="S302" s="25"/>
      <c r="T302" s="10"/>
      <c r="U302" s="9"/>
      <c r="V302" s="9"/>
      <c r="W302" s="9"/>
      <c r="X302" s="9"/>
      <c r="Y302" s="9"/>
      <c r="Z302" s="9"/>
      <c r="AA302" s="9"/>
      <c r="AB302" s="9"/>
      <c r="AC302" s="9"/>
      <c r="AD302" s="27"/>
      <c r="AE302" s="42"/>
      <c r="AF302" s="27"/>
      <c r="AG302" s="42"/>
      <c r="AH302" s="27"/>
      <c r="AI302" s="9"/>
      <c r="AJ302" s="9"/>
      <c r="AK302" s="9"/>
      <c r="AM302" s="43"/>
      <c r="AN302" s="43"/>
      <c r="AQ302" s="34"/>
      <c r="AR302" s="34"/>
      <c r="AS302" s="34"/>
      <c r="AT302" s="34"/>
    </row>
    <row r="303" spans="1:46" s="11" customFormat="1" x14ac:dyDescent="0.25">
      <c r="A303" s="23"/>
      <c r="B303" s="9"/>
      <c r="C303" s="9"/>
      <c r="D303" s="9"/>
      <c r="E303" s="9"/>
      <c r="F303" s="10"/>
      <c r="G303" s="10"/>
      <c r="H303" s="27"/>
      <c r="I303" s="9"/>
      <c r="J303" s="9"/>
      <c r="K303" s="9"/>
      <c r="L303" s="9"/>
      <c r="M303" s="25"/>
      <c r="N303" s="25"/>
      <c r="O303" s="27"/>
      <c r="P303" s="27"/>
      <c r="Q303" s="27"/>
      <c r="R303" s="25"/>
      <c r="S303" s="25"/>
      <c r="T303" s="10"/>
      <c r="U303" s="9"/>
      <c r="V303" s="9"/>
      <c r="W303" s="9"/>
      <c r="X303" s="9"/>
      <c r="Y303" s="9"/>
      <c r="Z303" s="9"/>
      <c r="AA303" s="9"/>
      <c r="AB303" s="9"/>
      <c r="AC303" s="9"/>
      <c r="AD303" s="27"/>
      <c r="AE303" s="42"/>
      <c r="AF303" s="27"/>
      <c r="AG303" s="42"/>
      <c r="AH303" s="27"/>
      <c r="AI303" s="9"/>
      <c r="AJ303" s="9"/>
      <c r="AK303" s="9"/>
      <c r="AM303" s="43"/>
      <c r="AN303" s="43"/>
      <c r="AQ303" s="34"/>
      <c r="AR303" s="34"/>
      <c r="AS303" s="34"/>
      <c r="AT303" s="34"/>
    </row>
    <row r="304" spans="1:46" s="11" customFormat="1" x14ac:dyDescent="0.25">
      <c r="A304" s="23"/>
      <c r="B304" s="9"/>
      <c r="C304" s="9"/>
      <c r="D304" s="9"/>
      <c r="E304" s="9"/>
      <c r="F304" s="10"/>
      <c r="G304" s="10"/>
      <c r="H304" s="27"/>
      <c r="I304" s="9"/>
      <c r="J304" s="9"/>
      <c r="K304" s="9"/>
      <c r="L304" s="9"/>
      <c r="M304" s="25"/>
      <c r="N304" s="25"/>
      <c r="O304" s="27"/>
      <c r="P304" s="27"/>
      <c r="Q304" s="27"/>
      <c r="R304" s="25"/>
      <c r="S304" s="25"/>
      <c r="T304" s="10"/>
      <c r="U304" s="9"/>
      <c r="V304" s="9"/>
      <c r="W304" s="9"/>
      <c r="X304" s="9"/>
      <c r="Y304" s="9"/>
      <c r="Z304" s="9"/>
      <c r="AA304" s="9"/>
      <c r="AB304" s="9"/>
      <c r="AC304" s="9"/>
      <c r="AD304" s="27"/>
      <c r="AE304" s="42"/>
      <c r="AF304" s="27"/>
      <c r="AG304" s="42"/>
      <c r="AH304" s="27"/>
      <c r="AI304" s="9"/>
      <c r="AJ304" s="9"/>
      <c r="AK304" s="9"/>
      <c r="AM304" s="43"/>
      <c r="AN304" s="43"/>
      <c r="AQ304" s="34"/>
      <c r="AR304" s="34"/>
      <c r="AS304" s="34"/>
      <c r="AT304" s="34"/>
    </row>
    <row r="305" spans="1:46" s="11" customFormat="1" x14ac:dyDescent="0.25">
      <c r="A305" s="23"/>
      <c r="B305" s="9"/>
      <c r="C305" s="9"/>
      <c r="D305" s="9"/>
      <c r="E305" s="9"/>
      <c r="F305" s="10"/>
      <c r="G305" s="10"/>
      <c r="H305" s="27"/>
      <c r="I305" s="9"/>
      <c r="J305" s="9"/>
      <c r="K305" s="9"/>
      <c r="L305" s="9"/>
      <c r="M305" s="25"/>
      <c r="N305" s="25"/>
      <c r="O305" s="27"/>
      <c r="P305" s="27"/>
      <c r="Q305" s="27"/>
      <c r="R305" s="25"/>
      <c r="S305" s="25"/>
      <c r="T305" s="10"/>
      <c r="U305" s="9"/>
      <c r="V305" s="9"/>
      <c r="W305" s="9"/>
      <c r="X305" s="9"/>
      <c r="Y305" s="9"/>
      <c r="Z305" s="9"/>
      <c r="AA305" s="9"/>
      <c r="AB305" s="9"/>
      <c r="AC305" s="9"/>
      <c r="AD305" s="27"/>
      <c r="AE305" s="42"/>
      <c r="AF305" s="27"/>
      <c r="AG305" s="42"/>
      <c r="AH305" s="27"/>
      <c r="AI305" s="9"/>
      <c r="AJ305" s="9"/>
      <c r="AK305" s="9"/>
      <c r="AM305" s="43"/>
      <c r="AN305" s="43"/>
      <c r="AQ305" s="34"/>
      <c r="AR305" s="34"/>
      <c r="AS305" s="34"/>
      <c r="AT305" s="34"/>
    </row>
    <row r="306" spans="1:46" s="11" customFormat="1" x14ac:dyDescent="0.25">
      <c r="A306" s="23"/>
      <c r="B306" s="9"/>
      <c r="C306" s="9"/>
      <c r="D306" s="9"/>
      <c r="E306" s="9"/>
      <c r="F306" s="10"/>
      <c r="G306" s="10"/>
      <c r="H306" s="27"/>
      <c r="I306" s="9"/>
      <c r="J306" s="9"/>
      <c r="K306" s="9"/>
      <c r="L306" s="9"/>
      <c r="M306" s="25"/>
      <c r="N306" s="25"/>
      <c r="O306" s="27"/>
      <c r="P306" s="27"/>
      <c r="Q306" s="27"/>
      <c r="R306" s="25"/>
      <c r="S306" s="25"/>
      <c r="T306" s="10"/>
      <c r="U306" s="9"/>
      <c r="V306" s="9"/>
      <c r="W306" s="9"/>
      <c r="X306" s="9"/>
      <c r="Y306" s="9"/>
      <c r="Z306" s="9"/>
      <c r="AA306" s="9"/>
      <c r="AB306" s="9"/>
      <c r="AC306" s="9"/>
      <c r="AD306" s="27"/>
      <c r="AE306" s="42"/>
      <c r="AF306" s="27"/>
      <c r="AG306" s="42"/>
      <c r="AH306" s="27"/>
      <c r="AI306" s="9"/>
      <c r="AJ306" s="9"/>
      <c r="AK306" s="9"/>
      <c r="AM306" s="43"/>
      <c r="AN306" s="43"/>
      <c r="AQ306" s="34"/>
      <c r="AR306" s="34"/>
      <c r="AS306" s="34"/>
      <c r="AT306" s="34"/>
    </row>
    <row r="307" spans="1:46" s="11" customFormat="1" x14ac:dyDescent="0.25">
      <c r="A307" s="23"/>
      <c r="B307" s="9"/>
      <c r="C307" s="9"/>
      <c r="D307" s="9"/>
      <c r="E307" s="9"/>
      <c r="F307" s="10"/>
      <c r="G307" s="10"/>
      <c r="H307" s="27"/>
      <c r="I307" s="9"/>
      <c r="J307" s="9"/>
      <c r="K307" s="9"/>
      <c r="L307" s="9"/>
      <c r="M307" s="25"/>
      <c r="N307" s="25"/>
      <c r="O307" s="27"/>
      <c r="P307" s="27"/>
      <c r="Q307" s="27"/>
      <c r="R307" s="25"/>
      <c r="S307" s="25"/>
      <c r="T307" s="10"/>
      <c r="U307" s="9"/>
      <c r="V307" s="9"/>
      <c r="W307" s="9"/>
      <c r="X307" s="9"/>
      <c r="Y307" s="9"/>
      <c r="Z307" s="9"/>
      <c r="AA307" s="9"/>
      <c r="AB307" s="9"/>
      <c r="AC307" s="9"/>
      <c r="AD307" s="27"/>
      <c r="AE307" s="42"/>
      <c r="AF307" s="27"/>
      <c r="AG307" s="42"/>
      <c r="AH307" s="27"/>
      <c r="AI307" s="9"/>
      <c r="AJ307" s="9"/>
      <c r="AK307" s="9"/>
      <c r="AM307" s="43"/>
      <c r="AN307" s="43"/>
      <c r="AQ307" s="34"/>
      <c r="AR307" s="34"/>
      <c r="AS307" s="34"/>
      <c r="AT307" s="34"/>
    </row>
    <row r="308" spans="1:46" s="11" customFormat="1" x14ac:dyDescent="0.25">
      <c r="A308" s="23"/>
      <c r="B308" s="9"/>
      <c r="C308" s="9"/>
      <c r="D308" s="9"/>
      <c r="E308" s="9"/>
      <c r="F308" s="10"/>
      <c r="G308" s="10"/>
      <c r="H308" s="27"/>
      <c r="I308" s="9"/>
      <c r="J308" s="9"/>
      <c r="K308" s="9"/>
      <c r="L308" s="9"/>
      <c r="M308" s="25"/>
      <c r="N308" s="25"/>
      <c r="O308" s="27"/>
      <c r="P308" s="27"/>
      <c r="Q308" s="27"/>
      <c r="R308" s="25"/>
      <c r="S308" s="25"/>
      <c r="T308" s="10"/>
      <c r="U308" s="9"/>
      <c r="V308" s="9"/>
      <c r="W308" s="9"/>
      <c r="X308" s="9"/>
      <c r="Y308" s="9"/>
      <c r="Z308" s="9"/>
      <c r="AA308" s="9"/>
      <c r="AB308" s="9"/>
      <c r="AC308" s="9"/>
      <c r="AD308" s="27"/>
      <c r="AE308" s="42"/>
      <c r="AF308" s="27"/>
      <c r="AG308" s="42"/>
      <c r="AH308" s="27"/>
      <c r="AI308" s="9"/>
      <c r="AJ308" s="9"/>
      <c r="AK308" s="9"/>
      <c r="AM308" s="43"/>
      <c r="AN308" s="43"/>
      <c r="AQ308" s="34"/>
      <c r="AR308" s="34"/>
      <c r="AS308" s="34"/>
      <c r="AT308" s="34"/>
    </row>
    <row r="309" spans="1:46" s="11" customFormat="1" x14ac:dyDescent="0.25">
      <c r="A309" s="23"/>
      <c r="B309" s="9"/>
      <c r="C309" s="9"/>
      <c r="D309" s="9"/>
      <c r="E309" s="9"/>
      <c r="F309" s="10"/>
      <c r="G309" s="10"/>
      <c r="H309" s="27"/>
      <c r="I309" s="9"/>
      <c r="J309" s="9"/>
      <c r="K309" s="9"/>
      <c r="L309" s="9"/>
      <c r="M309" s="25"/>
      <c r="N309" s="25"/>
      <c r="O309" s="27"/>
      <c r="P309" s="27"/>
      <c r="Q309" s="27"/>
      <c r="R309" s="25"/>
      <c r="S309" s="25"/>
      <c r="T309" s="10"/>
      <c r="U309" s="9"/>
      <c r="V309" s="9"/>
      <c r="W309" s="9"/>
      <c r="X309" s="9"/>
      <c r="Y309" s="9"/>
      <c r="Z309" s="9"/>
      <c r="AA309" s="9"/>
      <c r="AB309" s="9"/>
      <c r="AC309" s="9"/>
      <c r="AD309" s="27"/>
      <c r="AE309" s="42"/>
      <c r="AF309" s="27"/>
      <c r="AG309" s="42"/>
      <c r="AH309" s="27"/>
      <c r="AI309" s="9"/>
      <c r="AJ309" s="9"/>
      <c r="AK309" s="9"/>
      <c r="AM309" s="43"/>
      <c r="AN309" s="43"/>
      <c r="AQ309" s="34"/>
      <c r="AR309" s="34"/>
      <c r="AS309" s="34"/>
      <c r="AT309" s="34"/>
    </row>
    <row r="310" spans="1:46" s="11" customFormat="1" x14ac:dyDescent="0.25">
      <c r="A310" s="23"/>
      <c r="B310" s="9"/>
      <c r="C310" s="9"/>
      <c r="D310" s="9"/>
      <c r="E310" s="9"/>
      <c r="F310" s="10"/>
      <c r="G310" s="10"/>
      <c r="H310" s="27"/>
      <c r="I310" s="9"/>
      <c r="J310" s="9"/>
      <c r="K310" s="9"/>
      <c r="L310" s="9"/>
      <c r="M310" s="25"/>
      <c r="N310" s="25"/>
      <c r="O310" s="27"/>
      <c r="P310" s="27"/>
      <c r="Q310" s="27"/>
      <c r="R310" s="25"/>
      <c r="S310" s="25"/>
      <c r="T310" s="10"/>
      <c r="U310" s="9"/>
      <c r="V310" s="9"/>
      <c r="W310" s="9"/>
      <c r="X310" s="9"/>
      <c r="Y310" s="9"/>
      <c r="Z310" s="9"/>
      <c r="AA310" s="9"/>
      <c r="AB310" s="9"/>
      <c r="AC310" s="9"/>
      <c r="AD310" s="27"/>
      <c r="AE310" s="42"/>
      <c r="AF310" s="27"/>
      <c r="AG310" s="42"/>
      <c r="AH310" s="27"/>
      <c r="AI310" s="9"/>
      <c r="AJ310" s="9"/>
      <c r="AK310" s="9"/>
      <c r="AM310" s="43"/>
      <c r="AN310" s="43"/>
      <c r="AQ310" s="34"/>
      <c r="AR310" s="34"/>
      <c r="AS310" s="34"/>
      <c r="AT310" s="34"/>
    </row>
    <row r="311" spans="1:46" s="11" customFormat="1" x14ac:dyDescent="0.25">
      <c r="A311" s="23"/>
      <c r="B311" s="9"/>
      <c r="C311" s="9"/>
      <c r="D311" s="9"/>
      <c r="E311" s="9"/>
      <c r="F311" s="10"/>
      <c r="G311" s="10"/>
      <c r="H311" s="27"/>
      <c r="I311" s="9"/>
      <c r="J311" s="9"/>
      <c r="K311" s="9"/>
      <c r="L311" s="9"/>
      <c r="M311" s="25"/>
      <c r="N311" s="25"/>
      <c r="O311" s="27"/>
      <c r="P311" s="27"/>
      <c r="Q311" s="27"/>
      <c r="R311" s="25"/>
      <c r="S311" s="25"/>
      <c r="T311" s="10"/>
      <c r="U311" s="9"/>
      <c r="V311" s="9"/>
      <c r="W311" s="9"/>
      <c r="X311" s="9"/>
      <c r="Y311" s="9"/>
      <c r="Z311" s="9"/>
      <c r="AA311" s="9"/>
      <c r="AB311" s="9"/>
      <c r="AC311" s="9"/>
      <c r="AD311" s="27"/>
      <c r="AE311" s="42"/>
      <c r="AF311" s="27"/>
      <c r="AG311" s="42"/>
      <c r="AH311" s="27"/>
      <c r="AI311" s="9"/>
      <c r="AJ311" s="9"/>
      <c r="AK311" s="9"/>
      <c r="AM311" s="43"/>
      <c r="AN311" s="43"/>
      <c r="AQ311" s="34"/>
      <c r="AR311" s="34"/>
      <c r="AS311" s="34"/>
      <c r="AT311" s="34"/>
    </row>
    <row r="312" spans="1:46" s="11" customFormat="1" x14ac:dyDescent="0.25">
      <c r="A312" s="23"/>
      <c r="B312" s="9"/>
      <c r="C312" s="9"/>
      <c r="D312" s="9"/>
      <c r="E312" s="9"/>
      <c r="F312" s="10"/>
      <c r="G312" s="10"/>
      <c r="H312" s="27"/>
      <c r="I312" s="9"/>
      <c r="J312" s="9"/>
      <c r="K312" s="9"/>
      <c r="L312" s="9"/>
      <c r="M312" s="25"/>
      <c r="N312" s="25"/>
      <c r="O312" s="27"/>
      <c r="P312" s="27"/>
      <c r="Q312" s="27"/>
      <c r="R312" s="25"/>
      <c r="S312" s="25"/>
      <c r="T312" s="10"/>
      <c r="U312" s="9"/>
      <c r="V312" s="9"/>
      <c r="W312" s="9"/>
      <c r="X312" s="9"/>
      <c r="Y312" s="9"/>
      <c r="Z312" s="9"/>
      <c r="AA312" s="9"/>
      <c r="AB312" s="9"/>
      <c r="AC312" s="9"/>
      <c r="AD312" s="27"/>
      <c r="AE312" s="42"/>
      <c r="AF312" s="27"/>
      <c r="AG312" s="42"/>
      <c r="AH312" s="27"/>
      <c r="AI312" s="9"/>
      <c r="AJ312" s="9"/>
      <c r="AK312" s="9"/>
      <c r="AM312" s="43"/>
      <c r="AN312" s="43"/>
      <c r="AQ312" s="34"/>
      <c r="AR312" s="34"/>
      <c r="AS312" s="34"/>
      <c r="AT312" s="34"/>
    </row>
    <row r="313" spans="1:46" s="11" customFormat="1" x14ac:dyDescent="0.25">
      <c r="A313" s="23"/>
      <c r="B313" s="9"/>
      <c r="C313" s="9"/>
      <c r="D313" s="9"/>
      <c r="E313" s="9"/>
      <c r="F313" s="10"/>
      <c r="G313" s="10"/>
      <c r="H313" s="27"/>
      <c r="I313" s="9"/>
      <c r="J313" s="9"/>
      <c r="K313" s="9"/>
      <c r="L313" s="9"/>
      <c r="M313" s="25"/>
      <c r="N313" s="25"/>
      <c r="O313" s="27"/>
      <c r="P313" s="27"/>
      <c r="Q313" s="27"/>
      <c r="R313" s="25"/>
      <c r="S313" s="25"/>
      <c r="T313" s="10"/>
      <c r="U313" s="9"/>
      <c r="V313" s="9"/>
      <c r="W313" s="9"/>
      <c r="X313" s="9"/>
      <c r="Y313" s="9"/>
      <c r="Z313" s="9"/>
      <c r="AA313" s="9"/>
      <c r="AB313" s="9"/>
      <c r="AC313" s="9"/>
      <c r="AD313" s="27"/>
      <c r="AE313" s="42"/>
      <c r="AF313" s="27"/>
      <c r="AG313" s="42"/>
      <c r="AH313" s="27"/>
      <c r="AI313" s="9"/>
      <c r="AJ313" s="9"/>
      <c r="AK313" s="9"/>
      <c r="AM313" s="43"/>
      <c r="AN313" s="43"/>
      <c r="AQ313" s="34"/>
      <c r="AR313" s="34"/>
      <c r="AS313" s="34"/>
      <c r="AT313" s="34"/>
    </row>
    <row r="314" spans="1:46" s="11" customFormat="1" x14ac:dyDescent="0.25">
      <c r="A314" s="23"/>
      <c r="B314" s="9"/>
      <c r="C314" s="9"/>
      <c r="D314" s="9"/>
      <c r="E314" s="9"/>
      <c r="F314" s="10"/>
      <c r="G314" s="10"/>
      <c r="H314" s="27"/>
      <c r="I314" s="9"/>
      <c r="J314" s="9"/>
      <c r="K314" s="9"/>
      <c r="L314" s="9"/>
      <c r="M314" s="25"/>
      <c r="N314" s="25"/>
      <c r="O314" s="27"/>
      <c r="P314" s="27"/>
      <c r="Q314" s="27"/>
      <c r="R314" s="25"/>
      <c r="S314" s="25"/>
      <c r="T314" s="10"/>
      <c r="U314" s="9"/>
      <c r="V314" s="9"/>
      <c r="W314" s="9"/>
      <c r="X314" s="9"/>
      <c r="Y314" s="9"/>
      <c r="Z314" s="9"/>
      <c r="AA314" s="9"/>
      <c r="AB314" s="9"/>
      <c r="AC314" s="9"/>
      <c r="AD314" s="27"/>
      <c r="AE314" s="42"/>
      <c r="AF314" s="27"/>
      <c r="AG314" s="42"/>
      <c r="AH314" s="27"/>
      <c r="AI314" s="9"/>
      <c r="AJ314" s="9"/>
      <c r="AK314" s="9"/>
      <c r="AM314" s="43"/>
      <c r="AN314" s="43"/>
      <c r="AQ314" s="34"/>
      <c r="AR314" s="34"/>
      <c r="AS314" s="34"/>
      <c r="AT314" s="34"/>
    </row>
    <row r="315" spans="1:46" s="11" customFormat="1" x14ac:dyDescent="0.25">
      <c r="A315" s="23"/>
      <c r="B315" s="9"/>
      <c r="C315" s="9"/>
      <c r="D315" s="9"/>
      <c r="E315" s="9"/>
      <c r="F315" s="10"/>
      <c r="G315" s="10"/>
      <c r="H315" s="27"/>
      <c r="I315" s="9"/>
      <c r="J315" s="9"/>
      <c r="K315" s="9"/>
      <c r="L315" s="9"/>
      <c r="M315" s="25"/>
      <c r="N315" s="25"/>
      <c r="O315" s="27"/>
      <c r="P315" s="27"/>
      <c r="Q315" s="27"/>
      <c r="R315" s="25"/>
      <c r="S315" s="25"/>
      <c r="T315" s="10"/>
      <c r="U315" s="9"/>
      <c r="V315" s="9"/>
      <c r="W315" s="9"/>
      <c r="X315" s="9"/>
      <c r="Y315" s="9"/>
      <c r="Z315" s="9"/>
      <c r="AA315" s="9"/>
      <c r="AB315" s="9"/>
      <c r="AC315" s="9"/>
      <c r="AD315" s="27"/>
      <c r="AE315" s="42"/>
      <c r="AF315" s="27"/>
      <c r="AG315" s="42"/>
      <c r="AH315" s="27"/>
      <c r="AI315" s="9"/>
      <c r="AJ315" s="9"/>
      <c r="AK315" s="9"/>
      <c r="AM315" s="43"/>
      <c r="AN315" s="43"/>
      <c r="AQ315" s="34"/>
      <c r="AR315" s="34"/>
      <c r="AS315" s="34"/>
      <c r="AT315" s="34"/>
    </row>
    <row r="316" spans="1:46" s="11" customFormat="1" x14ac:dyDescent="0.25">
      <c r="A316" s="23"/>
      <c r="B316" s="9"/>
      <c r="C316" s="9"/>
      <c r="D316" s="9"/>
      <c r="E316" s="9"/>
      <c r="F316" s="10"/>
      <c r="G316" s="10"/>
      <c r="H316" s="27"/>
      <c r="I316" s="9"/>
      <c r="J316" s="9"/>
      <c r="K316" s="9"/>
      <c r="L316" s="9"/>
      <c r="M316" s="25"/>
      <c r="N316" s="25"/>
      <c r="O316" s="27"/>
      <c r="P316" s="27"/>
      <c r="Q316" s="27"/>
      <c r="R316" s="25"/>
      <c r="S316" s="25"/>
      <c r="T316" s="10"/>
      <c r="U316" s="9"/>
      <c r="V316" s="9"/>
      <c r="W316" s="9"/>
      <c r="X316" s="9"/>
      <c r="Y316" s="9"/>
      <c r="Z316" s="9"/>
      <c r="AA316" s="9"/>
      <c r="AB316" s="9"/>
      <c r="AC316" s="9"/>
      <c r="AD316" s="27"/>
      <c r="AE316" s="42"/>
      <c r="AF316" s="27"/>
      <c r="AG316" s="42"/>
      <c r="AH316" s="27"/>
      <c r="AI316" s="9"/>
      <c r="AJ316" s="9"/>
      <c r="AK316" s="9"/>
      <c r="AM316" s="43"/>
      <c r="AN316" s="43"/>
      <c r="AQ316" s="34"/>
      <c r="AR316" s="34"/>
      <c r="AS316" s="34"/>
      <c r="AT316" s="34"/>
    </row>
    <row r="317" spans="1:46" s="11" customFormat="1" x14ac:dyDescent="0.25">
      <c r="A317" s="23"/>
      <c r="B317" s="9"/>
      <c r="C317" s="9"/>
      <c r="D317" s="9"/>
      <c r="E317" s="9"/>
      <c r="F317" s="10"/>
      <c r="G317" s="10"/>
      <c r="H317" s="27"/>
      <c r="I317" s="9"/>
      <c r="J317" s="9"/>
      <c r="K317" s="9"/>
      <c r="L317" s="9"/>
      <c r="M317" s="25"/>
      <c r="N317" s="25"/>
      <c r="O317" s="27"/>
      <c r="P317" s="27"/>
      <c r="Q317" s="27"/>
      <c r="R317" s="25"/>
      <c r="S317" s="25"/>
      <c r="T317" s="10"/>
      <c r="U317" s="9"/>
      <c r="V317" s="9"/>
      <c r="W317" s="9"/>
      <c r="X317" s="9"/>
      <c r="Y317" s="9"/>
      <c r="Z317" s="9"/>
      <c r="AA317" s="9"/>
      <c r="AB317" s="9"/>
      <c r="AC317" s="9"/>
      <c r="AD317" s="27"/>
      <c r="AE317" s="42"/>
      <c r="AF317" s="27"/>
      <c r="AG317" s="42"/>
      <c r="AH317" s="27"/>
      <c r="AI317" s="9"/>
      <c r="AJ317" s="9"/>
      <c r="AK317" s="9"/>
      <c r="AM317" s="43"/>
      <c r="AN317" s="43"/>
      <c r="AQ317" s="34"/>
      <c r="AR317" s="34"/>
      <c r="AS317" s="34"/>
      <c r="AT317" s="34"/>
    </row>
    <row r="318" spans="1:46" s="11" customFormat="1" x14ac:dyDescent="0.25">
      <c r="A318" s="23"/>
      <c r="B318" s="9"/>
      <c r="C318" s="9"/>
      <c r="D318" s="9"/>
      <c r="E318" s="9"/>
      <c r="F318" s="10"/>
      <c r="G318" s="10"/>
      <c r="H318" s="27"/>
      <c r="I318" s="9"/>
      <c r="J318" s="9"/>
      <c r="K318" s="9"/>
      <c r="L318" s="9"/>
      <c r="M318" s="25"/>
      <c r="N318" s="25"/>
      <c r="O318" s="27"/>
      <c r="P318" s="27"/>
      <c r="Q318" s="27"/>
      <c r="R318" s="25"/>
      <c r="S318" s="25"/>
      <c r="T318" s="10"/>
      <c r="U318" s="9"/>
      <c r="V318" s="9"/>
      <c r="W318" s="9"/>
      <c r="X318" s="9"/>
      <c r="Y318" s="9"/>
      <c r="Z318" s="9"/>
      <c r="AA318" s="9"/>
      <c r="AB318" s="9"/>
      <c r="AC318" s="9"/>
      <c r="AD318" s="27"/>
      <c r="AE318" s="42"/>
      <c r="AF318" s="27"/>
      <c r="AG318" s="42"/>
      <c r="AH318" s="27"/>
      <c r="AI318" s="9"/>
      <c r="AJ318" s="9"/>
      <c r="AK318" s="9"/>
      <c r="AM318" s="43"/>
      <c r="AN318" s="43"/>
      <c r="AQ318" s="34"/>
      <c r="AR318" s="34"/>
      <c r="AS318" s="34"/>
      <c r="AT318" s="34"/>
    </row>
    <row r="319" spans="1:46" s="11" customFormat="1" x14ac:dyDescent="0.25">
      <c r="A319" s="23"/>
      <c r="B319" s="9"/>
      <c r="C319" s="9"/>
      <c r="D319" s="9"/>
      <c r="E319" s="9"/>
      <c r="F319" s="10"/>
      <c r="G319" s="10"/>
      <c r="H319" s="27"/>
      <c r="I319" s="9"/>
      <c r="J319" s="9"/>
      <c r="K319" s="9"/>
      <c r="L319" s="9"/>
      <c r="M319" s="25"/>
      <c r="N319" s="25"/>
      <c r="O319" s="27"/>
      <c r="P319" s="27"/>
      <c r="Q319" s="27"/>
      <c r="R319" s="25"/>
      <c r="S319" s="25"/>
      <c r="T319" s="10"/>
      <c r="U319" s="9"/>
      <c r="V319" s="9"/>
      <c r="W319" s="9"/>
      <c r="X319" s="9"/>
      <c r="Y319" s="9"/>
      <c r="Z319" s="9"/>
      <c r="AA319" s="9"/>
      <c r="AB319" s="9"/>
      <c r="AC319" s="9"/>
      <c r="AD319" s="27"/>
      <c r="AE319" s="42"/>
      <c r="AF319" s="27"/>
      <c r="AG319" s="42"/>
      <c r="AH319" s="27"/>
      <c r="AI319" s="9"/>
      <c r="AJ319" s="9"/>
      <c r="AK319" s="9"/>
      <c r="AM319" s="43"/>
      <c r="AN319" s="43"/>
      <c r="AQ319" s="34"/>
      <c r="AR319" s="34"/>
      <c r="AS319" s="34"/>
      <c r="AT319" s="34"/>
    </row>
    <row r="320" spans="1:46" s="11" customFormat="1" x14ac:dyDescent="0.25">
      <c r="A320" s="23"/>
      <c r="B320" s="9"/>
      <c r="C320" s="9"/>
      <c r="D320" s="9"/>
      <c r="E320" s="9"/>
      <c r="F320" s="10"/>
      <c r="G320" s="10"/>
      <c r="H320" s="27"/>
      <c r="I320" s="9"/>
      <c r="J320" s="9"/>
      <c r="K320" s="9"/>
      <c r="L320" s="9"/>
      <c r="M320" s="25"/>
      <c r="N320" s="25"/>
      <c r="O320" s="27"/>
      <c r="P320" s="27"/>
      <c r="Q320" s="27"/>
      <c r="R320" s="25"/>
      <c r="S320" s="25"/>
      <c r="T320" s="10"/>
      <c r="U320" s="9"/>
      <c r="V320" s="9"/>
      <c r="W320" s="9"/>
      <c r="X320" s="9"/>
      <c r="Y320" s="9"/>
      <c r="Z320" s="9"/>
      <c r="AA320" s="9"/>
      <c r="AB320" s="9"/>
      <c r="AC320" s="9"/>
      <c r="AD320" s="27"/>
      <c r="AE320" s="42"/>
      <c r="AF320" s="27"/>
      <c r="AG320" s="42"/>
      <c r="AH320" s="27"/>
      <c r="AI320" s="9"/>
      <c r="AJ320" s="9"/>
      <c r="AK320" s="9"/>
      <c r="AM320" s="43"/>
      <c r="AN320" s="43"/>
      <c r="AQ320" s="34"/>
      <c r="AR320" s="34"/>
      <c r="AS320" s="34"/>
      <c r="AT320" s="34"/>
    </row>
    <row r="321" spans="1:46" s="11" customFormat="1" x14ac:dyDescent="0.25">
      <c r="A321" s="23"/>
      <c r="B321" s="9"/>
      <c r="C321" s="9"/>
      <c r="D321" s="9"/>
      <c r="E321" s="9"/>
      <c r="F321" s="10"/>
      <c r="G321" s="10"/>
      <c r="H321" s="27"/>
      <c r="I321" s="9"/>
      <c r="J321" s="9"/>
      <c r="K321" s="9"/>
      <c r="L321" s="9"/>
      <c r="M321" s="25"/>
      <c r="N321" s="25"/>
      <c r="O321" s="27"/>
      <c r="P321" s="27"/>
      <c r="Q321" s="27"/>
      <c r="R321" s="25"/>
      <c r="S321" s="25"/>
      <c r="T321" s="10"/>
      <c r="U321" s="9"/>
      <c r="V321" s="9"/>
      <c r="W321" s="9"/>
      <c r="X321" s="9"/>
      <c r="Y321" s="9"/>
      <c r="Z321" s="9"/>
      <c r="AA321" s="9"/>
      <c r="AB321" s="9"/>
      <c r="AC321" s="9"/>
      <c r="AD321" s="27"/>
      <c r="AE321" s="42"/>
      <c r="AF321" s="27"/>
      <c r="AG321" s="42"/>
      <c r="AH321" s="27"/>
      <c r="AI321" s="9"/>
      <c r="AJ321" s="9"/>
      <c r="AK321" s="9"/>
      <c r="AM321" s="43"/>
      <c r="AN321" s="43"/>
      <c r="AQ321" s="34"/>
      <c r="AR321" s="34"/>
      <c r="AS321" s="34"/>
      <c r="AT321" s="34"/>
    </row>
    <row r="322" spans="1:46" s="11" customFormat="1" x14ac:dyDescent="0.25">
      <c r="A322" s="23"/>
      <c r="B322" s="9"/>
      <c r="C322" s="9"/>
      <c r="D322" s="9"/>
      <c r="E322" s="9"/>
      <c r="F322" s="10"/>
      <c r="G322" s="10"/>
      <c r="H322" s="27"/>
      <c r="I322" s="9"/>
      <c r="J322" s="9"/>
      <c r="K322" s="9"/>
      <c r="L322" s="9"/>
      <c r="M322" s="25"/>
      <c r="N322" s="25"/>
      <c r="O322" s="27"/>
      <c r="P322" s="27"/>
      <c r="Q322" s="27"/>
      <c r="R322" s="25"/>
      <c r="S322" s="25"/>
      <c r="T322" s="10"/>
      <c r="U322" s="9"/>
      <c r="V322" s="9"/>
      <c r="W322" s="9"/>
      <c r="X322" s="9"/>
      <c r="Y322" s="9"/>
      <c r="Z322" s="9"/>
      <c r="AA322" s="9"/>
      <c r="AB322" s="9"/>
      <c r="AC322" s="9"/>
      <c r="AD322" s="27"/>
      <c r="AE322" s="42"/>
      <c r="AF322" s="27"/>
      <c r="AG322" s="42"/>
      <c r="AH322" s="27"/>
      <c r="AI322" s="9"/>
      <c r="AJ322" s="9"/>
      <c r="AK322" s="9"/>
      <c r="AM322" s="43"/>
      <c r="AN322" s="43"/>
      <c r="AQ322" s="34"/>
      <c r="AR322" s="34"/>
      <c r="AS322" s="34"/>
      <c r="AT322" s="34"/>
    </row>
    <row r="323" spans="1:46" s="11" customFormat="1" x14ac:dyDescent="0.25">
      <c r="A323" s="23"/>
      <c r="B323" s="9"/>
      <c r="C323" s="9"/>
      <c r="D323" s="9"/>
      <c r="E323" s="9"/>
      <c r="F323" s="10"/>
      <c r="G323" s="10"/>
      <c r="H323" s="27"/>
      <c r="I323" s="9"/>
      <c r="J323" s="9"/>
      <c r="K323" s="9"/>
      <c r="L323" s="9"/>
      <c r="M323" s="25"/>
      <c r="N323" s="25"/>
      <c r="O323" s="27"/>
      <c r="P323" s="27"/>
      <c r="Q323" s="27"/>
      <c r="R323" s="25"/>
      <c r="S323" s="25"/>
      <c r="T323" s="10"/>
      <c r="U323" s="9"/>
      <c r="V323" s="9"/>
      <c r="W323" s="9"/>
      <c r="X323" s="9"/>
      <c r="Y323" s="9"/>
      <c r="Z323" s="9"/>
      <c r="AA323" s="9"/>
      <c r="AB323" s="9"/>
      <c r="AC323" s="9"/>
      <c r="AD323" s="27"/>
      <c r="AE323" s="42"/>
      <c r="AF323" s="27"/>
      <c r="AG323" s="42"/>
      <c r="AH323" s="27"/>
      <c r="AI323" s="9"/>
      <c r="AJ323" s="9"/>
      <c r="AK323" s="9"/>
      <c r="AM323" s="43"/>
      <c r="AN323" s="43"/>
      <c r="AQ323" s="34"/>
      <c r="AR323" s="34"/>
      <c r="AS323" s="34"/>
      <c r="AT323" s="34"/>
    </row>
    <row r="324" spans="1:46" s="11" customFormat="1" x14ac:dyDescent="0.25">
      <c r="A324" s="23"/>
      <c r="B324" s="9"/>
      <c r="C324" s="9"/>
      <c r="D324" s="9"/>
      <c r="E324" s="9"/>
      <c r="F324" s="10"/>
      <c r="G324" s="10"/>
      <c r="H324" s="27"/>
      <c r="I324" s="9"/>
      <c r="J324" s="9"/>
      <c r="K324" s="9"/>
      <c r="L324" s="9"/>
      <c r="M324" s="25"/>
      <c r="N324" s="25"/>
      <c r="O324" s="27"/>
      <c r="P324" s="27"/>
      <c r="Q324" s="27"/>
      <c r="R324" s="25"/>
      <c r="S324" s="25"/>
      <c r="T324" s="10"/>
      <c r="U324" s="9"/>
      <c r="V324" s="9"/>
      <c r="W324" s="9"/>
      <c r="X324" s="9"/>
      <c r="Y324" s="9"/>
      <c r="Z324" s="9"/>
      <c r="AA324" s="9"/>
      <c r="AB324" s="9"/>
      <c r="AC324" s="9"/>
      <c r="AD324" s="27"/>
      <c r="AE324" s="42"/>
      <c r="AF324" s="27"/>
      <c r="AG324" s="42"/>
      <c r="AH324" s="27"/>
      <c r="AI324" s="9"/>
      <c r="AJ324" s="9"/>
      <c r="AK324" s="9"/>
      <c r="AM324" s="43"/>
      <c r="AN324" s="43"/>
      <c r="AQ324" s="34"/>
      <c r="AR324" s="34"/>
      <c r="AS324" s="34"/>
      <c r="AT324" s="34"/>
    </row>
    <row r="325" spans="1:46" s="11" customFormat="1" x14ac:dyDescent="0.25">
      <c r="A325" s="23"/>
      <c r="B325" s="9"/>
      <c r="C325" s="9"/>
      <c r="D325" s="9"/>
      <c r="E325" s="9"/>
      <c r="F325" s="10"/>
      <c r="G325" s="10"/>
      <c r="H325" s="27"/>
      <c r="I325" s="9"/>
      <c r="J325" s="9"/>
      <c r="K325" s="9"/>
      <c r="L325" s="9"/>
      <c r="M325" s="25"/>
      <c r="N325" s="25"/>
      <c r="O325" s="27"/>
      <c r="P325" s="27"/>
      <c r="Q325" s="27"/>
      <c r="R325" s="25"/>
      <c r="S325" s="25"/>
      <c r="T325" s="10"/>
      <c r="U325" s="9"/>
      <c r="V325" s="9"/>
      <c r="W325" s="9"/>
      <c r="X325" s="9"/>
      <c r="Y325" s="9"/>
      <c r="Z325" s="9"/>
      <c r="AA325" s="9"/>
      <c r="AB325" s="9"/>
      <c r="AC325" s="9"/>
      <c r="AD325" s="27"/>
      <c r="AE325" s="42"/>
      <c r="AF325" s="27"/>
      <c r="AG325" s="42"/>
      <c r="AH325" s="27"/>
      <c r="AI325" s="9"/>
      <c r="AJ325" s="9"/>
      <c r="AK325" s="9"/>
      <c r="AM325" s="43"/>
      <c r="AN325" s="43"/>
      <c r="AQ325" s="34"/>
      <c r="AR325" s="34"/>
      <c r="AS325" s="34"/>
      <c r="AT325" s="34"/>
    </row>
    <row r="326" spans="1:46" s="11" customFormat="1" x14ac:dyDescent="0.25">
      <c r="A326" s="23"/>
      <c r="B326" s="9"/>
      <c r="C326" s="9"/>
      <c r="D326" s="9"/>
      <c r="E326" s="9"/>
      <c r="F326" s="10"/>
      <c r="G326" s="10"/>
      <c r="H326" s="27"/>
      <c r="I326" s="9"/>
      <c r="J326" s="9"/>
      <c r="K326" s="9"/>
      <c r="L326" s="9"/>
      <c r="M326" s="25"/>
      <c r="N326" s="25"/>
      <c r="O326" s="27"/>
      <c r="P326" s="27"/>
      <c r="Q326" s="27"/>
      <c r="R326" s="25"/>
      <c r="S326" s="25"/>
      <c r="T326" s="10"/>
      <c r="U326" s="9"/>
      <c r="V326" s="9"/>
      <c r="W326" s="9"/>
      <c r="X326" s="9"/>
      <c r="Y326" s="9"/>
      <c r="Z326" s="9"/>
      <c r="AA326" s="9"/>
      <c r="AB326" s="9"/>
      <c r="AC326" s="9"/>
      <c r="AD326" s="27"/>
      <c r="AE326" s="42"/>
      <c r="AF326" s="27"/>
      <c r="AG326" s="42"/>
      <c r="AH326" s="27"/>
      <c r="AI326" s="9"/>
      <c r="AJ326" s="9"/>
      <c r="AK326" s="9"/>
      <c r="AM326" s="43"/>
      <c r="AN326" s="43"/>
      <c r="AQ326" s="34"/>
      <c r="AR326" s="34"/>
      <c r="AS326" s="34"/>
      <c r="AT326" s="34"/>
    </row>
    <row r="327" spans="1:46" s="11" customFormat="1" x14ac:dyDescent="0.25">
      <c r="A327" s="23"/>
      <c r="B327" s="9"/>
      <c r="C327" s="9"/>
      <c r="D327" s="9"/>
      <c r="E327" s="9"/>
      <c r="F327" s="10"/>
      <c r="G327" s="10"/>
      <c r="H327" s="27"/>
      <c r="I327" s="9"/>
      <c r="J327" s="9"/>
      <c r="K327" s="9"/>
      <c r="L327" s="9"/>
      <c r="M327" s="25"/>
      <c r="N327" s="25"/>
      <c r="O327" s="27"/>
      <c r="P327" s="27"/>
      <c r="Q327" s="27"/>
      <c r="R327" s="25"/>
      <c r="S327" s="25"/>
      <c r="T327" s="10"/>
      <c r="U327" s="9"/>
      <c r="V327" s="9"/>
      <c r="W327" s="9"/>
      <c r="X327" s="9"/>
      <c r="Y327" s="9"/>
      <c r="Z327" s="9"/>
      <c r="AA327" s="9"/>
      <c r="AB327" s="9"/>
      <c r="AC327" s="9"/>
      <c r="AD327" s="27"/>
      <c r="AE327" s="42"/>
      <c r="AF327" s="27"/>
      <c r="AG327" s="42"/>
      <c r="AH327" s="27"/>
      <c r="AI327" s="9"/>
      <c r="AJ327" s="9"/>
      <c r="AK327" s="9"/>
      <c r="AM327" s="43"/>
      <c r="AN327" s="43"/>
      <c r="AQ327" s="34"/>
      <c r="AR327" s="34"/>
      <c r="AS327" s="34"/>
      <c r="AT327" s="34"/>
    </row>
    <row r="328" spans="1:46" s="11" customFormat="1" x14ac:dyDescent="0.25">
      <c r="A328" s="23"/>
      <c r="B328" s="9"/>
      <c r="C328" s="9"/>
      <c r="D328" s="9"/>
      <c r="E328" s="9"/>
      <c r="F328" s="10"/>
      <c r="G328" s="10"/>
      <c r="H328" s="27"/>
      <c r="I328" s="9"/>
      <c r="J328" s="9"/>
      <c r="K328" s="9"/>
      <c r="L328" s="9"/>
      <c r="M328" s="25"/>
      <c r="N328" s="25"/>
      <c r="O328" s="27"/>
      <c r="P328" s="27"/>
      <c r="Q328" s="27"/>
      <c r="R328" s="25"/>
      <c r="S328" s="25"/>
      <c r="T328" s="10"/>
      <c r="U328" s="9"/>
      <c r="V328" s="9"/>
      <c r="W328" s="9"/>
      <c r="X328" s="9"/>
      <c r="Y328" s="9"/>
      <c r="Z328" s="9"/>
      <c r="AA328" s="9"/>
      <c r="AB328" s="9"/>
      <c r="AC328" s="9"/>
      <c r="AD328" s="27"/>
      <c r="AE328" s="42"/>
      <c r="AF328" s="27"/>
      <c r="AG328" s="42"/>
      <c r="AH328" s="27"/>
      <c r="AI328" s="9"/>
      <c r="AJ328" s="9"/>
      <c r="AK328" s="9"/>
      <c r="AM328" s="43"/>
      <c r="AN328" s="43"/>
      <c r="AQ328" s="34"/>
      <c r="AR328" s="34"/>
      <c r="AS328" s="34"/>
      <c r="AT328" s="34"/>
    </row>
    <row r="329" spans="1:46" s="11" customFormat="1" x14ac:dyDescent="0.25">
      <c r="A329" s="23"/>
      <c r="B329" s="9"/>
      <c r="C329" s="9"/>
      <c r="D329" s="9"/>
      <c r="E329" s="9"/>
      <c r="F329" s="10"/>
      <c r="G329" s="10"/>
      <c r="H329" s="27"/>
      <c r="I329" s="9"/>
      <c r="J329" s="9"/>
      <c r="K329" s="9"/>
      <c r="L329" s="9"/>
      <c r="M329" s="25"/>
      <c r="N329" s="25"/>
      <c r="O329" s="27"/>
      <c r="P329" s="27"/>
      <c r="Q329" s="27"/>
      <c r="R329" s="25"/>
      <c r="S329" s="25"/>
      <c r="T329" s="10"/>
      <c r="U329" s="9"/>
      <c r="V329" s="9"/>
      <c r="W329" s="9"/>
      <c r="X329" s="9"/>
      <c r="Y329" s="9"/>
      <c r="Z329" s="9"/>
      <c r="AA329" s="9"/>
      <c r="AB329" s="9"/>
      <c r="AC329" s="9"/>
      <c r="AD329" s="27"/>
      <c r="AE329" s="42"/>
      <c r="AF329" s="27"/>
      <c r="AG329" s="42"/>
      <c r="AH329" s="27"/>
      <c r="AI329" s="9"/>
      <c r="AJ329" s="9"/>
      <c r="AK329" s="9"/>
      <c r="AM329" s="43"/>
      <c r="AN329" s="43"/>
      <c r="AQ329" s="34"/>
      <c r="AR329" s="34"/>
      <c r="AS329" s="34"/>
      <c r="AT329" s="34"/>
    </row>
    <row r="330" spans="1:46" s="11" customFormat="1" x14ac:dyDescent="0.25">
      <c r="A330" s="23"/>
      <c r="B330" s="9"/>
      <c r="C330" s="9"/>
      <c r="D330" s="9"/>
      <c r="E330" s="9"/>
      <c r="F330" s="10"/>
      <c r="G330" s="10"/>
      <c r="H330" s="27"/>
      <c r="I330" s="9"/>
      <c r="J330" s="9"/>
      <c r="K330" s="9"/>
      <c r="L330" s="9"/>
      <c r="M330" s="25"/>
      <c r="N330" s="25"/>
      <c r="O330" s="27"/>
      <c r="P330" s="27"/>
      <c r="Q330" s="27"/>
      <c r="R330" s="25"/>
      <c r="S330" s="25"/>
      <c r="T330" s="10"/>
      <c r="U330" s="9"/>
      <c r="V330" s="9"/>
      <c r="W330" s="9"/>
      <c r="X330" s="9"/>
      <c r="Y330" s="9"/>
      <c r="Z330" s="9"/>
      <c r="AA330" s="9"/>
      <c r="AB330" s="9"/>
      <c r="AC330" s="9"/>
      <c r="AD330" s="27"/>
      <c r="AE330" s="42"/>
      <c r="AF330" s="27"/>
      <c r="AG330" s="42"/>
      <c r="AH330" s="27"/>
      <c r="AI330" s="9"/>
      <c r="AJ330" s="9"/>
      <c r="AK330" s="9"/>
      <c r="AM330" s="43"/>
      <c r="AN330" s="43"/>
      <c r="AQ330" s="34"/>
      <c r="AR330" s="34"/>
      <c r="AS330" s="34"/>
      <c r="AT330" s="34"/>
    </row>
    <row r="331" spans="1:46" s="11" customFormat="1" x14ac:dyDescent="0.25">
      <c r="A331" s="23"/>
      <c r="B331" s="9"/>
      <c r="C331" s="9"/>
      <c r="D331" s="9"/>
      <c r="E331" s="9"/>
      <c r="F331" s="10"/>
      <c r="G331" s="10"/>
      <c r="H331" s="27"/>
      <c r="I331" s="9"/>
      <c r="J331" s="9"/>
      <c r="K331" s="9"/>
      <c r="L331" s="9"/>
      <c r="M331" s="25"/>
      <c r="N331" s="25"/>
      <c r="O331" s="27"/>
      <c r="P331" s="27"/>
      <c r="Q331" s="27"/>
      <c r="R331" s="25"/>
      <c r="S331" s="25"/>
      <c r="T331" s="10"/>
      <c r="U331" s="9"/>
      <c r="V331" s="9"/>
      <c r="W331" s="9"/>
      <c r="X331" s="9"/>
      <c r="Y331" s="9"/>
      <c r="Z331" s="9"/>
      <c r="AA331" s="9"/>
      <c r="AB331" s="9"/>
      <c r="AC331" s="9"/>
      <c r="AD331" s="27"/>
      <c r="AE331" s="42"/>
      <c r="AF331" s="27"/>
      <c r="AG331" s="42"/>
      <c r="AH331" s="27"/>
      <c r="AI331" s="9"/>
      <c r="AJ331" s="9"/>
      <c r="AK331" s="9"/>
      <c r="AM331" s="43"/>
      <c r="AN331" s="43"/>
      <c r="AQ331" s="34"/>
      <c r="AR331" s="34"/>
      <c r="AS331" s="34"/>
      <c r="AT331" s="34"/>
    </row>
    <row r="332" spans="1:46" s="11" customFormat="1" x14ac:dyDescent="0.25">
      <c r="A332" s="23"/>
      <c r="B332" s="9"/>
      <c r="C332" s="9"/>
      <c r="D332" s="9"/>
      <c r="E332" s="9"/>
      <c r="F332" s="10"/>
      <c r="G332" s="10"/>
      <c r="H332" s="27"/>
      <c r="I332" s="9"/>
      <c r="J332" s="9"/>
      <c r="K332" s="9"/>
      <c r="L332" s="9"/>
      <c r="M332" s="25"/>
      <c r="N332" s="25"/>
      <c r="O332" s="27"/>
      <c r="P332" s="27"/>
      <c r="Q332" s="27"/>
      <c r="R332" s="25"/>
      <c r="S332" s="25"/>
      <c r="T332" s="10"/>
      <c r="U332" s="9"/>
      <c r="V332" s="9"/>
      <c r="W332" s="9"/>
      <c r="X332" s="9"/>
      <c r="Y332" s="9"/>
      <c r="Z332" s="9"/>
      <c r="AA332" s="9"/>
      <c r="AB332" s="9"/>
      <c r="AC332" s="9"/>
      <c r="AD332" s="27"/>
      <c r="AE332" s="42"/>
      <c r="AF332" s="27"/>
      <c r="AG332" s="42"/>
      <c r="AH332" s="27"/>
      <c r="AI332" s="9"/>
      <c r="AJ332" s="9"/>
      <c r="AK332" s="9"/>
      <c r="AM332" s="43"/>
      <c r="AN332" s="43"/>
      <c r="AQ332" s="34"/>
      <c r="AR332" s="34"/>
      <c r="AS332" s="34"/>
      <c r="AT332" s="34"/>
    </row>
    <row r="333" spans="1:46" s="11" customFormat="1" x14ac:dyDescent="0.25">
      <c r="A333" s="23"/>
      <c r="B333" s="9"/>
      <c r="C333" s="9"/>
      <c r="D333" s="9"/>
      <c r="E333" s="9"/>
      <c r="F333" s="10"/>
      <c r="G333" s="10"/>
      <c r="H333" s="27"/>
      <c r="I333" s="9"/>
      <c r="J333" s="9"/>
      <c r="K333" s="9"/>
      <c r="L333" s="9"/>
      <c r="M333" s="25"/>
      <c r="N333" s="25"/>
      <c r="O333" s="27"/>
      <c r="P333" s="27"/>
      <c r="Q333" s="27"/>
      <c r="R333" s="25"/>
      <c r="S333" s="25"/>
      <c r="T333" s="10"/>
      <c r="U333" s="9"/>
      <c r="V333" s="9"/>
      <c r="W333" s="9"/>
      <c r="X333" s="9"/>
      <c r="Y333" s="9"/>
      <c r="Z333" s="9"/>
      <c r="AA333" s="9"/>
      <c r="AB333" s="9"/>
      <c r="AC333" s="9"/>
      <c r="AD333" s="27"/>
      <c r="AE333" s="42"/>
      <c r="AF333" s="27"/>
      <c r="AG333" s="42"/>
      <c r="AH333" s="27"/>
      <c r="AI333" s="9"/>
      <c r="AJ333" s="9"/>
      <c r="AK333" s="9"/>
      <c r="AM333" s="43"/>
      <c r="AN333" s="43"/>
      <c r="AQ333" s="34"/>
      <c r="AR333" s="34"/>
      <c r="AS333" s="34"/>
      <c r="AT333" s="34"/>
    </row>
    <row r="334" spans="1:46" s="11" customFormat="1" x14ac:dyDescent="0.25">
      <c r="A334" s="23"/>
      <c r="B334" s="9"/>
      <c r="C334" s="9"/>
      <c r="D334" s="9"/>
      <c r="E334" s="9"/>
      <c r="F334" s="10"/>
      <c r="G334" s="10"/>
      <c r="H334" s="27"/>
      <c r="I334" s="9"/>
      <c r="J334" s="9"/>
      <c r="K334" s="9"/>
      <c r="L334" s="9"/>
      <c r="M334" s="25"/>
      <c r="N334" s="25"/>
      <c r="O334" s="27"/>
      <c r="P334" s="27"/>
      <c r="Q334" s="27"/>
      <c r="R334" s="25"/>
      <c r="S334" s="25"/>
      <c r="T334" s="10"/>
      <c r="U334" s="9"/>
      <c r="V334" s="9"/>
      <c r="W334" s="9"/>
      <c r="X334" s="9"/>
      <c r="Y334" s="9"/>
      <c r="Z334" s="9"/>
      <c r="AA334" s="9"/>
      <c r="AB334" s="9"/>
      <c r="AC334" s="9"/>
      <c r="AD334" s="27"/>
      <c r="AE334" s="42"/>
      <c r="AF334" s="27"/>
      <c r="AG334" s="42"/>
      <c r="AH334" s="27"/>
      <c r="AI334" s="9"/>
      <c r="AJ334" s="9"/>
      <c r="AK334" s="9"/>
      <c r="AM334" s="43"/>
      <c r="AN334" s="43"/>
      <c r="AQ334" s="34"/>
      <c r="AR334" s="34"/>
      <c r="AS334" s="34"/>
      <c r="AT334" s="34"/>
    </row>
    <row r="335" spans="1:46" s="11" customFormat="1" x14ac:dyDescent="0.25">
      <c r="A335" s="23"/>
      <c r="B335" s="9"/>
      <c r="C335" s="9"/>
      <c r="D335" s="9"/>
      <c r="E335" s="9"/>
      <c r="F335" s="10"/>
      <c r="G335" s="10"/>
      <c r="H335" s="27"/>
      <c r="I335" s="9"/>
      <c r="J335" s="9"/>
      <c r="K335" s="9"/>
      <c r="L335" s="9"/>
      <c r="M335" s="25"/>
      <c r="N335" s="25"/>
      <c r="O335" s="27"/>
      <c r="P335" s="27"/>
      <c r="Q335" s="27"/>
      <c r="R335" s="25"/>
      <c r="S335" s="25"/>
      <c r="T335" s="10"/>
      <c r="U335" s="9"/>
      <c r="V335" s="9"/>
      <c r="W335" s="9"/>
      <c r="X335" s="9"/>
      <c r="Y335" s="9"/>
      <c r="Z335" s="9"/>
      <c r="AA335" s="9"/>
      <c r="AB335" s="9"/>
      <c r="AC335" s="9"/>
      <c r="AD335" s="27"/>
      <c r="AE335" s="42"/>
      <c r="AF335" s="27"/>
      <c r="AG335" s="42"/>
      <c r="AH335" s="27"/>
      <c r="AI335" s="9"/>
      <c r="AJ335" s="9"/>
      <c r="AK335" s="9"/>
      <c r="AM335" s="43"/>
      <c r="AN335" s="43"/>
      <c r="AQ335" s="34"/>
      <c r="AR335" s="34"/>
      <c r="AS335" s="34"/>
      <c r="AT335" s="34"/>
    </row>
    <row r="336" spans="1:46" s="11" customFormat="1" x14ac:dyDescent="0.25">
      <c r="A336" s="23"/>
      <c r="B336" s="9"/>
      <c r="C336" s="9"/>
      <c r="D336" s="9"/>
      <c r="E336" s="9"/>
      <c r="F336" s="10"/>
      <c r="G336" s="10"/>
      <c r="H336" s="27"/>
      <c r="I336" s="9"/>
      <c r="J336" s="9"/>
      <c r="K336" s="9"/>
      <c r="L336" s="9"/>
      <c r="M336" s="25"/>
      <c r="N336" s="25"/>
      <c r="O336" s="27"/>
      <c r="P336" s="27"/>
      <c r="Q336" s="27"/>
      <c r="R336" s="25"/>
      <c r="S336" s="25"/>
      <c r="T336" s="10"/>
      <c r="U336" s="9"/>
      <c r="V336" s="9"/>
      <c r="W336" s="9"/>
      <c r="X336" s="9"/>
      <c r="Y336" s="9"/>
      <c r="Z336" s="9"/>
      <c r="AA336" s="9"/>
      <c r="AB336" s="9"/>
      <c r="AC336" s="9"/>
      <c r="AD336" s="27"/>
      <c r="AE336" s="42"/>
      <c r="AF336" s="27"/>
      <c r="AG336" s="42"/>
      <c r="AH336" s="27"/>
      <c r="AI336" s="9"/>
      <c r="AJ336" s="9"/>
      <c r="AK336" s="9"/>
      <c r="AM336" s="43"/>
      <c r="AN336" s="43"/>
      <c r="AQ336" s="34"/>
      <c r="AR336" s="34"/>
      <c r="AS336" s="34"/>
      <c r="AT336" s="34"/>
    </row>
    <row r="337" spans="1:46" s="11" customFormat="1" x14ac:dyDescent="0.25">
      <c r="A337" s="23"/>
      <c r="B337" s="9"/>
      <c r="C337" s="9"/>
      <c r="D337" s="9"/>
      <c r="E337" s="9"/>
      <c r="F337" s="10"/>
      <c r="G337" s="10"/>
      <c r="H337" s="27"/>
      <c r="I337" s="9"/>
      <c r="J337" s="9"/>
      <c r="K337" s="9"/>
      <c r="L337" s="9"/>
      <c r="M337" s="25"/>
      <c r="N337" s="25"/>
      <c r="O337" s="27"/>
      <c r="P337" s="27"/>
      <c r="Q337" s="27"/>
      <c r="R337" s="25"/>
      <c r="S337" s="25"/>
      <c r="T337" s="10"/>
      <c r="U337" s="9"/>
      <c r="V337" s="9"/>
      <c r="W337" s="9"/>
      <c r="X337" s="9"/>
      <c r="Y337" s="9"/>
      <c r="Z337" s="9"/>
      <c r="AA337" s="9"/>
      <c r="AB337" s="9"/>
      <c r="AC337" s="9"/>
      <c r="AD337" s="27"/>
      <c r="AE337" s="42"/>
      <c r="AF337" s="27"/>
      <c r="AG337" s="42"/>
      <c r="AH337" s="27"/>
      <c r="AI337" s="9"/>
      <c r="AJ337" s="9"/>
      <c r="AK337" s="9"/>
      <c r="AM337" s="43"/>
      <c r="AN337" s="43"/>
      <c r="AQ337" s="34"/>
      <c r="AR337" s="34"/>
      <c r="AS337" s="34"/>
      <c r="AT337" s="34"/>
    </row>
    <row r="338" spans="1:46" s="11" customFormat="1" x14ac:dyDescent="0.25">
      <c r="A338" s="23"/>
      <c r="B338" s="9"/>
      <c r="C338" s="9"/>
      <c r="D338" s="9"/>
      <c r="E338" s="9"/>
      <c r="F338" s="10"/>
      <c r="G338" s="10"/>
      <c r="H338" s="27"/>
      <c r="I338" s="9"/>
      <c r="J338" s="9"/>
      <c r="K338" s="9"/>
      <c r="L338" s="9"/>
      <c r="M338" s="25"/>
      <c r="N338" s="25"/>
      <c r="O338" s="27"/>
      <c r="P338" s="27"/>
      <c r="Q338" s="27"/>
      <c r="R338" s="25"/>
      <c r="S338" s="25"/>
      <c r="T338" s="10"/>
      <c r="U338" s="9"/>
      <c r="V338" s="9"/>
      <c r="W338" s="9"/>
      <c r="X338" s="9"/>
      <c r="Y338" s="9"/>
      <c r="Z338" s="9"/>
      <c r="AA338" s="9"/>
      <c r="AB338" s="9"/>
      <c r="AC338" s="9"/>
      <c r="AD338" s="27"/>
      <c r="AE338" s="42"/>
      <c r="AF338" s="27"/>
      <c r="AG338" s="42"/>
      <c r="AH338" s="27"/>
      <c r="AI338" s="9"/>
      <c r="AJ338" s="9"/>
      <c r="AK338" s="9"/>
      <c r="AM338" s="43"/>
      <c r="AN338" s="43"/>
      <c r="AQ338" s="34"/>
      <c r="AR338" s="34"/>
      <c r="AS338" s="34"/>
      <c r="AT338" s="34"/>
    </row>
    <row r="339" spans="1:46" s="11" customFormat="1" x14ac:dyDescent="0.25">
      <c r="A339" s="23"/>
      <c r="B339" s="9"/>
      <c r="C339" s="9"/>
      <c r="D339" s="9"/>
      <c r="E339" s="9"/>
      <c r="F339" s="10"/>
      <c r="G339" s="10"/>
      <c r="H339" s="27"/>
      <c r="I339" s="9"/>
      <c r="J339" s="9"/>
      <c r="K339" s="9"/>
      <c r="L339" s="9"/>
      <c r="M339" s="25"/>
      <c r="N339" s="25"/>
      <c r="O339" s="27"/>
      <c r="P339" s="27"/>
      <c r="Q339" s="27"/>
      <c r="R339" s="25"/>
      <c r="S339" s="25"/>
      <c r="T339" s="10"/>
      <c r="U339" s="9"/>
      <c r="V339" s="9"/>
      <c r="W339" s="9"/>
      <c r="X339" s="9"/>
      <c r="Y339" s="9"/>
      <c r="Z339" s="9"/>
      <c r="AA339" s="9"/>
      <c r="AB339" s="9"/>
      <c r="AC339" s="9"/>
      <c r="AD339" s="27"/>
      <c r="AE339" s="42"/>
      <c r="AF339" s="27"/>
      <c r="AG339" s="42"/>
      <c r="AH339" s="27"/>
      <c r="AI339" s="9"/>
      <c r="AJ339" s="9"/>
      <c r="AK339" s="9"/>
      <c r="AM339" s="43"/>
      <c r="AN339" s="43"/>
      <c r="AQ339" s="34"/>
      <c r="AR339" s="34"/>
      <c r="AS339" s="34"/>
      <c r="AT339" s="34"/>
    </row>
    <row r="340" spans="1:46" s="11" customFormat="1" x14ac:dyDescent="0.25">
      <c r="A340" s="23"/>
      <c r="B340" s="9"/>
      <c r="C340" s="9"/>
      <c r="D340" s="9"/>
      <c r="E340" s="9"/>
      <c r="F340" s="10"/>
      <c r="G340" s="10"/>
      <c r="H340" s="27"/>
      <c r="I340" s="9"/>
      <c r="J340" s="9"/>
      <c r="K340" s="9"/>
      <c r="L340" s="9"/>
      <c r="M340" s="25"/>
      <c r="N340" s="25"/>
      <c r="O340" s="27"/>
      <c r="P340" s="27"/>
      <c r="Q340" s="27"/>
      <c r="R340" s="25"/>
      <c r="S340" s="25"/>
      <c r="T340" s="10"/>
      <c r="U340" s="9"/>
      <c r="V340" s="9"/>
      <c r="W340" s="9"/>
      <c r="X340" s="9"/>
      <c r="Y340" s="9"/>
      <c r="Z340" s="9"/>
      <c r="AA340" s="9"/>
      <c r="AB340" s="9"/>
      <c r="AC340" s="9"/>
      <c r="AD340" s="27"/>
      <c r="AE340" s="42"/>
      <c r="AF340" s="27"/>
      <c r="AG340" s="42"/>
      <c r="AH340" s="27"/>
      <c r="AI340" s="9"/>
      <c r="AJ340" s="9"/>
      <c r="AK340" s="9"/>
      <c r="AM340" s="43"/>
      <c r="AN340" s="43"/>
      <c r="AQ340" s="34"/>
      <c r="AR340" s="34"/>
      <c r="AS340" s="34"/>
      <c r="AT340" s="34"/>
    </row>
    <row r="341" spans="1:46" s="11" customFormat="1" x14ac:dyDescent="0.25">
      <c r="A341" s="23"/>
      <c r="B341" s="9"/>
      <c r="C341" s="9"/>
      <c r="D341" s="9"/>
      <c r="E341" s="9"/>
      <c r="F341" s="10"/>
      <c r="G341" s="10"/>
      <c r="H341" s="27"/>
      <c r="I341" s="9"/>
      <c r="J341" s="9"/>
      <c r="K341" s="9"/>
      <c r="L341" s="9"/>
      <c r="M341" s="25"/>
      <c r="N341" s="25"/>
      <c r="O341" s="27"/>
      <c r="P341" s="27"/>
      <c r="Q341" s="27"/>
      <c r="R341" s="25"/>
      <c r="S341" s="25"/>
      <c r="T341" s="10"/>
      <c r="U341" s="9"/>
      <c r="V341" s="9"/>
      <c r="W341" s="9"/>
      <c r="X341" s="9"/>
      <c r="Y341" s="9"/>
      <c r="Z341" s="9"/>
      <c r="AA341" s="9"/>
      <c r="AB341" s="9"/>
      <c r="AC341" s="9"/>
      <c r="AD341" s="27"/>
      <c r="AE341" s="42"/>
      <c r="AF341" s="27"/>
      <c r="AG341" s="42"/>
      <c r="AH341" s="27"/>
      <c r="AI341" s="9"/>
      <c r="AJ341" s="9"/>
      <c r="AK341" s="9"/>
      <c r="AM341" s="43"/>
      <c r="AN341" s="43"/>
      <c r="AQ341" s="34"/>
      <c r="AR341" s="34"/>
      <c r="AS341" s="34"/>
      <c r="AT341" s="34"/>
    </row>
    <row r="342" spans="1:46" s="11" customFormat="1" x14ac:dyDescent="0.25">
      <c r="A342" s="23"/>
      <c r="B342" s="9"/>
      <c r="C342" s="9"/>
      <c r="D342" s="9"/>
      <c r="E342" s="9"/>
      <c r="F342" s="10"/>
      <c r="G342" s="10"/>
      <c r="H342" s="27"/>
      <c r="I342" s="9"/>
      <c r="J342" s="9"/>
      <c r="K342" s="9"/>
      <c r="L342" s="9"/>
      <c r="M342" s="25"/>
      <c r="N342" s="25"/>
      <c r="O342" s="27"/>
      <c r="P342" s="27"/>
      <c r="Q342" s="27"/>
      <c r="R342" s="25"/>
      <c r="S342" s="25"/>
      <c r="T342" s="10"/>
      <c r="U342" s="9"/>
      <c r="V342" s="9"/>
      <c r="W342" s="9"/>
      <c r="X342" s="9"/>
      <c r="Y342" s="9"/>
      <c r="Z342" s="9"/>
      <c r="AA342" s="9"/>
      <c r="AB342" s="9"/>
      <c r="AC342" s="9"/>
      <c r="AD342" s="27"/>
      <c r="AE342" s="42"/>
      <c r="AF342" s="27"/>
      <c r="AG342" s="42"/>
      <c r="AH342" s="27"/>
      <c r="AI342" s="9"/>
      <c r="AJ342" s="9"/>
      <c r="AK342" s="9"/>
      <c r="AM342" s="43"/>
      <c r="AN342" s="43"/>
      <c r="AQ342" s="34"/>
      <c r="AR342" s="34"/>
      <c r="AS342" s="34"/>
      <c r="AT342" s="34"/>
    </row>
    <row r="343" spans="1:46" s="11" customFormat="1" x14ac:dyDescent="0.25">
      <c r="A343" s="23"/>
      <c r="B343" s="9"/>
      <c r="C343" s="9"/>
      <c r="D343" s="9"/>
      <c r="E343" s="9"/>
      <c r="F343" s="10"/>
      <c r="G343" s="10"/>
      <c r="H343" s="27"/>
      <c r="I343" s="9"/>
      <c r="J343" s="9"/>
      <c r="K343" s="9"/>
      <c r="L343" s="9"/>
      <c r="M343" s="25"/>
      <c r="N343" s="25"/>
      <c r="O343" s="27"/>
      <c r="P343" s="27"/>
      <c r="Q343" s="27"/>
      <c r="R343" s="25"/>
      <c r="S343" s="25"/>
      <c r="T343" s="10"/>
      <c r="U343" s="9"/>
      <c r="V343" s="9"/>
      <c r="W343" s="9"/>
      <c r="X343" s="9"/>
      <c r="Y343" s="9"/>
      <c r="Z343" s="9"/>
      <c r="AA343" s="9"/>
      <c r="AB343" s="9"/>
      <c r="AC343" s="9"/>
      <c r="AD343" s="27"/>
      <c r="AE343" s="42"/>
      <c r="AF343" s="27"/>
      <c r="AG343" s="42"/>
      <c r="AH343" s="27"/>
      <c r="AI343" s="9"/>
      <c r="AJ343" s="9"/>
      <c r="AK343" s="9"/>
      <c r="AM343" s="43"/>
      <c r="AN343" s="43"/>
      <c r="AQ343" s="34"/>
      <c r="AR343" s="34"/>
      <c r="AS343" s="34"/>
      <c r="AT343" s="34"/>
    </row>
    <row r="344" spans="1:46" s="11" customFormat="1" x14ac:dyDescent="0.25">
      <c r="A344" s="23"/>
      <c r="B344" s="9"/>
      <c r="C344" s="9"/>
      <c r="D344" s="9"/>
      <c r="E344" s="9"/>
      <c r="F344" s="10"/>
      <c r="G344" s="10"/>
      <c r="H344" s="27"/>
      <c r="I344" s="9"/>
      <c r="J344" s="9"/>
      <c r="K344" s="9"/>
      <c r="L344" s="9"/>
      <c r="M344" s="25"/>
      <c r="N344" s="25"/>
      <c r="O344" s="27"/>
      <c r="P344" s="27"/>
      <c r="Q344" s="27"/>
      <c r="R344" s="25"/>
      <c r="S344" s="25"/>
      <c r="T344" s="10"/>
      <c r="U344" s="9"/>
      <c r="V344" s="9"/>
      <c r="W344" s="9"/>
      <c r="X344" s="9"/>
      <c r="Y344" s="9"/>
      <c r="Z344" s="9"/>
      <c r="AA344" s="9"/>
      <c r="AB344" s="9"/>
      <c r="AC344" s="9"/>
      <c r="AD344" s="27"/>
      <c r="AE344" s="42"/>
      <c r="AF344" s="27"/>
      <c r="AG344" s="42"/>
      <c r="AH344" s="27"/>
      <c r="AI344" s="9"/>
      <c r="AJ344" s="9"/>
      <c r="AK344" s="9"/>
      <c r="AM344" s="43"/>
      <c r="AN344" s="43"/>
      <c r="AQ344" s="34"/>
      <c r="AR344" s="34"/>
      <c r="AS344" s="34"/>
      <c r="AT344" s="34"/>
    </row>
    <row r="345" spans="1:46" s="11" customFormat="1" x14ac:dyDescent="0.25">
      <c r="A345" s="23"/>
      <c r="B345" s="9"/>
      <c r="C345" s="9"/>
      <c r="D345" s="9"/>
      <c r="E345" s="9"/>
      <c r="F345" s="10"/>
      <c r="G345" s="10"/>
      <c r="H345" s="27"/>
      <c r="I345" s="9"/>
      <c r="J345" s="9"/>
      <c r="K345" s="9"/>
      <c r="L345" s="9"/>
      <c r="M345" s="25"/>
      <c r="N345" s="25"/>
      <c r="O345" s="27"/>
      <c r="P345" s="27"/>
      <c r="Q345" s="27"/>
      <c r="R345" s="25"/>
      <c r="S345" s="25"/>
      <c r="T345" s="10"/>
      <c r="U345" s="9"/>
      <c r="V345" s="9"/>
      <c r="W345" s="9"/>
      <c r="X345" s="9"/>
      <c r="Y345" s="9"/>
      <c r="Z345" s="9"/>
      <c r="AA345" s="9"/>
      <c r="AB345" s="9"/>
      <c r="AC345" s="9"/>
      <c r="AD345" s="27"/>
      <c r="AE345" s="42"/>
      <c r="AF345" s="27"/>
      <c r="AG345" s="42"/>
      <c r="AH345" s="27"/>
      <c r="AI345" s="9"/>
      <c r="AJ345" s="9"/>
      <c r="AK345" s="9"/>
      <c r="AM345" s="43"/>
      <c r="AN345" s="43"/>
      <c r="AQ345" s="34"/>
      <c r="AR345" s="34"/>
      <c r="AS345" s="34"/>
      <c r="AT345" s="34"/>
    </row>
    <row r="346" spans="1:46" s="11" customFormat="1" x14ac:dyDescent="0.25">
      <c r="A346" s="23"/>
      <c r="B346" s="9"/>
      <c r="C346" s="9"/>
      <c r="D346" s="9"/>
      <c r="E346" s="9"/>
      <c r="F346" s="10"/>
      <c r="G346" s="10"/>
      <c r="H346" s="27"/>
      <c r="I346" s="9"/>
      <c r="J346" s="9"/>
      <c r="K346" s="9"/>
      <c r="L346" s="9"/>
      <c r="M346" s="25"/>
      <c r="N346" s="25"/>
      <c r="O346" s="27"/>
      <c r="P346" s="27"/>
      <c r="Q346" s="27"/>
      <c r="R346" s="25"/>
      <c r="S346" s="25"/>
      <c r="T346" s="10"/>
      <c r="U346" s="9"/>
      <c r="V346" s="9"/>
      <c r="W346" s="9"/>
      <c r="X346" s="9"/>
      <c r="Y346" s="9"/>
      <c r="Z346" s="9"/>
      <c r="AA346" s="9"/>
      <c r="AB346" s="9"/>
      <c r="AC346" s="9"/>
      <c r="AD346" s="27"/>
      <c r="AE346" s="42"/>
      <c r="AF346" s="27"/>
      <c r="AG346" s="42"/>
      <c r="AH346" s="27"/>
      <c r="AI346" s="9"/>
      <c r="AJ346" s="9"/>
      <c r="AK346" s="9"/>
      <c r="AM346" s="43"/>
      <c r="AN346" s="43"/>
      <c r="AQ346" s="34"/>
      <c r="AR346" s="34"/>
      <c r="AS346" s="34"/>
      <c r="AT346" s="34"/>
    </row>
    <row r="347" spans="1:46" s="11" customFormat="1" x14ac:dyDescent="0.25">
      <c r="A347" s="23"/>
      <c r="B347" s="9"/>
      <c r="C347" s="9"/>
      <c r="D347" s="9"/>
      <c r="E347" s="9"/>
      <c r="F347" s="10"/>
      <c r="G347" s="10"/>
      <c r="H347" s="27"/>
      <c r="I347" s="9"/>
      <c r="J347" s="9"/>
      <c r="K347" s="9"/>
      <c r="L347" s="9"/>
      <c r="M347" s="25"/>
      <c r="N347" s="25"/>
      <c r="O347" s="27"/>
      <c r="P347" s="27"/>
      <c r="Q347" s="27"/>
      <c r="R347" s="25"/>
      <c r="S347" s="25"/>
      <c r="T347" s="10"/>
      <c r="U347" s="9"/>
      <c r="V347" s="9"/>
      <c r="W347" s="9"/>
      <c r="X347" s="9"/>
      <c r="Y347" s="9"/>
      <c r="Z347" s="9"/>
      <c r="AA347" s="9"/>
      <c r="AB347" s="9"/>
      <c r="AC347" s="9"/>
      <c r="AD347" s="27"/>
      <c r="AE347" s="42"/>
      <c r="AF347" s="27"/>
      <c r="AG347" s="42"/>
      <c r="AH347" s="27"/>
      <c r="AI347" s="9"/>
      <c r="AJ347" s="9"/>
      <c r="AK347" s="9"/>
      <c r="AM347" s="43"/>
      <c r="AN347" s="43"/>
      <c r="AQ347" s="34"/>
      <c r="AR347" s="34"/>
      <c r="AS347" s="34"/>
      <c r="AT347" s="34"/>
    </row>
    <row r="348" spans="1:46" s="11" customFormat="1" x14ac:dyDescent="0.25">
      <c r="A348" s="23"/>
      <c r="B348" s="9"/>
      <c r="C348" s="9"/>
      <c r="D348" s="9"/>
      <c r="E348" s="9"/>
      <c r="F348" s="10"/>
      <c r="G348" s="10"/>
      <c r="H348" s="27"/>
      <c r="I348" s="9"/>
      <c r="J348" s="9"/>
      <c r="K348" s="9"/>
      <c r="L348" s="9"/>
      <c r="M348" s="25"/>
      <c r="N348" s="25"/>
      <c r="O348" s="27"/>
      <c r="P348" s="27"/>
      <c r="Q348" s="27"/>
      <c r="R348" s="25"/>
      <c r="S348" s="25"/>
      <c r="T348" s="10"/>
      <c r="U348" s="9"/>
      <c r="V348" s="9"/>
      <c r="W348" s="9"/>
      <c r="X348" s="9"/>
      <c r="Y348" s="9"/>
      <c r="Z348" s="9"/>
      <c r="AA348" s="9"/>
      <c r="AB348" s="9"/>
      <c r="AC348" s="9"/>
      <c r="AD348" s="27"/>
      <c r="AE348" s="42"/>
      <c r="AF348" s="27"/>
      <c r="AG348" s="42"/>
      <c r="AH348" s="27"/>
      <c r="AI348" s="9"/>
      <c r="AJ348" s="9"/>
      <c r="AK348" s="9"/>
      <c r="AM348" s="43"/>
      <c r="AN348" s="43"/>
      <c r="AQ348" s="34"/>
      <c r="AR348" s="34"/>
      <c r="AS348" s="34"/>
      <c r="AT348" s="34"/>
    </row>
    <row r="349" spans="1:46" s="11" customFormat="1" x14ac:dyDescent="0.25">
      <c r="A349" s="23"/>
      <c r="B349" s="9"/>
      <c r="C349" s="9"/>
      <c r="D349" s="9"/>
      <c r="E349" s="9"/>
      <c r="F349" s="10"/>
      <c r="G349" s="10"/>
      <c r="H349" s="27"/>
      <c r="I349" s="9"/>
      <c r="J349" s="9"/>
      <c r="K349" s="9"/>
      <c r="L349" s="9"/>
      <c r="M349" s="25"/>
      <c r="N349" s="25"/>
      <c r="O349" s="27"/>
      <c r="P349" s="27"/>
      <c r="Q349" s="27"/>
      <c r="R349" s="25"/>
      <c r="S349" s="25"/>
      <c r="T349" s="10"/>
      <c r="U349" s="9"/>
      <c r="V349" s="9"/>
      <c r="W349" s="9"/>
      <c r="X349" s="9"/>
      <c r="Y349" s="9"/>
      <c r="Z349" s="9"/>
      <c r="AA349" s="9"/>
      <c r="AB349" s="9"/>
      <c r="AC349" s="9"/>
      <c r="AD349" s="27"/>
      <c r="AE349" s="42"/>
      <c r="AF349" s="27"/>
      <c r="AG349" s="42"/>
      <c r="AH349" s="27"/>
      <c r="AI349" s="9"/>
      <c r="AJ349" s="9"/>
      <c r="AK349" s="9"/>
      <c r="AM349" s="43"/>
      <c r="AN349" s="43"/>
      <c r="AQ349" s="34"/>
      <c r="AR349" s="34"/>
      <c r="AS349" s="34"/>
      <c r="AT349" s="34"/>
    </row>
    <row r="350" spans="1:46" s="11" customFormat="1" x14ac:dyDescent="0.25">
      <c r="A350" s="23"/>
      <c r="B350" s="9"/>
      <c r="C350" s="9"/>
      <c r="D350" s="9"/>
      <c r="E350" s="9"/>
      <c r="F350" s="10"/>
      <c r="G350" s="10"/>
      <c r="H350" s="27"/>
      <c r="I350" s="9"/>
      <c r="J350" s="9"/>
      <c r="K350" s="9"/>
      <c r="L350" s="9"/>
      <c r="M350" s="25"/>
      <c r="N350" s="25"/>
      <c r="O350" s="27"/>
      <c r="P350" s="27"/>
      <c r="Q350" s="27"/>
      <c r="R350" s="25"/>
      <c r="S350" s="25"/>
      <c r="T350" s="10"/>
      <c r="U350" s="9"/>
      <c r="V350" s="9"/>
      <c r="W350" s="9"/>
      <c r="X350" s="9"/>
      <c r="Y350" s="9"/>
      <c r="Z350" s="9"/>
      <c r="AA350" s="9"/>
      <c r="AB350" s="9"/>
      <c r="AC350" s="9"/>
      <c r="AD350" s="27"/>
      <c r="AE350" s="42"/>
      <c r="AF350" s="27"/>
      <c r="AG350" s="42"/>
      <c r="AH350" s="27"/>
      <c r="AI350" s="9"/>
      <c r="AJ350" s="9"/>
      <c r="AK350" s="9"/>
      <c r="AM350" s="43"/>
      <c r="AN350" s="43"/>
      <c r="AQ350" s="34"/>
      <c r="AR350" s="34"/>
      <c r="AS350" s="34"/>
      <c r="AT350" s="34"/>
    </row>
    <row r="351" spans="1:46" s="11" customFormat="1" x14ac:dyDescent="0.25">
      <c r="A351" s="23"/>
      <c r="B351" s="9"/>
      <c r="C351" s="9"/>
      <c r="D351" s="9"/>
      <c r="E351" s="9"/>
      <c r="F351" s="10"/>
      <c r="G351" s="10"/>
      <c r="H351" s="27"/>
      <c r="I351" s="9"/>
      <c r="J351" s="9"/>
      <c r="K351" s="9"/>
      <c r="L351" s="9"/>
      <c r="M351" s="25"/>
      <c r="N351" s="25"/>
      <c r="O351" s="27"/>
      <c r="P351" s="27"/>
      <c r="Q351" s="27"/>
      <c r="R351" s="25"/>
      <c r="S351" s="25"/>
      <c r="T351" s="10"/>
      <c r="U351" s="9"/>
      <c r="V351" s="9"/>
      <c r="W351" s="9"/>
      <c r="X351" s="9"/>
      <c r="Y351" s="9"/>
      <c r="Z351" s="9"/>
      <c r="AA351" s="9"/>
      <c r="AB351" s="9"/>
      <c r="AC351" s="9"/>
      <c r="AD351" s="27"/>
      <c r="AE351" s="42"/>
      <c r="AF351" s="27"/>
      <c r="AG351" s="42"/>
      <c r="AH351" s="27"/>
      <c r="AI351" s="9"/>
      <c r="AJ351" s="9"/>
      <c r="AK351" s="9"/>
      <c r="AM351" s="43"/>
      <c r="AN351" s="43"/>
      <c r="AQ351" s="34"/>
      <c r="AR351" s="34"/>
      <c r="AS351" s="34"/>
      <c r="AT351" s="34"/>
    </row>
    <row r="352" spans="1:46" s="11" customFormat="1" x14ac:dyDescent="0.25">
      <c r="A352" s="23"/>
      <c r="B352" s="9"/>
      <c r="C352" s="9"/>
      <c r="D352" s="9"/>
      <c r="E352" s="9"/>
      <c r="F352" s="10"/>
      <c r="G352" s="10"/>
      <c r="H352" s="27"/>
      <c r="I352" s="9"/>
      <c r="J352" s="9"/>
      <c r="K352" s="9"/>
      <c r="L352" s="9"/>
      <c r="M352" s="25"/>
      <c r="N352" s="25"/>
      <c r="O352" s="27"/>
      <c r="P352" s="27"/>
      <c r="Q352" s="27"/>
      <c r="R352" s="25"/>
      <c r="S352" s="25"/>
      <c r="T352" s="10"/>
      <c r="U352" s="9"/>
      <c r="V352" s="9"/>
      <c r="W352" s="9"/>
      <c r="X352" s="9"/>
      <c r="Y352" s="9"/>
      <c r="Z352" s="9"/>
      <c r="AA352" s="9"/>
      <c r="AB352" s="9"/>
      <c r="AC352" s="9"/>
      <c r="AD352" s="27"/>
      <c r="AE352" s="42"/>
      <c r="AF352" s="27"/>
      <c r="AG352" s="42"/>
      <c r="AH352" s="27"/>
      <c r="AI352" s="9"/>
      <c r="AJ352" s="9"/>
      <c r="AK352" s="9"/>
      <c r="AM352" s="43"/>
      <c r="AN352" s="43"/>
      <c r="AQ352" s="34"/>
      <c r="AR352" s="34"/>
      <c r="AS352" s="34"/>
      <c r="AT352" s="34"/>
    </row>
    <row r="353" spans="1:46" s="11" customFormat="1" x14ac:dyDescent="0.25">
      <c r="A353" s="23"/>
      <c r="B353" s="9"/>
      <c r="C353" s="9"/>
      <c r="D353" s="9"/>
      <c r="E353" s="9"/>
      <c r="F353" s="10"/>
      <c r="G353" s="10"/>
      <c r="H353" s="27"/>
      <c r="I353" s="9"/>
      <c r="J353" s="9"/>
      <c r="K353" s="9"/>
      <c r="L353" s="9"/>
      <c r="M353" s="25"/>
      <c r="N353" s="25"/>
      <c r="O353" s="27"/>
      <c r="P353" s="27"/>
      <c r="Q353" s="27"/>
      <c r="R353" s="25"/>
      <c r="S353" s="25"/>
      <c r="T353" s="10"/>
      <c r="U353" s="9"/>
      <c r="V353" s="9"/>
      <c r="W353" s="9"/>
      <c r="X353" s="9"/>
      <c r="Y353" s="9"/>
      <c r="Z353" s="9"/>
      <c r="AA353" s="9"/>
      <c r="AB353" s="9"/>
      <c r="AC353" s="9"/>
      <c r="AD353" s="27"/>
      <c r="AE353" s="42"/>
      <c r="AF353" s="27"/>
      <c r="AG353" s="42"/>
      <c r="AH353" s="27"/>
      <c r="AI353" s="9"/>
      <c r="AJ353" s="9"/>
      <c r="AK353" s="9"/>
      <c r="AM353" s="43"/>
      <c r="AN353" s="43"/>
      <c r="AQ353" s="34"/>
      <c r="AR353" s="34"/>
      <c r="AS353" s="34"/>
      <c r="AT353" s="34"/>
    </row>
    <row r="354" spans="1:46" s="11" customFormat="1" x14ac:dyDescent="0.25">
      <c r="A354" s="23"/>
      <c r="B354" s="9"/>
      <c r="C354" s="9"/>
      <c r="D354" s="9"/>
      <c r="E354" s="9"/>
      <c r="F354" s="10"/>
      <c r="G354" s="10"/>
      <c r="H354" s="27"/>
      <c r="I354" s="9"/>
      <c r="J354" s="9"/>
      <c r="K354" s="9"/>
      <c r="L354" s="9"/>
      <c r="M354" s="25"/>
      <c r="N354" s="25"/>
      <c r="O354" s="27"/>
      <c r="P354" s="27"/>
      <c r="Q354" s="27"/>
      <c r="R354" s="25"/>
      <c r="S354" s="25"/>
      <c r="T354" s="10"/>
      <c r="U354" s="9"/>
      <c r="V354" s="9"/>
      <c r="W354" s="9"/>
      <c r="X354" s="9"/>
      <c r="Y354" s="9"/>
      <c r="Z354" s="9"/>
      <c r="AA354" s="9"/>
      <c r="AB354" s="9"/>
      <c r="AC354" s="9"/>
      <c r="AD354" s="27"/>
      <c r="AE354" s="42"/>
      <c r="AF354" s="27"/>
      <c r="AG354" s="42"/>
      <c r="AH354" s="27"/>
      <c r="AI354" s="9"/>
      <c r="AJ354" s="9"/>
      <c r="AK354" s="9"/>
      <c r="AM354" s="43"/>
      <c r="AN354" s="43"/>
      <c r="AQ354" s="34"/>
      <c r="AR354" s="34"/>
      <c r="AS354" s="34"/>
      <c r="AT354" s="34"/>
    </row>
    <row r="355" spans="1:46" s="11" customFormat="1" x14ac:dyDescent="0.25">
      <c r="A355" s="23"/>
      <c r="B355" s="9"/>
      <c r="C355" s="9"/>
      <c r="D355" s="9"/>
      <c r="E355" s="9"/>
      <c r="F355" s="10"/>
      <c r="G355" s="10"/>
      <c r="H355" s="27"/>
      <c r="I355" s="9"/>
      <c r="J355" s="9"/>
      <c r="K355" s="9"/>
      <c r="L355" s="9"/>
      <c r="M355" s="25"/>
      <c r="N355" s="25"/>
      <c r="O355" s="27"/>
      <c r="P355" s="27"/>
      <c r="Q355" s="27"/>
      <c r="R355" s="25"/>
      <c r="S355" s="25"/>
      <c r="T355" s="10"/>
      <c r="U355" s="9"/>
      <c r="V355" s="9"/>
      <c r="W355" s="9"/>
      <c r="X355" s="9"/>
      <c r="Y355" s="9"/>
      <c r="Z355" s="9"/>
      <c r="AA355" s="9"/>
      <c r="AB355" s="9"/>
      <c r="AC355" s="9"/>
      <c r="AD355" s="27"/>
      <c r="AE355" s="42"/>
      <c r="AF355" s="27"/>
      <c r="AG355" s="42"/>
      <c r="AH355" s="27"/>
      <c r="AI355" s="9"/>
      <c r="AJ355" s="9"/>
      <c r="AK355" s="9"/>
      <c r="AM355" s="43"/>
      <c r="AN355" s="43"/>
      <c r="AQ355" s="34"/>
      <c r="AR355" s="34"/>
      <c r="AS355" s="34"/>
      <c r="AT355" s="34"/>
    </row>
    <row r="356" spans="1:46" s="11" customFormat="1" x14ac:dyDescent="0.25">
      <c r="A356" s="23"/>
      <c r="B356" s="9"/>
      <c r="C356" s="9"/>
      <c r="D356" s="9"/>
      <c r="E356" s="9"/>
      <c r="F356" s="10"/>
      <c r="G356" s="10"/>
      <c r="H356" s="27"/>
      <c r="I356" s="9"/>
      <c r="J356" s="9"/>
      <c r="K356" s="9"/>
      <c r="L356" s="9"/>
      <c r="M356" s="25"/>
      <c r="N356" s="25"/>
      <c r="O356" s="27"/>
      <c r="P356" s="27"/>
      <c r="Q356" s="27"/>
      <c r="R356" s="25"/>
      <c r="S356" s="25"/>
      <c r="T356" s="10"/>
      <c r="U356" s="9"/>
      <c r="V356" s="9"/>
      <c r="W356" s="9"/>
      <c r="X356" s="9"/>
      <c r="Y356" s="9"/>
      <c r="Z356" s="9"/>
      <c r="AA356" s="9"/>
      <c r="AB356" s="9"/>
      <c r="AC356" s="9"/>
      <c r="AD356" s="27"/>
      <c r="AE356" s="42"/>
      <c r="AF356" s="27"/>
      <c r="AG356" s="42"/>
      <c r="AH356" s="27"/>
      <c r="AI356" s="9"/>
      <c r="AJ356" s="9"/>
      <c r="AK356" s="9"/>
      <c r="AM356" s="43"/>
      <c r="AN356" s="43"/>
      <c r="AQ356" s="34"/>
      <c r="AR356" s="34"/>
      <c r="AS356" s="34"/>
      <c r="AT356" s="34"/>
    </row>
    <row r="357" spans="1:46" s="11" customFormat="1" x14ac:dyDescent="0.25">
      <c r="A357" s="23"/>
      <c r="B357" s="9"/>
      <c r="C357" s="9"/>
      <c r="D357" s="9"/>
      <c r="E357" s="9"/>
      <c r="F357" s="10"/>
      <c r="G357" s="10"/>
      <c r="H357" s="27"/>
      <c r="I357" s="9"/>
      <c r="J357" s="9"/>
      <c r="K357" s="9"/>
      <c r="L357" s="9"/>
      <c r="M357" s="25"/>
      <c r="N357" s="25"/>
      <c r="O357" s="27"/>
      <c r="P357" s="27"/>
      <c r="Q357" s="27"/>
      <c r="R357" s="25"/>
      <c r="S357" s="25"/>
      <c r="T357" s="10"/>
      <c r="U357" s="9"/>
      <c r="V357" s="9"/>
      <c r="W357" s="9"/>
      <c r="X357" s="9"/>
      <c r="Y357" s="9"/>
      <c r="Z357" s="9"/>
      <c r="AA357" s="9"/>
      <c r="AB357" s="9"/>
      <c r="AC357" s="9"/>
      <c r="AD357" s="27"/>
      <c r="AE357" s="42"/>
      <c r="AF357" s="27"/>
      <c r="AG357" s="42"/>
      <c r="AH357" s="27"/>
      <c r="AI357" s="9"/>
      <c r="AJ357" s="9"/>
      <c r="AK357" s="9"/>
      <c r="AM357" s="43"/>
      <c r="AN357" s="43"/>
      <c r="AQ357" s="34"/>
      <c r="AR357" s="34"/>
      <c r="AS357" s="34"/>
      <c r="AT357" s="34"/>
    </row>
    <row r="358" spans="1:46" s="11" customFormat="1" x14ac:dyDescent="0.25">
      <c r="A358" s="23"/>
      <c r="B358" s="9"/>
      <c r="C358" s="9"/>
      <c r="D358" s="9"/>
      <c r="E358" s="9"/>
      <c r="F358" s="10"/>
      <c r="G358" s="10"/>
      <c r="H358" s="27"/>
      <c r="I358" s="9"/>
      <c r="J358" s="9"/>
      <c r="K358" s="9"/>
      <c r="L358" s="9"/>
      <c r="M358" s="25"/>
      <c r="N358" s="25"/>
      <c r="O358" s="27"/>
      <c r="P358" s="27"/>
      <c r="Q358" s="27"/>
      <c r="R358" s="25"/>
      <c r="S358" s="25"/>
      <c r="T358" s="10"/>
      <c r="U358" s="9"/>
      <c r="V358" s="9"/>
      <c r="W358" s="9"/>
      <c r="X358" s="9"/>
      <c r="Y358" s="9"/>
      <c r="Z358" s="9"/>
      <c r="AA358" s="9"/>
      <c r="AB358" s="9"/>
      <c r="AC358" s="9"/>
      <c r="AD358" s="27"/>
      <c r="AE358" s="42"/>
      <c r="AF358" s="27"/>
      <c r="AG358" s="42"/>
      <c r="AH358" s="27"/>
      <c r="AI358" s="9"/>
      <c r="AJ358" s="9"/>
      <c r="AK358" s="9"/>
      <c r="AM358" s="43"/>
      <c r="AN358" s="43"/>
      <c r="AQ358" s="34"/>
      <c r="AR358" s="34"/>
      <c r="AS358" s="34"/>
      <c r="AT358" s="34"/>
    </row>
    <row r="359" spans="1:46" s="11" customFormat="1" x14ac:dyDescent="0.25">
      <c r="A359" s="23"/>
      <c r="B359" s="9"/>
      <c r="C359" s="9"/>
      <c r="D359" s="9"/>
      <c r="E359" s="9"/>
      <c r="F359" s="10"/>
      <c r="G359" s="10"/>
      <c r="H359" s="27"/>
      <c r="I359" s="9"/>
      <c r="J359" s="9"/>
      <c r="K359" s="9"/>
      <c r="L359" s="9"/>
      <c r="M359" s="25"/>
      <c r="N359" s="25"/>
      <c r="O359" s="27"/>
      <c r="P359" s="27"/>
      <c r="Q359" s="27"/>
      <c r="R359" s="25"/>
      <c r="S359" s="25"/>
      <c r="T359" s="10"/>
      <c r="U359" s="9"/>
      <c r="V359" s="9"/>
      <c r="W359" s="9"/>
      <c r="X359" s="9"/>
      <c r="Y359" s="9"/>
      <c r="Z359" s="9"/>
      <c r="AA359" s="9"/>
      <c r="AB359" s="9"/>
      <c r="AC359" s="9"/>
      <c r="AD359" s="27"/>
      <c r="AE359" s="42"/>
      <c r="AF359" s="27"/>
      <c r="AG359" s="42"/>
      <c r="AH359" s="27"/>
      <c r="AI359" s="9"/>
      <c r="AJ359" s="9"/>
      <c r="AK359" s="9"/>
      <c r="AM359" s="43"/>
      <c r="AN359" s="43"/>
      <c r="AQ359" s="34"/>
      <c r="AR359" s="34"/>
      <c r="AS359" s="34"/>
      <c r="AT359" s="34"/>
    </row>
    <row r="360" spans="1:46" s="11" customFormat="1" x14ac:dyDescent="0.25">
      <c r="A360" s="23"/>
      <c r="B360" s="9"/>
      <c r="C360" s="9"/>
      <c r="D360" s="9"/>
      <c r="E360" s="9"/>
      <c r="F360" s="10"/>
      <c r="G360" s="10"/>
      <c r="H360" s="27"/>
      <c r="I360" s="9"/>
      <c r="J360" s="9"/>
      <c r="K360" s="9"/>
      <c r="L360" s="9"/>
      <c r="M360" s="25"/>
      <c r="N360" s="25"/>
      <c r="O360" s="27"/>
      <c r="P360" s="27"/>
      <c r="Q360" s="27"/>
      <c r="R360" s="25"/>
      <c r="S360" s="25"/>
      <c r="T360" s="10"/>
      <c r="U360" s="9"/>
      <c r="V360" s="9"/>
      <c r="W360" s="9"/>
      <c r="X360" s="9"/>
      <c r="Y360" s="9"/>
      <c r="Z360" s="9"/>
      <c r="AA360" s="9"/>
      <c r="AB360" s="9"/>
      <c r="AC360" s="9"/>
      <c r="AD360" s="27"/>
      <c r="AE360" s="42"/>
      <c r="AF360" s="27"/>
      <c r="AG360" s="42"/>
      <c r="AH360" s="27"/>
      <c r="AI360" s="9"/>
      <c r="AJ360" s="9"/>
      <c r="AK360" s="9"/>
      <c r="AM360" s="43"/>
      <c r="AN360" s="43"/>
      <c r="AQ360" s="34"/>
      <c r="AR360" s="34"/>
      <c r="AS360" s="34"/>
      <c r="AT360" s="34"/>
    </row>
    <row r="361" spans="1:46" s="11" customFormat="1" x14ac:dyDescent="0.25">
      <c r="A361" s="23"/>
      <c r="B361" s="9"/>
      <c r="C361" s="9"/>
      <c r="D361" s="9"/>
      <c r="E361" s="9"/>
      <c r="F361" s="10"/>
      <c r="G361" s="10"/>
      <c r="H361" s="27"/>
      <c r="I361" s="9"/>
      <c r="J361" s="9"/>
      <c r="K361" s="9"/>
      <c r="L361" s="9"/>
      <c r="M361" s="25"/>
      <c r="N361" s="25"/>
      <c r="O361" s="27"/>
      <c r="P361" s="27"/>
      <c r="Q361" s="27"/>
      <c r="R361" s="25"/>
      <c r="S361" s="25"/>
      <c r="T361" s="10"/>
      <c r="U361" s="9"/>
      <c r="V361" s="9"/>
      <c r="W361" s="9"/>
      <c r="X361" s="9"/>
      <c r="Y361" s="9"/>
      <c r="Z361" s="9"/>
      <c r="AA361" s="9"/>
      <c r="AB361" s="9"/>
      <c r="AC361" s="9"/>
      <c r="AD361" s="27"/>
      <c r="AE361" s="42"/>
      <c r="AF361" s="27"/>
      <c r="AG361" s="42"/>
      <c r="AH361" s="27"/>
      <c r="AI361" s="9"/>
      <c r="AJ361" s="9"/>
      <c r="AK361" s="9"/>
      <c r="AM361" s="43"/>
      <c r="AN361" s="43"/>
      <c r="AQ361" s="34"/>
      <c r="AR361" s="34"/>
      <c r="AS361" s="34"/>
      <c r="AT361" s="34"/>
    </row>
    <row r="362" spans="1:46" s="11" customFormat="1" x14ac:dyDescent="0.25">
      <c r="A362" s="23"/>
      <c r="B362" s="9"/>
      <c r="C362" s="9"/>
      <c r="D362" s="9"/>
      <c r="E362" s="9"/>
      <c r="F362" s="10"/>
      <c r="G362" s="10"/>
      <c r="H362" s="27"/>
      <c r="I362" s="9"/>
      <c r="J362" s="9"/>
      <c r="K362" s="9"/>
      <c r="L362" s="9"/>
      <c r="M362" s="25"/>
      <c r="N362" s="25"/>
      <c r="O362" s="27"/>
      <c r="P362" s="27"/>
      <c r="Q362" s="27"/>
      <c r="R362" s="25"/>
      <c r="S362" s="25"/>
      <c r="T362" s="10"/>
      <c r="U362" s="9"/>
      <c r="V362" s="9"/>
      <c r="W362" s="9"/>
      <c r="X362" s="9"/>
      <c r="Y362" s="9"/>
      <c r="Z362" s="9"/>
      <c r="AA362" s="9"/>
      <c r="AB362" s="9"/>
      <c r="AC362" s="9"/>
      <c r="AD362" s="27"/>
      <c r="AE362" s="42"/>
      <c r="AF362" s="27"/>
      <c r="AG362" s="42"/>
      <c r="AH362" s="27"/>
      <c r="AI362" s="9"/>
      <c r="AJ362" s="9"/>
      <c r="AK362" s="9"/>
      <c r="AM362" s="43"/>
      <c r="AN362" s="43"/>
      <c r="AQ362" s="34"/>
      <c r="AR362" s="34"/>
      <c r="AS362" s="34"/>
      <c r="AT362" s="34"/>
    </row>
    <row r="363" spans="1:46" s="11" customFormat="1" x14ac:dyDescent="0.25">
      <c r="A363" s="23"/>
      <c r="B363" s="9"/>
      <c r="C363" s="9"/>
      <c r="D363" s="9"/>
      <c r="E363" s="9"/>
      <c r="F363" s="10"/>
      <c r="G363" s="10"/>
      <c r="H363" s="27"/>
      <c r="I363" s="9"/>
      <c r="J363" s="9"/>
      <c r="K363" s="9"/>
      <c r="L363" s="9"/>
      <c r="M363" s="25"/>
      <c r="N363" s="25"/>
      <c r="O363" s="27"/>
      <c r="P363" s="27"/>
      <c r="Q363" s="27"/>
      <c r="R363" s="25"/>
      <c r="S363" s="25"/>
      <c r="T363" s="10"/>
      <c r="U363" s="9"/>
      <c r="V363" s="9"/>
      <c r="W363" s="9"/>
      <c r="X363" s="9"/>
      <c r="Y363" s="9"/>
      <c r="Z363" s="9"/>
      <c r="AA363" s="9"/>
      <c r="AB363" s="9"/>
      <c r="AC363" s="9"/>
      <c r="AD363" s="27"/>
      <c r="AE363" s="42"/>
      <c r="AF363" s="27"/>
      <c r="AG363" s="42"/>
      <c r="AH363" s="27"/>
      <c r="AI363" s="9"/>
      <c r="AJ363" s="9"/>
      <c r="AK363" s="9"/>
      <c r="AM363" s="43"/>
      <c r="AN363" s="43"/>
      <c r="AQ363" s="34"/>
      <c r="AR363" s="34"/>
      <c r="AS363" s="34"/>
      <c r="AT363" s="34"/>
    </row>
    <row r="364" spans="1:46" s="11" customFormat="1" x14ac:dyDescent="0.25">
      <c r="A364" s="23"/>
      <c r="B364" s="9"/>
      <c r="C364" s="9"/>
      <c r="D364" s="9"/>
      <c r="E364" s="9"/>
      <c r="F364" s="10"/>
      <c r="G364" s="10"/>
      <c r="H364" s="27"/>
      <c r="I364" s="9"/>
      <c r="J364" s="9"/>
      <c r="K364" s="9"/>
      <c r="L364" s="9"/>
      <c r="M364" s="25"/>
      <c r="N364" s="25"/>
      <c r="O364" s="27"/>
      <c r="P364" s="27"/>
      <c r="Q364" s="27"/>
      <c r="R364" s="25"/>
      <c r="S364" s="25"/>
      <c r="T364" s="10"/>
      <c r="U364" s="9"/>
      <c r="V364" s="9"/>
      <c r="W364" s="9"/>
      <c r="X364" s="9"/>
      <c r="Y364" s="9"/>
      <c r="Z364" s="9"/>
      <c r="AA364" s="9"/>
      <c r="AB364" s="9"/>
      <c r="AC364" s="9"/>
      <c r="AD364" s="27"/>
      <c r="AE364" s="42"/>
      <c r="AF364" s="27"/>
      <c r="AG364" s="42"/>
      <c r="AH364" s="27"/>
      <c r="AI364" s="9"/>
      <c r="AJ364" s="9"/>
      <c r="AK364" s="9"/>
      <c r="AM364" s="43"/>
      <c r="AN364" s="43"/>
      <c r="AQ364" s="34"/>
      <c r="AR364" s="34"/>
      <c r="AS364" s="34"/>
      <c r="AT364" s="34"/>
    </row>
    <row r="365" spans="1:46" s="11" customFormat="1" x14ac:dyDescent="0.25">
      <c r="A365" s="23"/>
      <c r="B365" s="9"/>
      <c r="C365" s="9"/>
      <c r="D365" s="9"/>
      <c r="E365" s="9"/>
      <c r="F365" s="10"/>
      <c r="G365" s="10"/>
      <c r="H365" s="27"/>
      <c r="I365" s="9"/>
      <c r="J365" s="9"/>
      <c r="K365" s="9"/>
      <c r="L365" s="9"/>
      <c r="M365" s="25"/>
      <c r="N365" s="25"/>
      <c r="O365" s="27"/>
      <c r="P365" s="27"/>
      <c r="Q365" s="27"/>
      <c r="R365" s="25"/>
      <c r="S365" s="25"/>
      <c r="T365" s="10"/>
      <c r="U365" s="9"/>
      <c r="V365" s="9"/>
      <c r="W365" s="9"/>
      <c r="X365" s="9"/>
      <c r="Y365" s="9"/>
      <c r="Z365" s="9"/>
      <c r="AA365" s="9"/>
      <c r="AB365" s="9"/>
      <c r="AC365" s="9"/>
      <c r="AD365" s="27"/>
      <c r="AE365" s="42"/>
      <c r="AF365" s="27"/>
      <c r="AG365" s="42"/>
      <c r="AH365" s="27"/>
      <c r="AI365" s="9"/>
      <c r="AJ365" s="9"/>
      <c r="AK365" s="9"/>
      <c r="AM365" s="43"/>
      <c r="AN365" s="43"/>
      <c r="AQ365" s="34"/>
      <c r="AR365" s="34"/>
      <c r="AS365" s="34"/>
      <c r="AT365" s="34"/>
    </row>
    <row r="366" spans="1:46" s="11" customFormat="1" x14ac:dyDescent="0.25">
      <c r="A366" s="23"/>
      <c r="B366" s="9"/>
      <c r="C366" s="9"/>
      <c r="D366" s="9"/>
      <c r="E366" s="9"/>
      <c r="F366" s="10"/>
      <c r="G366" s="10"/>
      <c r="H366" s="27"/>
      <c r="I366" s="9"/>
      <c r="J366" s="9"/>
      <c r="K366" s="9"/>
      <c r="L366" s="9"/>
      <c r="M366" s="25"/>
      <c r="N366" s="25"/>
      <c r="O366" s="27"/>
      <c r="P366" s="27"/>
      <c r="Q366" s="27"/>
      <c r="R366" s="25"/>
      <c r="S366" s="25"/>
      <c r="T366" s="10"/>
      <c r="U366" s="9"/>
      <c r="V366" s="9"/>
      <c r="W366" s="9"/>
      <c r="X366" s="9"/>
      <c r="Y366" s="9"/>
      <c r="Z366" s="9"/>
      <c r="AA366" s="9"/>
      <c r="AB366" s="9"/>
      <c r="AC366" s="9"/>
      <c r="AD366" s="27"/>
      <c r="AE366" s="42"/>
      <c r="AF366" s="27"/>
      <c r="AG366" s="42"/>
      <c r="AH366" s="27"/>
      <c r="AI366" s="9"/>
      <c r="AJ366" s="9"/>
      <c r="AK366" s="9"/>
      <c r="AM366" s="43"/>
      <c r="AN366" s="43"/>
      <c r="AQ366" s="34"/>
      <c r="AR366" s="34"/>
      <c r="AS366" s="34"/>
      <c r="AT366" s="34"/>
    </row>
    <row r="367" spans="1:46" s="11" customFormat="1" x14ac:dyDescent="0.25">
      <c r="A367" s="23"/>
      <c r="B367" s="9"/>
      <c r="C367" s="9"/>
      <c r="D367" s="9"/>
      <c r="E367" s="9"/>
      <c r="F367" s="10"/>
      <c r="G367" s="10"/>
      <c r="H367" s="27"/>
      <c r="I367" s="9"/>
      <c r="J367" s="9"/>
      <c r="K367" s="9"/>
      <c r="L367" s="9"/>
      <c r="M367" s="25"/>
      <c r="N367" s="25"/>
      <c r="O367" s="27"/>
      <c r="P367" s="27"/>
      <c r="Q367" s="27"/>
      <c r="R367" s="25"/>
      <c r="S367" s="25"/>
      <c r="T367" s="10"/>
      <c r="U367" s="9"/>
      <c r="V367" s="9"/>
      <c r="W367" s="9"/>
      <c r="X367" s="9"/>
      <c r="Y367" s="9"/>
      <c r="Z367" s="9"/>
      <c r="AA367" s="9"/>
      <c r="AB367" s="9"/>
      <c r="AC367" s="9"/>
      <c r="AD367" s="27"/>
      <c r="AE367" s="42"/>
      <c r="AF367" s="27"/>
      <c r="AG367" s="42"/>
      <c r="AH367" s="27"/>
      <c r="AI367" s="9"/>
      <c r="AJ367" s="9"/>
      <c r="AK367" s="9"/>
      <c r="AM367" s="43"/>
      <c r="AN367" s="43"/>
      <c r="AQ367" s="34"/>
      <c r="AR367" s="34"/>
      <c r="AS367" s="34"/>
      <c r="AT367" s="34"/>
    </row>
    <row r="368" spans="1:46" s="11" customFormat="1" x14ac:dyDescent="0.25">
      <c r="A368" s="23"/>
      <c r="B368" s="9"/>
      <c r="C368" s="9"/>
      <c r="D368" s="9"/>
      <c r="E368" s="9"/>
      <c r="F368" s="10"/>
      <c r="G368" s="10"/>
      <c r="H368" s="27"/>
      <c r="I368" s="9"/>
      <c r="J368" s="9"/>
      <c r="K368" s="9"/>
      <c r="L368" s="9"/>
      <c r="M368" s="25"/>
      <c r="N368" s="25"/>
      <c r="O368" s="27"/>
      <c r="P368" s="27"/>
      <c r="Q368" s="27"/>
      <c r="R368" s="25"/>
      <c r="S368" s="25"/>
      <c r="T368" s="10"/>
      <c r="U368" s="9"/>
      <c r="V368" s="9"/>
      <c r="W368" s="9"/>
      <c r="X368" s="9"/>
      <c r="Y368" s="9"/>
      <c r="Z368" s="9"/>
      <c r="AA368" s="9"/>
      <c r="AB368" s="9"/>
      <c r="AC368" s="9"/>
      <c r="AD368" s="27"/>
      <c r="AE368" s="42"/>
      <c r="AF368" s="27"/>
      <c r="AG368" s="42"/>
      <c r="AH368" s="27"/>
      <c r="AI368" s="9"/>
      <c r="AJ368" s="9"/>
      <c r="AK368" s="9"/>
      <c r="AM368" s="43"/>
      <c r="AN368" s="43"/>
      <c r="AQ368" s="34"/>
      <c r="AR368" s="34"/>
      <c r="AS368" s="34"/>
      <c r="AT368" s="34"/>
    </row>
    <row r="369" spans="1:46" s="11" customFormat="1" x14ac:dyDescent="0.25">
      <c r="A369" s="23"/>
      <c r="B369" s="9"/>
      <c r="C369" s="9"/>
      <c r="D369" s="9"/>
      <c r="E369" s="9"/>
      <c r="F369" s="10"/>
      <c r="G369" s="10"/>
      <c r="H369" s="27"/>
      <c r="I369" s="9"/>
      <c r="J369" s="9"/>
      <c r="K369" s="9"/>
      <c r="L369" s="9"/>
      <c r="M369" s="25"/>
      <c r="N369" s="25"/>
      <c r="O369" s="27"/>
      <c r="P369" s="27"/>
      <c r="Q369" s="27"/>
      <c r="R369" s="25"/>
      <c r="S369" s="25"/>
      <c r="T369" s="10"/>
      <c r="U369" s="9"/>
      <c r="V369" s="9"/>
      <c r="W369" s="9"/>
      <c r="X369" s="9"/>
      <c r="Y369" s="9"/>
      <c r="Z369" s="9"/>
      <c r="AA369" s="9"/>
      <c r="AB369" s="9"/>
      <c r="AC369" s="9"/>
      <c r="AD369" s="27"/>
      <c r="AE369" s="42"/>
      <c r="AF369" s="27"/>
      <c r="AG369" s="42"/>
      <c r="AH369" s="27"/>
      <c r="AI369" s="9"/>
      <c r="AJ369" s="9"/>
      <c r="AK369" s="9"/>
      <c r="AM369" s="43"/>
      <c r="AN369" s="43"/>
      <c r="AQ369" s="34"/>
      <c r="AR369" s="34"/>
      <c r="AS369" s="34"/>
      <c r="AT369" s="34"/>
    </row>
    <row r="370" spans="1:46" s="11" customFormat="1" x14ac:dyDescent="0.25">
      <c r="A370" s="23"/>
      <c r="B370" s="9"/>
      <c r="C370" s="9"/>
      <c r="D370" s="9"/>
      <c r="E370" s="9"/>
      <c r="F370" s="10"/>
      <c r="G370" s="10"/>
      <c r="H370" s="27"/>
      <c r="I370" s="9"/>
      <c r="J370" s="9"/>
      <c r="K370" s="9"/>
      <c r="L370" s="9"/>
      <c r="M370" s="25"/>
      <c r="N370" s="25"/>
      <c r="O370" s="27"/>
      <c r="P370" s="27"/>
      <c r="Q370" s="27"/>
      <c r="R370" s="25"/>
      <c r="S370" s="25"/>
      <c r="T370" s="10"/>
      <c r="U370" s="9"/>
      <c r="V370" s="9"/>
      <c r="W370" s="9"/>
      <c r="X370" s="9"/>
      <c r="Y370" s="9"/>
      <c r="Z370" s="9"/>
      <c r="AA370" s="9"/>
      <c r="AB370" s="9"/>
      <c r="AC370" s="9"/>
      <c r="AD370" s="27"/>
      <c r="AE370" s="42"/>
      <c r="AF370" s="27"/>
      <c r="AG370" s="42"/>
      <c r="AH370" s="27"/>
      <c r="AI370" s="9"/>
      <c r="AJ370" s="9"/>
      <c r="AK370" s="9"/>
      <c r="AM370" s="43"/>
      <c r="AN370" s="43"/>
      <c r="AQ370" s="34"/>
      <c r="AR370" s="34"/>
      <c r="AS370" s="34"/>
      <c r="AT370" s="34"/>
    </row>
    <row r="371" spans="1:46" s="11" customFormat="1" x14ac:dyDescent="0.25">
      <c r="A371" s="23"/>
      <c r="B371" s="9"/>
      <c r="C371" s="9"/>
      <c r="D371" s="9"/>
      <c r="E371" s="9"/>
      <c r="F371" s="10"/>
      <c r="G371" s="10"/>
      <c r="H371" s="27"/>
      <c r="I371" s="9"/>
      <c r="J371" s="9"/>
      <c r="K371" s="9"/>
      <c r="L371" s="9"/>
      <c r="M371" s="25"/>
      <c r="N371" s="25"/>
      <c r="O371" s="27"/>
      <c r="P371" s="27"/>
      <c r="Q371" s="27"/>
      <c r="R371" s="25"/>
      <c r="S371" s="25"/>
      <c r="T371" s="10"/>
      <c r="U371" s="9"/>
      <c r="V371" s="9"/>
      <c r="W371" s="9"/>
      <c r="X371" s="9"/>
      <c r="Y371" s="9"/>
      <c r="Z371" s="9"/>
      <c r="AA371" s="9"/>
      <c r="AB371" s="9"/>
      <c r="AC371" s="9"/>
      <c r="AD371" s="27"/>
      <c r="AE371" s="42"/>
      <c r="AF371" s="27"/>
      <c r="AG371" s="42"/>
      <c r="AH371" s="27"/>
      <c r="AI371" s="9"/>
      <c r="AJ371" s="9"/>
      <c r="AK371" s="9"/>
      <c r="AM371" s="43"/>
      <c r="AN371" s="43"/>
      <c r="AQ371" s="34"/>
      <c r="AR371" s="34"/>
      <c r="AS371" s="34"/>
      <c r="AT371" s="34"/>
    </row>
    <row r="372" spans="1:46" s="11" customFormat="1" x14ac:dyDescent="0.25">
      <c r="A372" s="23"/>
      <c r="B372" s="9"/>
      <c r="C372" s="9"/>
      <c r="D372" s="9"/>
      <c r="E372" s="9"/>
      <c r="F372" s="10"/>
      <c r="G372" s="10"/>
      <c r="H372" s="27"/>
      <c r="I372" s="9"/>
      <c r="J372" s="9"/>
      <c r="K372" s="9"/>
      <c r="L372" s="9"/>
      <c r="M372" s="25"/>
      <c r="N372" s="25"/>
      <c r="O372" s="27"/>
      <c r="P372" s="27"/>
      <c r="Q372" s="27"/>
      <c r="R372" s="25"/>
      <c r="S372" s="25"/>
      <c r="T372" s="10"/>
      <c r="U372" s="9"/>
      <c r="V372" s="9"/>
      <c r="W372" s="9"/>
      <c r="X372" s="9"/>
      <c r="Y372" s="9"/>
      <c r="Z372" s="9"/>
      <c r="AA372" s="9"/>
      <c r="AB372" s="9"/>
      <c r="AC372" s="9"/>
      <c r="AD372" s="27"/>
      <c r="AE372" s="42"/>
      <c r="AF372" s="27"/>
      <c r="AG372" s="42"/>
      <c r="AH372" s="27"/>
      <c r="AI372" s="9"/>
      <c r="AJ372" s="9"/>
      <c r="AK372" s="9"/>
      <c r="AM372" s="43"/>
      <c r="AN372" s="43"/>
      <c r="AQ372" s="34"/>
      <c r="AR372" s="34"/>
      <c r="AS372" s="34"/>
      <c r="AT372" s="34"/>
    </row>
    <row r="373" spans="1:46" s="11" customFormat="1" x14ac:dyDescent="0.25">
      <c r="A373" s="23"/>
      <c r="B373" s="9"/>
      <c r="C373" s="9"/>
      <c r="D373" s="9"/>
      <c r="E373" s="9"/>
      <c r="F373" s="10"/>
      <c r="G373" s="10"/>
      <c r="H373" s="27"/>
      <c r="I373" s="9"/>
      <c r="J373" s="9"/>
      <c r="K373" s="9"/>
      <c r="L373" s="9"/>
      <c r="M373" s="25"/>
      <c r="N373" s="25"/>
      <c r="O373" s="27"/>
      <c r="P373" s="27"/>
      <c r="Q373" s="27"/>
      <c r="R373" s="25"/>
      <c r="S373" s="25"/>
      <c r="T373" s="10"/>
      <c r="U373" s="9"/>
      <c r="V373" s="9"/>
      <c r="W373" s="9"/>
      <c r="X373" s="9"/>
      <c r="Y373" s="9"/>
      <c r="Z373" s="9"/>
      <c r="AA373" s="9"/>
      <c r="AB373" s="9"/>
      <c r="AC373" s="9"/>
      <c r="AD373" s="27"/>
      <c r="AE373" s="42"/>
      <c r="AF373" s="27"/>
      <c r="AG373" s="42"/>
      <c r="AH373" s="27"/>
      <c r="AI373" s="9"/>
      <c r="AJ373" s="9"/>
      <c r="AK373" s="9"/>
      <c r="AM373" s="43"/>
      <c r="AN373" s="43"/>
      <c r="AQ373" s="34"/>
      <c r="AR373" s="34"/>
      <c r="AS373" s="34"/>
      <c r="AT373" s="34"/>
    </row>
    <row r="374" spans="1:46" s="11" customFormat="1" x14ac:dyDescent="0.25">
      <c r="A374" s="23"/>
      <c r="B374" s="9"/>
      <c r="C374" s="9"/>
      <c r="D374" s="9"/>
      <c r="E374" s="9"/>
      <c r="F374" s="10"/>
      <c r="G374" s="10"/>
      <c r="H374" s="27"/>
      <c r="I374" s="9"/>
      <c r="J374" s="9"/>
      <c r="K374" s="9"/>
      <c r="L374" s="9"/>
      <c r="M374" s="25"/>
      <c r="N374" s="25"/>
      <c r="O374" s="27"/>
      <c r="P374" s="27"/>
      <c r="Q374" s="27"/>
      <c r="R374" s="25"/>
      <c r="S374" s="25"/>
      <c r="T374" s="10"/>
      <c r="U374" s="9"/>
      <c r="V374" s="9"/>
      <c r="W374" s="9"/>
      <c r="X374" s="9"/>
      <c r="Y374" s="9"/>
      <c r="Z374" s="9"/>
      <c r="AA374" s="9"/>
      <c r="AB374" s="9"/>
      <c r="AC374" s="9"/>
      <c r="AD374" s="27"/>
      <c r="AE374" s="42"/>
      <c r="AF374" s="27"/>
      <c r="AG374" s="42"/>
      <c r="AH374" s="27"/>
      <c r="AI374" s="9"/>
      <c r="AJ374" s="9"/>
      <c r="AK374" s="9"/>
      <c r="AM374" s="43"/>
      <c r="AN374" s="43"/>
      <c r="AQ374" s="34"/>
      <c r="AR374" s="34"/>
      <c r="AS374" s="34"/>
      <c r="AT374" s="34"/>
    </row>
    <row r="375" spans="1:46" s="11" customFormat="1" x14ac:dyDescent="0.25">
      <c r="A375" s="23"/>
      <c r="B375" s="9"/>
      <c r="C375" s="9"/>
      <c r="D375" s="9"/>
      <c r="E375" s="9"/>
      <c r="F375" s="10"/>
      <c r="G375" s="10"/>
      <c r="H375" s="27"/>
      <c r="I375" s="9"/>
      <c r="J375" s="9"/>
      <c r="K375" s="9"/>
      <c r="L375" s="9"/>
      <c r="M375" s="25"/>
      <c r="N375" s="25"/>
      <c r="O375" s="27"/>
      <c r="P375" s="27"/>
      <c r="Q375" s="27"/>
      <c r="R375" s="25"/>
      <c r="S375" s="25"/>
      <c r="T375" s="10"/>
      <c r="U375" s="9"/>
      <c r="V375" s="9"/>
      <c r="W375" s="9"/>
      <c r="X375" s="9"/>
      <c r="Y375" s="9"/>
      <c r="Z375" s="9"/>
      <c r="AA375" s="9"/>
      <c r="AB375" s="9"/>
      <c r="AC375" s="9"/>
      <c r="AD375" s="27"/>
      <c r="AE375" s="42"/>
      <c r="AF375" s="27"/>
      <c r="AG375" s="42"/>
      <c r="AH375" s="27"/>
      <c r="AI375" s="9"/>
      <c r="AJ375" s="9"/>
      <c r="AK375" s="9"/>
      <c r="AM375" s="43"/>
      <c r="AN375" s="43"/>
      <c r="AQ375" s="34"/>
      <c r="AR375" s="34"/>
      <c r="AS375" s="34"/>
      <c r="AT375" s="34"/>
    </row>
    <row r="376" spans="1:46" s="11" customFormat="1" x14ac:dyDescent="0.25">
      <c r="A376" s="23"/>
      <c r="B376" s="9"/>
      <c r="C376" s="9"/>
      <c r="D376" s="9"/>
      <c r="E376" s="9"/>
      <c r="F376" s="10"/>
      <c r="G376" s="10"/>
      <c r="H376" s="27"/>
      <c r="I376" s="9"/>
      <c r="J376" s="9"/>
      <c r="K376" s="9"/>
      <c r="L376" s="9"/>
      <c r="M376" s="25"/>
      <c r="N376" s="25"/>
      <c r="O376" s="27"/>
      <c r="P376" s="27"/>
      <c r="Q376" s="27"/>
      <c r="R376" s="25"/>
      <c r="S376" s="25"/>
      <c r="T376" s="10"/>
      <c r="U376" s="9"/>
      <c r="V376" s="9"/>
      <c r="W376" s="9"/>
      <c r="X376" s="9"/>
      <c r="Y376" s="9"/>
      <c r="Z376" s="9"/>
      <c r="AA376" s="9"/>
      <c r="AB376" s="9"/>
      <c r="AC376" s="9"/>
      <c r="AD376" s="27"/>
      <c r="AE376" s="42"/>
      <c r="AF376" s="27"/>
      <c r="AG376" s="42"/>
      <c r="AH376" s="27"/>
      <c r="AI376" s="9"/>
      <c r="AJ376" s="9"/>
      <c r="AK376" s="9"/>
      <c r="AM376" s="43"/>
      <c r="AN376" s="43"/>
      <c r="AQ376" s="34"/>
      <c r="AR376" s="34"/>
      <c r="AS376" s="34"/>
      <c r="AT376" s="34"/>
    </row>
    <row r="377" spans="1:46" s="11" customFormat="1" x14ac:dyDescent="0.25">
      <c r="A377" s="23"/>
      <c r="B377" s="9"/>
      <c r="C377" s="9"/>
      <c r="D377" s="9"/>
      <c r="E377" s="9"/>
      <c r="F377" s="10"/>
      <c r="G377" s="10"/>
      <c r="H377" s="27"/>
      <c r="I377" s="9"/>
      <c r="J377" s="9"/>
      <c r="K377" s="9"/>
      <c r="L377" s="9"/>
      <c r="M377" s="25"/>
      <c r="N377" s="25"/>
      <c r="O377" s="27"/>
      <c r="P377" s="27"/>
      <c r="Q377" s="27"/>
      <c r="R377" s="25"/>
      <c r="S377" s="25"/>
      <c r="T377" s="10"/>
      <c r="U377" s="9"/>
      <c r="V377" s="9"/>
      <c r="W377" s="9"/>
      <c r="X377" s="9"/>
      <c r="Y377" s="9"/>
      <c r="Z377" s="9"/>
      <c r="AA377" s="9"/>
      <c r="AB377" s="9"/>
      <c r="AC377" s="9"/>
      <c r="AD377" s="27"/>
      <c r="AE377" s="42"/>
      <c r="AF377" s="27"/>
      <c r="AG377" s="42"/>
      <c r="AH377" s="27"/>
      <c r="AI377" s="9"/>
      <c r="AJ377" s="9"/>
      <c r="AK377" s="9"/>
      <c r="AM377" s="43"/>
      <c r="AN377" s="43"/>
      <c r="AQ377" s="34"/>
      <c r="AR377" s="34"/>
      <c r="AS377" s="34"/>
      <c r="AT377" s="34"/>
    </row>
    <row r="378" spans="1:46" s="11" customFormat="1" x14ac:dyDescent="0.25">
      <c r="A378" s="23"/>
      <c r="B378" s="9"/>
      <c r="C378" s="9"/>
      <c r="D378" s="9"/>
      <c r="E378" s="9"/>
      <c r="F378" s="10"/>
      <c r="G378" s="10"/>
      <c r="H378" s="27"/>
      <c r="I378" s="9"/>
      <c r="J378" s="9"/>
      <c r="K378" s="9"/>
      <c r="L378" s="9"/>
      <c r="M378" s="25"/>
      <c r="N378" s="25"/>
      <c r="O378" s="27"/>
      <c r="P378" s="27"/>
      <c r="Q378" s="27"/>
      <c r="R378" s="25"/>
      <c r="S378" s="25"/>
      <c r="T378" s="10"/>
      <c r="U378" s="9"/>
      <c r="V378" s="9"/>
      <c r="W378" s="9"/>
      <c r="X378" s="9"/>
      <c r="Y378" s="9"/>
      <c r="Z378" s="9"/>
      <c r="AA378" s="9"/>
      <c r="AB378" s="9"/>
      <c r="AC378" s="9"/>
      <c r="AD378" s="27"/>
      <c r="AE378" s="42"/>
      <c r="AF378" s="27"/>
      <c r="AG378" s="42"/>
      <c r="AH378" s="27"/>
      <c r="AI378" s="9"/>
      <c r="AJ378" s="9"/>
      <c r="AK378" s="9"/>
      <c r="AM378" s="43"/>
      <c r="AN378" s="43"/>
      <c r="AQ378" s="34"/>
      <c r="AR378" s="34"/>
      <c r="AS378" s="34"/>
      <c r="AT378" s="34"/>
    </row>
    <row r="379" spans="1:46" s="11" customFormat="1" x14ac:dyDescent="0.25">
      <c r="A379" s="23"/>
      <c r="B379" s="9"/>
      <c r="C379" s="9"/>
      <c r="D379" s="9"/>
      <c r="E379" s="9"/>
      <c r="F379" s="10"/>
      <c r="G379" s="10"/>
      <c r="H379" s="27"/>
      <c r="I379" s="9"/>
      <c r="J379" s="9"/>
      <c r="K379" s="9"/>
      <c r="L379" s="9"/>
      <c r="M379" s="25"/>
      <c r="N379" s="25"/>
      <c r="O379" s="27"/>
      <c r="P379" s="27"/>
      <c r="Q379" s="27"/>
      <c r="R379" s="25"/>
      <c r="S379" s="25"/>
      <c r="T379" s="10"/>
      <c r="U379" s="9"/>
      <c r="V379" s="9"/>
      <c r="W379" s="9"/>
      <c r="X379" s="9"/>
      <c r="Y379" s="9"/>
      <c r="Z379" s="9"/>
      <c r="AA379" s="9"/>
      <c r="AB379" s="9"/>
      <c r="AC379" s="9"/>
      <c r="AD379" s="27"/>
      <c r="AE379" s="42"/>
      <c r="AF379" s="27"/>
      <c r="AG379" s="42"/>
      <c r="AH379" s="27"/>
      <c r="AI379" s="9"/>
      <c r="AJ379" s="9"/>
      <c r="AK379" s="9"/>
      <c r="AM379" s="43"/>
      <c r="AN379" s="43"/>
      <c r="AQ379" s="34"/>
      <c r="AR379" s="34"/>
      <c r="AS379" s="34"/>
      <c r="AT379" s="34"/>
    </row>
    <row r="380" spans="1:46" s="11" customFormat="1" x14ac:dyDescent="0.25">
      <c r="A380" s="23"/>
      <c r="B380" s="9"/>
      <c r="C380" s="9"/>
      <c r="D380" s="9"/>
      <c r="E380" s="9"/>
      <c r="F380" s="10"/>
      <c r="G380" s="10"/>
      <c r="H380" s="27"/>
      <c r="I380" s="9"/>
      <c r="J380" s="9"/>
      <c r="K380" s="9"/>
      <c r="L380" s="9"/>
      <c r="M380" s="25"/>
      <c r="N380" s="25"/>
      <c r="O380" s="27"/>
      <c r="P380" s="27"/>
      <c r="Q380" s="27"/>
      <c r="R380" s="25"/>
      <c r="S380" s="25"/>
      <c r="T380" s="10"/>
      <c r="U380" s="9"/>
      <c r="V380" s="9"/>
      <c r="W380" s="9"/>
      <c r="X380" s="9"/>
      <c r="Y380" s="9"/>
      <c r="Z380" s="9"/>
      <c r="AA380" s="9"/>
      <c r="AB380" s="9"/>
      <c r="AC380" s="9"/>
      <c r="AD380" s="27"/>
      <c r="AE380" s="42"/>
      <c r="AF380" s="27"/>
      <c r="AG380" s="42"/>
      <c r="AH380" s="27"/>
      <c r="AI380" s="9"/>
      <c r="AJ380" s="9"/>
      <c r="AK380" s="9"/>
      <c r="AM380" s="43"/>
      <c r="AN380" s="43"/>
      <c r="AQ380" s="34"/>
      <c r="AR380" s="34"/>
      <c r="AS380" s="34"/>
      <c r="AT380" s="34"/>
    </row>
    <row r="381" spans="1:46" s="11" customFormat="1" x14ac:dyDescent="0.25">
      <c r="A381" s="23"/>
      <c r="B381" s="9"/>
      <c r="C381" s="9"/>
      <c r="D381" s="9"/>
      <c r="E381" s="9"/>
      <c r="F381" s="10"/>
      <c r="G381" s="10"/>
      <c r="H381" s="27"/>
      <c r="I381" s="9"/>
      <c r="J381" s="9"/>
      <c r="K381" s="9"/>
      <c r="L381" s="9"/>
      <c r="M381" s="25"/>
      <c r="N381" s="25"/>
      <c r="O381" s="27"/>
      <c r="P381" s="27"/>
      <c r="Q381" s="27"/>
      <c r="R381" s="25"/>
      <c r="S381" s="25"/>
      <c r="T381" s="10"/>
      <c r="U381" s="9"/>
      <c r="V381" s="9"/>
      <c r="W381" s="9"/>
      <c r="X381" s="9"/>
      <c r="Y381" s="9"/>
      <c r="Z381" s="9"/>
      <c r="AA381" s="9"/>
      <c r="AB381" s="9"/>
      <c r="AC381" s="9"/>
      <c r="AD381" s="27"/>
      <c r="AE381" s="42"/>
      <c r="AF381" s="27"/>
      <c r="AG381" s="42"/>
      <c r="AH381" s="27"/>
      <c r="AI381" s="9"/>
      <c r="AJ381" s="9"/>
      <c r="AK381" s="9"/>
      <c r="AM381" s="43"/>
      <c r="AN381" s="43"/>
      <c r="AQ381" s="34"/>
      <c r="AR381" s="34"/>
      <c r="AS381" s="34"/>
      <c r="AT381" s="34"/>
    </row>
    <row r="382" spans="1:46" s="11" customFormat="1" x14ac:dyDescent="0.25">
      <c r="A382" s="23"/>
      <c r="B382" s="9"/>
      <c r="C382" s="9"/>
      <c r="D382" s="9"/>
      <c r="E382" s="9"/>
      <c r="F382" s="10"/>
      <c r="G382" s="10"/>
      <c r="H382" s="27"/>
      <c r="I382" s="9"/>
      <c r="J382" s="9"/>
      <c r="K382" s="9"/>
      <c r="L382" s="9"/>
      <c r="M382" s="25"/>
      <c r="N382" s="25"/>
      <c r="O382" s="27"/>
      <c r="P382" s="27"/>
      <c r="Q382" s="27"/>
      <c r="R382" s="25"/>
      <c r="S382" s="25"/>
      <c r="T382" s="10"/>
      <c r="U382" s="9"/>
      <c r="V382" s="9"/>
      <c r="W382" s="9"/>
      <c r="X382" s="9"/>
      <c r="Y382" s="9"/>
      <c r="Z382" s="9"/>
      <c r="AA382" s="9"/>
      <c r="AB382" s="9"/>
      <c r="AC382" s="9"/>
      <c r="AD382" s="27"/>
      <c r="AE382" s="42"/>
      <c r="AF382" s="27"/>
      <c r="AG382" s="42"/>
      <c r="AH382" s="27"/>
      <c r="AI382" s="9"/>
      <c r="AJ382" s="9"/>
      <c r="AK382" s="9"/>
      <c r="AM382" s="43"/>
      <c r="AN382" s="43"/>
      <c r="AQ382" s="34"/>
      <c r="AR382" s="34"/>
      <c r="AS382" s="34"/>
      <c r="AT382" s="34"/>
    </row>
    <row r="383" spans="1:46" s="11" customFormat="1" x14ac:dyDescent="0.25">
      <c r="A383" s="23"/>
      <c r="B383" s="9"/>
      <c r="C383" s="9"/>
      <c r="D383" s="9"/>
      <c r="E383" s="9"/>
      <c r="F383" s="10"/>
      <c r="G383" s="10"/>
      <c r="H383" s="27"/>
      <c r="I383" s="9"/>
      <c r="J383" s="9"/>
      <c r="K383" s="9"/>
      <c r="L383" s="9"/>
      <c r="M383" s="25"/>
      <c r="N383" s="25"/>
      <c r="O383" s="27"/>
      <c r="P383" s="27"/>
      <c r="Q383" s="27"/>
      <c r="R383" s="25"/>
      <c r="S383" s="25"/>
      <c r="T383" s="10"/>
      <c r="U383" s="9"/>
      <c r="V383" s="9"/>
      <c r="W383" s="9"/>
      <c r="X383" s="9"/>
      <c r="Y383" s="9"/>
      <c r="Z383" s="9"/>
      <c r="AA383" s="9"/>
      <c r="AB383" s="9"/>
      <c r="AC383" s="9"/>
      <c r="AD383" s="27"/>
      <c r="AE383" s="42"/>
      <c r="AF383" s="27"/>
      <c r="AG383" s="42"/>
      <c r="AH383" s="27"/>
      <c r="AI383" s="9"/>
      <c r="AJ383" s="9"/>
      <c r="AK383" s="9"/>
      <c r="AM383" s="43"/>
      <c r="AN383" s="43"/>
      <c r="AQ383" s="34"/>
      <c r="AR383" s="34"/>
      <c r="AS383" s="34"/>
      <c r="AT383" s="34"/>
    </row>
    <row r="384" spans="1:46" s="11" customFormat="1" x14ac:dyDescent="0.25">
      <c r="A384" s="23"/>
      <c r="B384" s="9"/>
      <c r="C384" s="9"/>
      <c r="D384" s="9"/>
      <c r="E384" s="9"/>
      <c r="F384" s="10"/>
      <c r="G384" s="10"/>
      <c r="H384" s="27"/>
      <c r="I384" s="9"/>
      <c r="J384" s="9"/>
      <c r="K384" s="9"/>
      <c r="L384" s="9"/>
      <c r="M384" s="25"/>
      <c r="N384" s="25"/>
      <c r="O384" s="27"/>
      <c r="P384" s="27"/>
      <c r="Q384" s="27"/>
      <c r="R384" s="25"/>
      <c r="S384" s="25"/>
      <c r="T384" s="10"/>
      <c r="U384" s="9"/>
      <c r="V384" s="9"/>
      <c r="W384" s="9"/>
      <c r="X384" s="9"/>
      <c r="Y384" s="9"/>
      <c r="Z384" s="9"/>
      <c r="AA384" s="9"/>
      <c r="AB384" s="9"/>
      <c r="AC384" s="9"/>
      <c r="AD384" s="27"/>
      <c r="AE384" s="42"/>
      <c r="AF384" s="27"/>
      <c r="AG384" s="42"/>
      <c r="AH384" s="27"/>
      <c r="AI384" s="9"/>
      <c r="AJ384" s="9"/>
      <c r="AK384" s="9"/>
      <c r="AM384" s="43"/>
      <c r="AN384" s="43"/>
      <c r="AQ384" s="34"/>
      <c r="AR384" s="34"/>
      <c r="AS384" s="34"/>
      <c r="AT384" s="34"/>
    </row>
    <row r="385" spans="1:46" s="11" customFormat="1" x14ac:dyDescent="0.25">
      <c r="A385" s="23"/>
      <c r="B385" s="9"/>
      <c r="C385" s="9"/>
      <c r="D385" s="9"/>
      <c r="E385" s="9"/>
      <c r="F385" s="10"/>
      <c r="G385" s="10"/>
      <c r="H385" s="27"/>
      <c r="I385" s="9"/>
      <c r="J385" s="9"/>
      <c r="K385" s="9"/>
      <c r="L385" s="9"/>
      <c r="M385" s="25"/>
      <c r="N385" s="25"/>
      <c r="O385" s="27"/>
      <c r="P385" s="27"/>
      <c r="Q385" s="27"/>
      <c r="R385" s="25"/>
      <c r="S385" s="25"/>
      <c r="T385" s="10"/>
      <c r="U385" s="9"/>
      <c r="V385" s="9"/>
      <c r="W385" s="9"/>
      <c r="X385" s="9"/>
      <c r="Y385" s="9"/>
      <c r="Z385" s="9"/>
      <c r="AA385" s="9"/>
      <c r="AB385" s="9"/>
      <c r="AC385" s="9"/>
      <c r="AD385" s="27"/>
      <c r="AE385" s="42"/>
      <c r="AF385" s="27"/>
      <c r="AG385" s="42"/>
      <c r="AH385" s="27"/>
      <c r="AI385" s="9"/>
      <c r="AJ385" s="9"/>
      <c r="AK385" s="9"/>
      <c r="AM385" s="43"/>
      <c r="AN385" s="43"/>
      <c r="AQ385" s="34"/>
      <c r="AR385" s="34"/>
      <c r="AS385" s="34"/>
      <c r="AT385" s="34"/>
    </row>
    <row r="386" spans="1:46" s="11" customFormat="1" x14ac:dyDescent="0.25">
      <c r="A386" s="23"/>
      <c r="B386" s="9"/>
      <c r="C386" s="9"/>
      <c r="D386" s="9"/>
      <c r="E386" s="9"/>
      <c r="F386" s="10"/>
      <c r="G386" s="10"/>
      <c r="H386" s="27"/>
      <c r="I386" s="9"/>
      <c r="J386" s="9"/>
      <c r="K386" s="9"/>
      <c r="L386" s="9"/>
      <c r="M386" s="25"/>
      <c r="N386" s="25"/>
      <c r="O386" s="27"/>
      <c r="P386" s="27"/>
      <c r="Q386" s="27"/>
      <c r="R386" s="25"/>
      <c r="S386" s="25"/>
      <c r="T386" s="10"/>
      <c r="U386" s="9"/>
      <c r="V386" s="9"/>
      <c r="W386" s="9"/>
      <c r="X386" s="9"/>
      <c r="Y386" s="9"/>
      <c r="Z386" s="9"/>
      <c r="AA386" s="9"/>
      <c r="AB386" s="9"/>
      <c r="AC386" s="9"/>
      <c r="AD386" s="27"/>
      <c r="AE386" s="42"/>
      <c r="AF386" s="27"/>
      <c r="AG386" s="42"/>
      <c r="AH386" s="27"/>
      <c r="AI386" s="9"/>
      <c r="AJ386" s="9"/>
      <c r="AK386" s="9"/>
      <c r="AM386" s="43"/>
      <c r="AN386" s="43"/>
      <c r="AQ386" s="34"/>
      <c r="AR386" s="34"/>
      <c r="AS386" s="34"/>
      <c r="AT386" s="34"/>
    </row>
    <row r="387" spans="1:46" s="11" customFormat="1" x14ac:dyDescent="0.25">
      <c r="A387" s="23"/>
      <c r="B387" s="9"/>
      <c r="C387" s="9"/>
      <c r="D387" s="9"/>
      <c r="E387" s="9"/>
      <c r="F387" s="10"/>
      <c r="G387" s="10"/>
      <c r="H387" s="27"/>
      <c r="I387" s="9"/>
      <c r="J387" s="9"/>
      <c r="K387" s="9"/>
      <c r="L387" s="9"/>
      <c r="M387" s="25"/>
      <c r="N387" s="25"/>
      <c r="O387" s="27"/>
      <c r="P387" s="27"/>
      <c r="Q387" s="27"/>
      <c r="R387" s="25"/>
      <c r="S387" s="25"/>
      <c r="T387" s="10"/>
      <c r="U387" s="9"/>
      <c r="V387" s="9"/>
      <c r="W387" s="9"/>
      <c r="X387" s="9"/>
      <c r="Y387" s="9"/>
      <c r="Z387" s="9"/>
      <c r="AA387" s="9"/>
      <c r="AB387" s="9"/>
      <c r="AC387" s="9"/>
      <c r="AD387" s="27"/>
      <c r="AE387" s="42"/>
      <c r="AF387" s="27"/>
      <c r="AG387" s="42"/>
      <c r="AH387" s="27"/>
      <c r="AI387" s="9"/>
      <c r="AJ387" s="9"/>
      <c r="AK387" s="9"/>
      <c r="AM387" s="43"/>
      <c r="AN387" s="43"/>
      <c r="AQ387" s="34"/>
      <c r="AR387" s="34"/>
      <c r="AS387" s="34"/>
      <c r="AT387" s="34"/>
    </row>
    <row r="388" spans="1:46" s="11" customFormat="1" x14ac:dyDescent="0.25">
      <c r="A388" s="23"/>
      <c r="B388" s="9"/>
      <c r="C388" s="9"/>
      <c r="D388" s="9"/>
      <c r="E388" s="9"/>
      <c r="F388" s="10"/>
      <c r="G388" s="10"/>
      <c r="H388" s="27"/>
      <c r="I388" s="9"/>
      <c r="J388" s="9"/>
      <c r="K388" s="9"/>
      <c r="L388" s="9"/>
      <c r="M388" s="25"/>
      <c r="N388" s="25"/>
      <c r="O388" s="27"/>
      <c r="P388" s="27"/>
      <c r="Q388" s="27"/>
      <c r="R388" s="25"/>
      <c r="S388" s="25"/>
      <c r="T388" s="10"/>
      <c r="U388" s="9"/>
      <c r="V388" s="9"/>
      <c r="W388" s="9"/>
      <c r="X388" s="9"/>
      <c r="Y388" s="9"/>
      <c r="Z388" s="9"/>
      <c r="AA388" s="9"/>
      <c r="AB388" s="9"/>
      <c r="AC388" s="9"/>
      <c r="AD388" s="27"/>
      <c r="AE388" s="42"/>
      <c r="AF388" s="27"/>
      <c r="AG388" s="42"/>
      <c r="AH388" s="27"/>
      <c r="AI388" s="9"/>
      <c r="AJ388" s="9"/>
      <c r="AK388" s="9"/>
      <c r="AM388" s="43"/>
      <c r="AN388" s="43"/>
      <c r="AQ388" s="34"/>
      <c r="AR388" s="34"/>
      <c r="AS388" s="34"/>
      <c r="AT388" s="34"/>
    </row>
    <row r="389" spans="1:46" s="11" customFormat="1" x14ac:dyDescent="0.25">
      <c r="A389" s="23"/>
      <c r="B389" s="9"/>
      <c r="C389" s="9"/>
      <c r="D389" s="9"/>
      <c r="E389" s="9"/>
      <c r="F389" s="10"/>
      <c r="G389" s="10"/>
      <c r="H389" s="27"/>
      <c r="I389" s="9"/>
      <c r="J389" s="9"/>
      <c r="K389" s="9"/>
      <c r="L389" s="9"/>
      <c r="M389" s="25"/>
      <c r="N389" s="25"/>
      <c r="O389" s="27"/>
      <c r="P389" s="27"/>
      <c r="Q389" s="27"/>
      <c r="R389" s="25"/>
      <c r="S389" s="25"/>
      <c r="T389" s="10"/>
      <c r="U389" s="9"/>
      <c r="V389" s="9"/>
      <c r="W389" s="9"/>
      <c r="X389" s="9"/>
      <c r="Y389" s="9"/>
      <c r="Z389" s="9"/>
      <c r="AA389" s="9"/>
      <c r="AB389" s="9"/>
      <c r="AC389" s="9"/>
      <c r="AD389" s="27"/>
      <c r="AE389" s="42"/>
      <c r="AF389" s="27"/>
      <c r="AG389" s="42"/>
      <c r="AH389" s="27"/>
      <c r="AI389" s="9"/>
      <c r="AJ389" s="9"/>
      <c r="AK389" s="9"/>
      <c r="AM389" s="43"/>
      <c r="AN389" s="43"/>
      <c r="AQ389" s="34"/>
      <c r="AR389" s="34"/>
      <c r="AS389" s="34"/>
      <c r="AT389" s="34"/>
    </row>
    <row r="390" spans="1:46" s="11" customFormat="1" x14ac:dyDescent="0.25">
      <c r="A390" s="23"/>
      <c r="B390" s="9"/>
      <c r="C390" s="9"/>
      <c r="D390" s="9"/>
      <c r="E390" s="9"/>
      <c r="F390" s="10"/>
      <c r="G390" s="10"/>
      <c r="H390" s="27"/>
      <c r="I390" s="9"/>
      <c r="J390" s="9"/>
      <c r="K390" s="9"/>
      <c r="L390" s="9"/>
      <c r="M390" s="25"/>
      <c r="N390" s="25"/>
      <c r="O390" s="27"/>
      <c r="P390" s="27"/>
      <c r="Q390" s="27"/>
      <c r="R390" s="25"/>
      <c r="S390" s="25"/>
      <c r="T390" s="10"/>
      <c r="U390" s="9"/>
      <c r="V390" s="9"/>
      <c r="W390" s="9"/>
      <c r="X390" s="9"/>
      <c r="Y390" s="9"/>
      <c r="Z390" s="9"/>
      <c r="AA390" s="9"/>
      <c r="AB390" s="9"/>
      <c r="AC390" s="9"/>
      <c r="AD390" s="27"/>
      <c r="AE390" s="42"/>
      <c r="AF390" s="27"/>
      <c r="AG390" s="42"/>
      <c r="AH390" s="27"/>
      <c r="AI390" s="9"/>
      <c r="AJ390" s="9"/>
      <c r="AK390" s="9"/>
      <c r="AM390" s="43"/>
      <c r="AN390" s="43"/>
      <c r="AQ390" s="34"/>
      <c r="AR390" s="34"/>
      <c r="AS390" s="34"/>
      <c r="AT390" s="34"/>
    </row>
    <row r="391" spans="1:46" s="11" customFormat="1" x14ac:dyDescent="0.25">
      <c r="A391" s="23"/>
      <c r="B391" s="9"/>
      <c r="C391" s="9"/>
      <c r="D391" s="9"/>
      <c r="E391" s="9"/>
      <c r="F391" s="10"/>
      <c r="G391" s="10"/>
      <c r="H391" s="27"/>
      <c r="I391" s="9"/>
      <c r="J391" s="9"/>
      <c r="K391" s="9"/>
      <c r="L391" s="9"/>
      <c r="M391" s="25"/>
      <c r="N391" s="25"/>
      <c r="O391" s="27"/>
      <c r="P391" s="27"/>
      <c r="Q391" s="27"/>
      <c r="R391" s="25"/>
      <c r="S391" s="25"/>
      <c r="T391" s="10"/>
      <c r="U391" s="9"/>
      <c r="V391" s="9"/>
      <c r="W391" s="9"/>
      <c r="X391" s="9"/>
      <c r="Y391" s="9"/>
      <c r="Z391" s="9"/>
      <c r="AA391" s="9"/>
      <c r="AB391" s="9"/>
      <c r="AC391" s="9"/>
      <c r="AD391" s="27"/>
      <c r="AE391" s="42"/>
      <c r="AF391" s="27"/>
      <c r="AG391" s="42"/>
      <c r="AH391" s="27"/>
      <c r="AI391" s="9"/>
      <c r="AJ391" s="9"/>
      <c r="AK391" s="9"/>
      <c r="AM391" s="43"/>
      <c r="AN391" s="43"/>
      <c r="AQ391" s="34"/>
      <c r="AR391" s="34"/>
      <c r="AS391" s="34"/>
      <c r="AT391" s="34"/>
    </row>
    <row r="392" spans="1:46" s="11" customFormat="1" x14ac:dyDescent="0.25">
      <c r="A392" s="23"/>
      <c r="B392" s="9"/>
      <c r="C392" s="9"/>
      <c r="D392" s="9"/>
      <c r="E392" s="9"/>
      <c r="F392" s="10"/>
      <c r="G392" s="10"/>
      <c r="H392" s="27"/>
      <c r="I392" s="9"/>
      <c r="J392" s="9"/>
      <c r="K392" s="9"/>
      <c r="L392" s="9"/>
      <c r="M392" s="25"/>
      <c r="N392" s="25"/>
      <c r="O392" s="27"/>
      <c r="P392" s="27"/>
      <c r="Q392" s="27"/>
      <c r="R392" s="25"/>
      <c r="S392" s="25"/>
      <c r="T392" s="10"/>
      <c r="U392" s="9"/>
      <c r="V392" s="9"/>
      <c r="W392" s="9"/>
      <c r="X392" s="9"/>
      <c r="Y392" s="9"/>
      <c r="Z392" s="9"/>
      <c r="AA392" s="9"/>
      <c r="AB392" s="9"/>
      <c r="AC392" s="9"/>
      <c r="AD392" s="27"/>
      <c r="AE392" s="42"/>
      <c r="AF392" s="27"/>
      <c r="AG392" s="42"/>
      <c r="AH392" s="27"/>
      <c r="AI392" s="9"/>
      <c r="AJ392" s="9"/>
      <c r="AK392" s="9"/>
      <c r="AM392" s="43"/>
      <c r="AN392" s="43"/>
      <c r="AQ392" s="34"/>
      <c r="AR392" s="34"/>
      <c r="AS392" s="34"/>
      <c r="AT392" s="34"/>
    </row>
    <row r="393" spans="1:46" s="11" customFormat="1" x14ac:dyDescent="0.25">
      <c r="A393" s="23"/>
      <c r="B393" s="9"/>
      <c r="C393" s="9"/>
      <c r="D393" s="9"/>
      <c r="E393" s="9"/>
      <c r="F393" s="10"/>
      <c r="G393" s="10"/>
      <c r="H393" s="27"/>
      <c r="I393" s="9"/>
      <c r="J393" s="9"/>
      <c r="K393" s="9"/>
      <c r="L393" s="9"/>
      <c r="M393" s="25"/>
      <c r="N393" s="25"/>
      <c r="O393" s="27"/>
      <c r="P393" s="27"/>
      <c r="Q393" s="27"/>
      <c r="R393" s="25"/>
      <c r="S393" s="25"/>
      <c r="T393" s="10"/>
      <c r="U393" s="9"/>
      <c r="V393" s="9"/>
      <c r="W393" s="9"/>
      <c r="X393" s="9"/>
      <c r="Y393" s="9"/>
      <c r="Z393" s="9"/>
      <c r="AA393" s="9"/>
      <c r="AB393" s="9"/>
      <c r="AC393" s="9"/>
      <c r="AD393" s="27"/>
      <c r="AE393" s="42"/>
      <c r="AF393" s="27"/>
      <c r="AG393" s="42"/>
      <c r="AH393" s="27"/>
      <c r="AI393" s="9"/>
      <c r="AJ393" s="9"/>
      <c r="AK393" s="9"/>
      <c r="AM393" s="43"/>
      <c r="AN393" s="43"/>
      <c r="AQ393" s="34"/>
      <c r="AR393" s="34"/>
      <c r="AS393" s="34"/>
      <c r="AT393" s="34"/>
    </row>
    <row r="394" spans="1:46" s="11" customFormat="1" x14ac:dyDescent="0.25">
      <c r="A394" s="23"/>
      <c r="B394" s="9"/>
      <c r="C394" s="9"/>
      <c r="D394" s="9"/>
      <c r="E394" s="9"/>
      <c r="F394" s="10"/>
      <c r="G394" s="10"/>
      <c r="H394" s="27"/>
      <c r="I394" s="9"/>
      <c r="J394" s="9"/>
      <c r="K394" s="9"/>
      <c r="L394" s="9"/>
      <c r="M394" s="25"/>
      <c r="N394" s="25"/>
      <c r="O394" s="27"/>
      <c r="P394" s="27"/>
      <c r="Q394" s="27"/>
      <c r="R394" s="25"/>
      <c r="S394" s="25"/>
      <c r="T394" s="10"/>
      <c r="U394" s="9"/>
      <c r="V394" s="9"/>
      <c r="W394" s="9"/>
      <c r="X394" s="9"/>
      <c r="Y394" s="9"/>
      <c r="Z394" s="9"/>
      <c r="AA394" s="9"/>
      <c r="AB394" s="9"/>
      <c r="AC394" s="9"/>
      <c r="AD394" s="27"/>
      <c r="AE394" s="42"/>
      <c r="AF394" s="27"/>
      <c r="AG394" s="42"/>
      <c r="AH394" s="27"/>
      <c r="AI394" s="9"/>
      <c r="AJ394" s="9"/>
      <c r="AK394" s="9"/>
      <c r="AM394" s="43"/>
      <c r="AN394" s="43"/>
      <c r="AQ394" s="34"/>
      <c r="AR394" s="34"/>
      <c r="AS394" s="34"/>
      <c r="AT394" s="34"/>
    </row>
    <row r="395" spans="1:46" s="11" customFormat="1" x14ac:dyDescent="0.25">
      <c r="A395" s="23"/>
      <c r="B395" s="9"/>
      <c r="C395" s="9"/>
      <c r="D395" s="9"/>
      <c r="E395" s="9"/>
      <c r="F395" s="10"/>
      <c r="G395" s="10"/>
      <c r="H395" s="27"/>
      <c r="I395" s="9"/>
      <c r="J395" s="9"/>
      <c r="K395" s="9"/>
      <c r="L395" s="9"/>
      <c r="M395" s="25"/>
      <c r="N395" s="25"/>
      <c r="O395" s="27"/>
      <c r="P395" s="27"/>
      <c r="Q395" s="27"/>
      <c r="R395" s="25"/>
      <c r="S395" s="25"/>
      <c r="T395" s="10"/>
      <c r="U395" s="9"/>
      <c r="V395" s="9"/>
      <c r="W395" s="9"/>
      <c r="X395" s="9"/>
      <c r="Y395" s="9"/>
      <c r="Z395" s="9"/>
      <c r="AA395" s="9"/>
      <c r="AB395" s="9"/>
      <c r="AC395" s="9"/>
      <c r="AD395" s="27"/>
      <c r="AE395" s="42"/>
      <c r="AF395" s="27"/>
      <c r="AG395" s="42"/>
      <c r="AH395" s="27"/>
      <c r="AI395" s="9"/>
      <c r="AJ395" s="9"/>
      <c r="AK395" s="9"/>
      <c r="AM395" s="43"/>
      <c r="AN395" s="43"/>
      <c r="AQ395" s="34"/>
      <c r="AR395" s="34"/>
      <c r="AS395" s="34"/>
      <c r="AT395" s="34"/>
    </row>
    <row r="396" spans="1:46" s="11" customFormat="1" x14ac:dyDescent="0.25">
      <c r="A396" s="23"/>
      <c r="B396" s="9"/>
      <c r="C396" s="9"/>
      <c r="D396" s="9"/>
      <c r="E396" s="9"/>
      <c r="F396" s="10"/>
      <c r="G396" s="10"/>
      <c r="H396" s="27"/>
      <c r="I396" s="9"/>
      <c r="J396" s="9"/>
      <c r="K396" s="9"/>
      <c r="L396" s="9"/>
      <c r="M396" s="25"/>
      <c r="N396" s="25"/>
      <c r="O396" s="27"/>
      <c r="P396" s="27"/>
      <c r="Q396" s="27"/>
      <c r="R396" s="25"/>
      <c r="S396" s="25"/>
      <c r="T396" s="10"/>
      <c r="U396" s="9"/>
      <c r="V396" s="9"/>
      <c r="W396" s="9"/>
      <c r="X396" s="9"/>
      <c r="Y396" s="9"/>
      <c r="Z396" s="9"/>
      <c r="AA396" s="9"/>
      <c r="AB396" s="9"/>
      <c r="AC396" s="9"/>
      <c r="AD396" s="27"/>
      <c r="AE396" s="42"/>
      <c r="AF396" s="27"/>
      <c r="AG396" s="42"/>
      <c r="AH396" s="27"/>
      <c r="AI396" s="9"/>
      <c r="AJ396" s="9"/>
      <c r="AK396" s="9"/>
      <c r="AM396" s="43"/>
      <c r="AN396" s="43"/>
      <c r="AQ396" s="34"/>
      <c r="AR396" s="34"/>
      <c r="AS396" s="34"/>
      <c r="AT396" s="34"/>
    </row>
    <row r="397" spans="1:46" s="11" customFormat="1" x14ac:dyDescent="0.25">
      <c r="A397" s="23"/>
      <c r="B397" s="9"/>
      <c r="C397" s="9"/>
      <c r="D397" s="9"/>
      <c r="E397" s="9"/>
      <c r="F397" s="10"/>
      <c r="G397" s="10"/>
      <c r="H397" s="27"/>
      <c r="I397" s="9"/>
      <c r="J397" s="9"/>
      <c r="K397" s="9"/>
      <c r="L397" s="9"/>
      <c r="M397" s="25"/>
      <c r="N397" s="25"/>
      <c r="O397" s="27"/>
      <c r="P397" s="27"/>
      <c r="Q397" s="27"/>
      <c r="R397" s="25"/>
      <c r="S397" s="25"/>
      <c r="T397" s="10"/>
      <c r="U397" s="9"/>
      <c r="V397" s="9"/>
      <c r="W397" s="9"/>
      <c r="X397" s="9"/>
      <c r="Y397" s="9"/>
      <c r="Z397" s="9"/>
      <c r="AA397" s="9"/>
      <c r="AB397" s="9"/>
      <c r="AC397" s="9"/>
      <c r="AD397" s="27"/>
      <c r="AE397" s="42"/>
      <c r="AF397" s="27"/>
      <c r="AG397" s="42"/>
      <c r="AH397" s="27"/>
      <c r="AI397" s="9"/>
      <c r="AJ397" s="9"/>
      <c r="AK397" s="9"/>
      <c r="AM397" s="43"/>
      <c r="AN397" s="43"/>
      <c r="AQ397" s="34"/>
      <c r="AR397" s="34"/>
      <c r="AS397" s="34"/>
      <c r="AT397" s="34"/>
    </row>
    <row r="398" spans="1:46" s="11" customFormat="1" x14ac:dyDescent="0.25">
      <c r="A398" s="23"/>
      <c r="B398" s="9"/>
      <c r="C398" s="9"/>
      <c r="D398" s="9"/>
      <c r="E398" s="9"/>
      <c r="F398" s="10"/>
      <c r="G398" s="10"/>
      <c r="H398" s="27"/>
      <c r="I398" s="9"/>
      <c r="J398" s="9"/>
      <c r="K398" s="9"/>
      <c r="L398" s="9"/>
      <c r="M398" s="25"/>
      <c r="N398" s="25"/>
      <c r="O398" s="27"/>
      <c r="P398" s="27"/>
      <c r="Q398" s="27"/>
      <c r="R398" s="25"/>
      <c r="S398" s="25"/>
      <c r="T398" s="10"/>
      <c r="U398" s="9"/>
      <c r="V398" s="9"/>
      <c r="W398" s="9"/>
      <c r="X398" s="9"/>
      <c r="Y398" s="9"/>
      <c r="Z398" s="9"/>
      <c r="AA398" s="9"/>
      <c r="AB398" s="9"/>
      <c r="AC398" s="9"/>
      <c r="AD398" s="27"/>
      <c r="AE398" s="42"/>
      <c r="AF398" s="27"/>
      <c r="AG398" s="42"/>
      <c r="AH398" s="27"/>
      <c r="AI398" s="9"/>
      <c r="AJ398" s="9"/>
      <c r="AK398" s="9"/>
      <c r="AM398" s="43"/>
      <c r="AN398" s="43"/>
      <c r="AQ398" s="34"/>
      <c r="AR398" s="34"/>
      <c r="AS398" s="34"/>
      <c r="AT398" s="34"/>
    </row>
    <row r="399" spans="1:46" s="11" customFormat="1" x14ac:dyDescent="0.25">
      <c r="A399" s="23"/>
      <c r="B399" s="9"/>
      <c r="C399" s="9"/>
      <c r="D399" s="9"/>
      <c r="E399" s="9"/>
      <c r="F399" s="10"/>
      <c r="G399" s="10"/>
      <c r="H399" s="27"/>
      <c r="I399" s="9"/>
      <c r="J399" s="9"/>
      <c r="K399" s="9"/>
      <c r="L399" s="9"/>
      <c r="M399" s="25"/>
      <c r="N399" s="25"/>
      <c r="O399" s="27"/>
      <c r="P399" s="27"/>
      <c r="Q399" s="27"/>
      <c r="R399" s="25"/>
      <c r="S399" s="25"/>
      <c r="T399" s="10"/>
      <c r="U399" s="9"/>
      <c r="V399" s="9"/>
      <c r="W399" s="9"/>
      <c r="X399" s="9"/>
      <c r="Y399" s="9"/>
      <c r="Z399" s="9"/>
      <c r="AA399" s="9"/>
      <c r="AB399" s="9"/>
      <c r="AC399" s="9"/>
      <c r="AD399" s="27"/>
      <c r="AE399" s="42"/>
      <c r="AF399" s="27"/>
      <c r="AG399" s="42"/>
      <c r="AH399" s="27"/>
      <c r="AI399" s="9"/>
      <c r="AJ399" s="9"/>
      <c r="AK399" s="9"/>
      <c r="AM399" s="43"/>
      <c r="AN399" s="43"/>
      <c r="AQ399" s="34"/>
      <c r="AR399" s="34"/>
      <c r="AS399" s="34"/>
      <c r="AT399" s="34"/>
    </row>
    <row r="400" spans="1:46" s="11" customFormat="1" x14ac:dyDescent="0.25">
      <c r="A400" s="23"/>
      <c r="B400" s="9"/>
      <c r="C400" s="9"/>
      <c r="D400" s="9"/>
      <c r="E400" s="9"/>
      <c r="F400" s="10"/>
      <c r="G400" s="10"/>
      <c r="H400" s="27"/>
      <c r="I400" s="9"/>
      <c r="J400" s="9"/>
      <c r="K400" s="9"/>
      <c r="L400" s="9"/>
      <c r="M400" s="25"/>
      <c r="N400" s="25"/>
      <c r="O400" s="27"/>
      <c r="P400" s="27"/>
      <c r="Q400" s="27"/>
      <c r="R400" s="25"/>
      <c r="S400" s="25"/>
      <c r="T400" s="10"/>
      <c r="U400" s="9"/>
      <c r="V400" s="9"/>
      <c r="W400" s="9"/>
      <c r="X400" s="9"/>
      <c r="Y400" s="9"/>
      <c r="Z400" s="9"/>
      <c r="AA400" s="9"/>
      <c r="AB400" s="9"/>
      <c r="AC400" s="9"/>
      <c r="AD400" s="27"/>
      <c r="AE400" s="42"/>
      <c r="AF400" s="27"/>
      <c r="AG400" s="42"/>
      <c r="AH400" s="27"/>
      <c r="AI400" s="9"/>
      <c r="AJ400" s="9"/>
      <c r="AK400" s="9"/>
      <c r="AM400" s="43"/>
      <c r="AN400" s="43"/>
      <c r="AQ400" s="34"/>
      <c r="AR400" s="34"/>
      <c r="AS400" s="34"/>
      <c r="AT400" s="34"/>
    </row>
    <row r="401" spans="1:46" s="11" customFormat="1" x14ac:dyDescent="0.25">
      <c r="A401" s="23"/>
      <c r="B401" s="9"/>
      <c r="C401" s="9"/>
      <c r="D401" s="9"/>
      <c r="E401" s="9"/>
      <c r="F401" s="10"/>
      <c r="G401" s="10"/>
      <c r="H401" s="27"/>
      <c r="I401" s="9"/>
      <c r="J401" s="9"/>
      <c r="K401" s="9"/>
      <c r="L401" s="9"/>
      <c r="M401" s="25"/>
      <c r="N401" s="25"/>
      <c r="O401" s="27"/>
      <c r="P401" s="27"/>
      <c r="Q401" s="27"/>
      <c r="R401" s="25"/>
      <c r="S401" s="25"/>
      <c r="T401" s="10"/>
      <c r="U401" s="9"/>
      <c r="V401" s="9"/>
      <c r="W401" s="9"/>
      <c r="X401" s="9"/>
      <c r="Y401" s="9"/>
      <c r="Z401" s="9"/>
      <c r="AA401" s="9"/>
      <c r="AB401" s="9"/>
      <c r="AC401" s="9"/>
      <c r="AD401" s="27"/>
      <c r="AE401" s="42"/>
      <c r="AF401" s="27"/>
      <c r="AG401" s="42"/>
      <c r="AH401" s="27"/>
      <c r="AI401" s="9"/>
      <c r="AJ401" s="9"/>
      <c r="AK401" s="9"/>
      <c r="AM401" s="43"/>
      <c r="AN401" s="43"/>
      <c r="AQ401" s="34"/>
      <c r="AR401" s="34"/>
      <c r="AS401" s="34"/>
      <c r="AT401" s="34"/>
    </row>
    <row r="402" spans="1:46" s="11" customFormat="1" x14ac:dyDescent="0.25">
      <c r="A402" s="23"/>
      <c r="B402" s="9"/>
      <c r="C402" s="9"/>
      <c r="D402" s="9"/>
      <c r="E402" s="9"/>
      <c r="F402" s="10"/>
      <c r="G402" s="10"/>
      <c r="H402" s="27"/>
      <c r="I402" s="9"/>
      <c r="J402" s="9"/>
      <c r="K402" s="9"/>
      <c r="L402" s="9"/>
      <c r="M402" s="25"/>
      <c r="N402" s="25"/>
      <c r="O402" s="27"/>
      <c r="P402" s="27"/>
      <c r="Q402" s="27"/>
      <c r="R402" s="25"/>
      <c r="S402" s="25"/>
      <c r="T402" s="10"/>
      <c r="U402" s="9"/>
      <c r="V402" s="9"/>
      <c r="W402" s="9"/>
      <c r="X402" s="9"/>
      <c r="Y402" s="9"/>
      <c r="Z402" s="9"/>
      <c r="AA402" s="9"/>
      <c r="AB402" s="9"/>
      <c r="AC402" s="9"/>
      <c r="AD402" s="27"/>
      <c r="AE402" s="42"/>
      <c r="AF402" s="27"/>
      <c r="AG402" s="42"/>
      <c r="AH402" s="27"/>
      <c r="AI402" s="9"/>
      <c r="AJ402" s="9"/>
      <c r="AK402" s="9"/>
      <c r="AM402" s="43"/>
      <c r="AN402" s="43"/>
      <c r="AQ402" s="34"/>
      <c r="AR402" s="34"/>
      <c r="AS402" s="34"/>
      <c r="AT402" s="34"/>
    </row>
    <row r="403" spans="1:46" s="11" customFormat="1" x14ac:dyDescent="0.25">
      <c r="A403" s="23"/>
      <c r="B403" s="9"/>
      <c r="C403" s="9"/>
      <c r="D403" s="9"/>
      <c r="E403" s="9"/>
      <c r="F403" s="10"/>
      <c r="G403" s="10"/>
      <c r="H403" s="27"/>
      <c r="I403" s="9"/>
      <c r="J403" s="9"/>
      <c r="K403" s="9"/>
      <c r="L403" s="9"/>
      <c r="M403" s="25"/>
      <c r="N403" s="25"/>
      <c r="O403" s="27"/>
      <c r="P403" s="27"/>
      <c r="Q403" s="27"/>
      <c r="R403" s="25"/>
      <c r="S403" s="25"/>
      <c r="T403" s="10"/>
      <c r="U403" s="9"/>
      <c r="V403" s="9"/>
      <c r="W403" s="9"/>
      <c r="X403" s="9"/>
      <c r="Y403" s="9"/>
      <c r="Z403" s="9"/>
      <c r="AA403" s="9"/>
      <c r="AB403" s="9"/>
      <c r="AC403" s="9"/>
      <c r="AD403" s="27"/>
      <c r="AE403" s="42"/>
      <c r="AF403" s="27"/>
      <c r="AG403" s="42"/>
      <c r="AH403" s="27"/>
      <c r="AI403" s="9"/>
      <c r="AJ403" s="9"/>
      <c r="AK403" s="9"/>
      <c r="AM403" s="43"/>
      <c r="AN403" s="43"/>
      <c r="AQ403" s="34"/>
      <c r="AR403" s="34"/>
      <c r="AS403" s="34"/>
      <c r="AT403" s="34"/>
    </row>
    <row r="404" spans="1:46" s="11" customFormat="1" x14ac:dyDescent="0.25">
      <c r="A404" s="23"/>
      <c r="B404" s="9"/>
      <c r="C404" s="9"/>
      <c r="D404" s="9"/>
      <c r="E404" s="9"/>
      <c r="F404" s="10"/>
      <c r="G404" s="10"/>
      <c r="H404" s="27"/>
      <c r="I404" s="9"/>
      <c r="J404" s="9"/>
      <c r="K404" s="9"/>
      <c r="L404" s="9"/>
      <c r="M404" s="25"/>
      <c r="N404" s="25"/>
      <c r="O404" s="27"/>
      <c r="P404" s="27"/>
      <c r="Q404" s="27"/>
      <c r="R404" s="25"/>
      <c r="S404" s="25"/>
      <c r="T404" s="10"/>
      <c r="U404" s="9"/>
      <c r="V404" s="9"/>
      <c r="W404" s="9"/>
      <c r="X404" s="9"/>
      <c r="Y404" s="9"/>
      <c r="Z404" s="9"/>
      <c r="AA404" s="9"/>
      <c r="AB404" s="9"/>
      <c r="AC404" s="9"/>
      <c r="AD404" s="27"/>
      <c r="AE404" s="42"/>
      <c r="AF404" s="27"/>
      <c r="AG404" s="42"/>
      <c r="AH404" s="27"/>
      <c r="AI404" s="9"/>
      <c r="AJ404" s="9"/>
      <c r="AK404" s="9"/>
      <c r="AM404" s="43"/>
      <c r="AN404" s="43"/>
      <c r="AQ404" s="34"/>
      <c r="AR404" s="34"/>
      <c r="AS404" s="34"/>
      <c r="AT404" s="34"/>
    </row>
    <row r="405" spans="1:46" s="11" customFormat="1" x14ac:dyDescent="0.25">
      <c r="A405" s="23"/>
      <c r="B405" s="9"/>
      <c r="C405" s="9"/>
      <c r="D405" s="9"/>
      <c r="E405" s="9"/>
      <c r="F405" s="10"/>
      <c r="G405" s="10"/>
      <c r="H405" s="27"/>
      <c r="I405" s="9"/>
      <c r="J405" s="9"/>
      <c r="K405" s="9"/>
      <c r="L405" s="9"/>
      <c r="M405" s="25"/>
      <c r="N405" s="25"/>
      <c r="O405" s="27"/>
      <c r="P405" s="27"/>
      <c r="Q405" s="27"/>
      <c r="R405" s="25"/>
      <c r="S405" s="25"/>
      <c r="T405" s="10"/>
      <c r="U405" s="9"/>
      <c r="V405" s="9"/>
      <c r="W405" s="9"/>
      <c r="X405" s="9"/>
      <c r="Y405" s="9"/>
      <c r="Z405" s="9"/>
      <c r="AA405" s="9"/>
      <c r="AB405" s="9"/>
      <c r="AC405" s="9"/>
      <c r="AD405" s="27"/>
      <c r="AE405" s="42"/>
      <c r="AF405" s="27"/>
      <c r="AG405" s="42"/>
      <c r="AH405" s="27"/>
      <c r="AI405" s="9"/>
      <c r="AJ405" s="9"/>
      <c r="AK405" s="9"/>
      <c r="AM405" s="43"/>
      <c r="AN405" s="43"/>
      <c r="AQ405" s="34"/>
      <c r="AR405" s="34"/>
      <c r="AS405" s="34"/>
      <c r="AT405" s="34"/>
    </row>
    <row r="406" spans="1:46" s="11" customFormat="1" x14ac:dyDescent="0.25">
      <c r="A406" s="23"/>
      <c r="B406" s="9"/>
      <c r="C406" s="9"/>
      <c r="D406" s="9"/>
      <c r="E406" s="9"/>
      <c r="F406" s="10"/>
      <c r="G406" s="10"/>
      <c r="H406" s="27"/>
      <c r="I406" s="9"/>
      <c r="J406" s="9"/>
      <c r="K406" s="9"/>
      <c r="L406" s="9"/>
      <c r="M406" s="25"/>
      <c r="N406" s="25"/>
      <c r="O406" s="27"/>
      <c r="P406" s="27"/>
      <c r="Q406" s="27"/>
      <c r="R406" s="25"/>
      <c r="S406" s="25"/>
      <c r="T406" s="10"/>
      <c r="U406" s="9"/>
      <c r="V406" s="9"/>
      <c r="W406" s="9"/>
      <c r="X406" s="9"/>
      <c r="Y406" s="9"/>
      <c r="Z406" s="9"/>
      <c r="AA406" s="9"/>
      <c r="AB406" s="9"/>
      <c r="AC406" s="9"/>
      <c r="AD406" s="27"/>
      <c r="AE406" s="42"/>
      <c r="AF406" s="27"/>
      <c r="AG406" s="42"/>
      <c r="AH406" s="27"/>
      <c r="AI406" s="9"/>
      <c r="AJ406" s="9"/>
      <c r="AK406" s="9"/>
      <c r="AM406" s="43"/>
      <c r="AN406" s="43"/>
      <c r="AQ406" s="34"/>
      <c r="AR406" s="34"/>
      <c r="AS406" s="34"/>
      <c r="AT406" s="34"/>
    </row>
    <row r="407" spans="1:46" s="11" customFormat="1" x14ac:dyDescent="0.25">
      <c r="A407" s="23"/>
      <c r="B407" s="9"/>
      <c r="C407" s="9"/>
      <c r="D407" s="9"/>
      <c r="E407" s="9"/>
      <c r="F407" s="10"/>
      <c r="G407" s="10"/>
      <c r="H407" s="27"/>
      <c r="I407" s="9"/>
      <c r="J407" s="9"/>
      <c r="K407" s="9"/>
      <c r="L407" s="9"/>
      <c r="M407" s="25"/>
      <c r="N407" s="25"/>
      <c r="O407" s="27"/>
      <c r="P407" s="27"/>
      <c r="Q407" s="27"/>
      <c r="R407" s="25"/>
      <c r="S407" s="25"/>
      <c r="T407" s="10"/>
      <c r="U407" s="9"/>
      <c r="V407" s="9"/>
      <c r="W407" s="9"/>
      <c r="X407" s="9"/>
      <c r="Y407" s="9"/>
      <c r="Z407" s="9"/>
      <c r="AA407" s="9"/>
      <c r="AB407" s="9"/>
      <c r="AC407" s="9"/>
      <c r="AD407" s="27"/>
      <c r="AE407" s="42"/>
      <c r="AF407" s="27"/>
      <c r="AG407" s="42"/>
      <c r="AH407" s="27"/>
      <c r="AI407" s="9"/>
      <c r="AJ407" s="9"/>
      <c r="AK407" s="9"/>
      <c r="AM407" s="43"/>
      <c r="AN407" s="43"/>
      <c r="AQ407" s="34"/>
      <c r="AR407" s="34"/>
      <c r="AS407" s="34"/>
      <c r="AT407" s="34"/>
    </row>
    <row r="408" spans="1:46" s="11" customFormat="1" x14ac:dyDescent="0.25">
      <c r="A408" s="23"/>
      <c r="B408" s="9"/>
      <c r="C408" s="9"/>
      <c r="D408" s="9"/>
      <c r="E408" s="9"/>
      <c r="F408" s="10"/>
      <c r="G408" s="10"/>
      <c r="H408" s="27"/>
      <c r="I408" s="9"/>
      <c r="J408" s="9"/>
      <c r="K408" s="9"/>
      <c r="L408" s="9"/>
      <c r="M408" s="25"/>
      <c r="N408" s="25"/>
      <c r="O408" s="27"/>
      <c r="P408" s="27"/>
      <c r="Q408" s="27"/>
      <c r="R408" s="25"/>
      <c r="S408" s="25"/>
      <c r="T408" s="10"/>
      <c r="U408" s="9"/>
      <c r="V408" s="9"/>
      <c r="W408" s="9"/>
      <c r="X408" s="9"/>
      <c r="Y408" s="9"/>
      <c r="Z408" s="9"/>
      <c r="AA408" s="9"/>
      <c r="AB408" s="9"/>
      <c r="AC408" s="9"/>
      <c r="AD408" s="27"/>
      <c r="AE408" s="42"/>
      <c r="AF408" s="27"/>
      <c r="AG408" s="42"/>
      <c r="AH408" s="27"/>
      <c r="AI408" s="9"/>
      <c r="AJ408" s="9"/>
      <c r="AK408" s="9"/>
      <c r="AM408" s="43"/>
      <c r="AN408" s="43"/>
      <c r="AQ408" s="34"/>
      <c r="AR408" s="34"/>
      <c r="AS408" s="34"/>
      <c r="AT408" s="34"/>
    </row>
    <row r="409" spans="1:46" s="11" customFormat="1" x14ac:dyDescent="0.25">
      <c r="A409" s="23"/>
      <c r="B409" s="9"/>
      <c r="C409" s="9"/>
      <c r="D409" s="9"/>
      <c r="E409" s="9"/>
      <c r="F409" s="10"/>
      <c r="G409" s="10"/>
      <c r="H409" s="27"/>
      <c r="I409" s="9"/>
      <c r="J409" s="9"/>
      <c r="K409" s="9"/>
      <c r="L409" s="9"/>
      <c r="M409" s="25"/>
      <c r="N409" s="25"/>
      <c r="O409" s="27"/>
      <c r="P409" s="27"/>
      <c r="Q409" s="27"/>
      <c r="R409" s="25"/>
      <c r="S409" s="25"/>
      <c r="T409" s="10"/>
      <c r="U409" s="9"/>
      <c r="V409" s="9"/>
      <c r="W409" s="9"/>
      <c r="X409" s="9"/>
      <c r="Y409" s="9"/>
      <c r="Z409" s="9"/>
      <c r="AA409" s="9"/>
      <c r="AB409" s="9"/>
      <c r="AC409" s="9"/>
      <c r="AD409" s="27"/>
      <c r="AE409" s="42"/>
      <c r="AF409" s="27"/>
      <c r="AG409" s="42"/>
      <c r="AH409" s="27"/>
      <c r="AI409" s="9"/>
      <c r="AJ409" s="9"/>
      <c r="AK409" s="9"/>
      <c r="AM409" s="43"/>
      <c r="AN409" s="43"/>
      <c r="AQ409" s="34"/>
      <c r="AR409" s="34"/>
      <c r="AS409" s="34"/>
      <c r="AT409" s="34"/>
    </row>
    <row r="410" spans="1:46" s="11" customFormat="1" x14ac:dyDescent="0.25">
      <c r="A410" s="23"/>
      <c r="B410" s="9"/>
      <c r="C410" s="9"/>
      <c r="D410" s="9"/>
      <c r="E410" s="9"/>
      <c r="F410" s="10"/>
      <c r="G410" s="10"/>
      <c r="H410" s="27"/>
      <c r="I410" s="9"/>
      <c r="J410" s="9"/>
      <c r="K410" s="9"/>
      <c r="L410" s="9"/>
      <c r="M410" s="25"/>
      <c r="N410" s="25"/>
      <c r="O410" s="27"/>
      <c r="P410" s="27"/>
      <c r="Q410" s="27"/>
      <c r="R410" s="25"/>
      <c r="S410" s="25"/>
      <c r="T410" s="10"/>
      <c r="U410" s="9"/>
      <c r="V410" s="9"/>
      <c r="W410" s="9"/>
      <c r="X410" s="9"/>
      <c r="Y410" s="9"/>
      <c r="Z410" s="9"/>
      <c r="AA410" s="9"/>
      <c r="AB410" s="9"/>
      <c r="AC410" s="9"/>
      <c r="AD410" s="27"/>
      <c r="AE410" s="42"/>
      <c r="AF410" s="27"/>
      <c r="AG410" s="42"/>
      <c r="AH410" s="27"/>
      <c r="AI410" s="9"/>
      <c r="AJ410" s="9"/>
      <c r="AK410" s="9"/>
      <c r="AM410" s="43"/>
      <c r="AN410" s="43"/>
      <c r="AQ410" s="34"/>
      <c r="AR410" s="34"/>
      <c r="AS410" s="34"/>
      <c r="AT410" s="34"/>
    </row>
    <row r="411" spans="1:46" s="11" customFormat="1" x14ac:dyDescent="0.25">
      <c r="A411" s="23"/>
      <c r="B411" s="9"/>
      <c r="C411" s="9"/>
      <c r="D411" s="9"/>
      <c r="E411" s="9"/>
      <c r="F411" s="10"/>
      <c r="G411" s="10"/>
      <c r="H411" s="27"/>
      <c r="I411" s="9"/>
      <c r="J411" s="9"/>
      <c r="K411" s="9"/>
      <c r="L411" s="9"/>
      <c r="M411" s="25"/>
      <c r="N411" s="25"/>
      <c r="O411" s="27"/>
      <c r="P411" s="27"/>
      <c r="Q411" s="27"/>
      <c r="R411" s="25"/>
      <c r="S411" s="25"/>
      <c r="T411" s="10"/>
      <c r="U411" s="9"/>
      <c r="V411" s="9"/>
      <c r="W411" s="9"/>
      <c r="X411" s="9"/>
      <c r="Y411" s="9"/>
      <c r="Z411" s="9"/>
      <c r="AA411" s="9"/>
      <c r="AB411" s="9"/>
      <c r="AC411" s="9"/>
      <c r="AD411" s="27"/>
      <c r="AE411" s="42"/>
      <c r="AF411" s="27"/>
      <c r="AG411" s="42"/>
      <c r="AH411" s="27"/>
      <c r="AI411" s="9"/>
      <c r="AJ411" s="9"/>
      <c r="AK411" s="9"/>
      <c r="AM411" s="43"/>
      <c r="AN411" s="43"/>
      <c r="AQ411" s="34"/>
      <c r="AR411" s="34"/>
      <c r="AS411" s="34"/>
      <c r="AT411" s="34"/>
    </row>
    <row r="412" spans="1:46" s="11" customFormat="1" x14ac:dyDescent="0.25">
      <c r="A412" s="23"/>
      <c r="B412" s="9"/>
      <c r="C412" s="9"/>
      <c r="D412" s="9"/>
      <c r="E412" s="9"/>
      <c r="F412" s="10"/>
      <c r="G412" s="10"/>
      <c r="H412" s="27"/>
      <c r="I412" s="9"/>
      <c r="J412" s="9"/>
      <c r="K412" s="9"/>
      <c r="L412" s="9"/>
      <c r="M412" s="25"/>
      <c r="N412" s="25"/>
      <c r="O412" s="27"/>
      <c r="P412" s="27"/>
      <c r="Q412" s="27"/>
      <c r="R412" s="25"/>
      <c r="S412" s="25"/>
      <c r="T412" s="10"/>
      <c r="U412" s="9"/>
      <c r="V412" s="9"/>
      <c r="W412" s="9"/>
      <c r="X412" s="9"/>
      <c r="Y412" s="9"/>
      <c r="Z412" s="9"/>
      <c r="AA412" s="9"/>
      <c r="AB412" s="9"/>
      <c r="AC412" s="9"/>
      <c r="AD412" s="27"/>
      <c r="AE412" s="42"/>
      <c r="AF412" s="27"/>
      <c r="AG412" s="42"/>
      <c r="AH412" s="27"/>
      <c r="AI412" s="9"/>
      <c r="AJ412" s="9"/>
      <c r="AK412" s="9"/>
      <c r="AM412" s="43"/>
      <c r="AN412" s="43"/>
      <c r="AQ412" s="34"/>
      <c r="AR412" s="34"/>
      <c r="AS412" s="34"/>
      <c r="AT412" s="34"/>
    </row>
    <row r="413" spans="1:46" s="11" customFormat="1" x14ac:dyDescent="0.25">
      <c r="A413" s="23"/>
      <c r="B413" s="9"/>
      <c r="C413" s="9"/>
      <c r="D413" s="9"/>
      <c r="E413" s="9"/>
      <c r="F413" s="10"/>
      <c r="G413" s="10"/>
      <c r="H413" s="27"/>
      <c r="I413" s="9"/>
      <c r="J413" s="9"/>
      <c r="K413" s="9"/>
      <c r="L413" s="9"/>
      <c r="M413" s="25"/>
      <c r="N413" s="25"/>
      <c r="O413" s="27"/>
      <c r="P413" s="27"/>
      <c r="Q413" s="27"/>
      <c r="R413" s="25"/>
      <c r="S413" s="25"/>
      <c r="T413" s="10"/>
      <c r="U413" s="9"/>
      <c r="V413" s="9"/>
      <c r="W413" s="9"/>
      <c r="X413" s="9"/>
      <c r="Y413" s="9"/>
      <c r="Z413" s="9"/>
      <c r="AA413" s="9"/>
      <c r="AB413" s="9"/>
      <c r="AC413" s="9"/>
      <c r="AD413" s="27"/>
      <c r="AE413" s="42"/>
      <c r="AF413" s="27"/>
      <c r="AG413" s="42"/>
      <c r="AH413" s="27"/>
      <c r="AI413" s="9"/>
      <c r="AJ413" s="9"/>
      <c r="AK413" s="9"/>
      <c r="AM413" s="43"/>
      <c r="AN413" s="43"/>
      <c r="AQ413" s="34"/>
      <c r="AR413" s="34"/>
      <c r="AS413" s="34"/>
      <c r="AT413" s="34"/>
    </row>
    <row r="414" spans="1:46" s="11" customFormat="1" x14ac:dyDescent="0.25">
      <c r="A414" s="23"/>
      <c r="B414" s="9"/>
      <c r="C414" s="9"/>
      <c r="D414" s="9"/>
      <c r="E414" s="9"/>
      <c r="F414" s="10"/>
      <c r="G414" s="10"/>
      <c r="H414" s="27"/>
      <c r="I414" s="9"/>
      <c r="J414" s="9"/>
      <c r="K414" s="9"/>
      <c r="L414" s="9"/>
      <c r="M414" s="25"/>
      <c r="N414" s="25"/>
      <c r="O414" s="27"/>
      <c r="P414" s="27"/>
      <c r="Q414" s="27"/>
      <c r="R414" s="25"/>
      <c r="S414" s="25"/>
      <c r="T414" s="10"/>
      <c r="U414" s="9"/>
      <c r="V414" s="9"/>
      <c r="W414" s="9"/>
      <c r="X414" s="9"/>
      <c r="Y414" s="9"/>
      <c r="Z414" s="9"/>
      <c r="AA414" s="9"/>
      <c r="AB414" s="9"/>
      <c r="AC414" s="9"/>
      <c r="AD414" s="27"/>
      <c r="AE414" s="42"/>
      <c r="AF414" s="27"/>
      <c r="AG414" s="42"/>
      <c r="AH414" s="27"/>
      <c r="AI414" s="9"/>
      <c r="AJ414" s="9"/>
      <c r="AK414" s="9"/>
      <c r="AM414" s="43"/>
      <c r="AN414" s="43"/>
      <c r="AQ414" s="34"/>
      <c r="AR414" s="34"/>
      <c r="AS414" s="34"/>
      <c r="AT414" s="34"/>
    </row>
    <row r="415" spans="1:46" s="11" customFormat="1" x14ac:dyDescent="0.25">
      <c r="A415" s="23"/>
      <c r="B415" s="9"/>
      <c r="C415" s="9"/>
      <c r="D415" s="9"/>
      <c r="E415" s="9"/>
      <c r="F415" s="10"/>
      <c r="G415" s="10"/>
      <c r="H415" s="27"/>
      <c r="I415" s="9"/>
      <c r="J415" s="9"/>
      <c r="K415" s="9"/>
      <c r="L415" s="9"/>
      <c r="M415" s="25"/>
      <c r="N415" s="25"/>
      <c r="O415" s="27"/>
      <c r="P415" s="27"/>
      <c r="Q415" s="27"/>
      <c r="R415" s="25"/>
      <c r="S415" s="25"/>
      <c r="T415" s="10"/>
      <c r="U415" s="9"/>
      <c r="V415" s="9"/>
      <c r="W415" s="9"/>
      <c r="X415" s="9"/>
      <c r="Y415" s="9"/>
      <c r="Z415" s="9"/>
      <c r="AA415" s="9"/>
      <c r="AB415" s="9"/>
      <c r="AC415" s="9"/>
      <c r="AD415" s="27"/>
      <c r="AE415" s="42"/>
      <c r="AF415" s="27"/>
      <c r="AG415" s="42"/>
      <c r="AH415" s="27"/>
      <c r="AI415" s="9"/>
      <c r="AJ415" s="9"/>
      <c r="AK415" s="9"/>
      <c r="AM415" s="43"/>
      <c r="AN415" s="43"/>
      <c r="AQ415" s="34"/>
      <c r="AR415" s="34"/>
      <c r="AS415" s="34"/>
      <c r="AT415" s="34"/>
    </row>
    <row r="416" spans="1:46" s="11" customFormat="1" x14ac:dyDescent="0.25">
      <c r="A416" s="23"/>
      <c r="B416" s="9"/>
      <c r="C416" s="9"/>
      <c r="D416" s="9"/>
      <c r="E416" s="9"/>
      <c r="F416" s="10"/>
      <c r="G416" s="10"/>
      <c r="H416" s="27"/>
      <c r="I416" s="9"/>
      <c r="J416" s="9"/>
      <c r="K416" s="9"/>
      <c r="L416" s="9"/>
      <c r="M416" s="25"/>
      <c r="N416" s="25"/>
      <c r="O416" s="27"/>
      <c r="P416" s="27"/>
      <c r="Q416" s="27"/>
      <c r="R416" s="25"/>
      <c r="S416" s="25"/>
      <c r="T416" s="10"/>
      <c r="U416" s="9"/>
      <c r="V416" s="9"/>
      <c r="W416" s="9"/>
      <c r="X416" s="9"/>
      <c r="Y416" s="9"/>
      <c r="Z416" s="9"/>
      <c r="AA416" s="9"/>
      <c r="AB416" s="9"/>
      <c r="AC416" s="9"/>
      <c r="AD416" s="27"/>
      <c r="AE416" s="42"/>
      <c r="AF416" s="27"/>
      <c r="AG416" s="42"/>
      <c r="AH416" s="27"/>
      <c r="AI416" s="9"/>
      <c r="AJ416" s="9"/>
      <c r="AK416" s="9"/>
      <c r="AM416" s="43"/>
      <c r="AN416" s="43"/>
      <c r="AQ416" s="34"/>
      <c r="AR416" s="34"/>
      <c r="AS416" s="34"/>
      <c r="AT416" s="34"/>
    </row>
    <row r="417" spans="1:46" s="11" customFormat="1" x14ac:dyDescent="0.25">
      <c r="A417" s="23"/>
      <c r="B417" s="9"/>
      <c r="C417" s="9"/>
      <c r="D417" s="9"/>
      <c r="E417" s="9"/>
      <c r="F417" s="10"/>
      <c r="G417" s="10"/>
      <c r="H417" s="27"/>
      <c r="I417" s="9"/>
      <c r="J417" s="9"/>
      <c r="K417" s="9"/>
      <c r="L417" s="9"/>
      <c r="M417" s="25"/>
      <c r="N417" s="25"/>
      <c r="O417" s="27"/>
      <c r="P417" s="27"/>
      <c r="Q417" s="27"/>
      <c r="R417" s="25"/>
      <c r="S417" s="25"/>
      <c r="T417" s="10"/>
      <c r="U417" s="9"/>
      <c r="V417" s="9"/>
      <c r="W417" s="9"/>
      <c r="X417" s="9"/>
      <c r="Y417" s="9"/>
      <c r="Z417" s="9"/>
      <c r="AA417" s="9"/>
      <c r="AB417" s="9"/>
      <c r="AC417" s="9"/>
      <c r="AD417" s="27"/>
      <c r="AE417" s="42"/>
      <c r="AF417" s="27"/>
      <c r="AG417" s="42"/>
      <c r="AH417" s="27"/>
      <c r="AI417" s="9"/>
      <c r="AJ417" s="9"/>
      <c r="AK417" s="9"/>
      <c r="AM417" s="43"/>
      <c r="AN417" s="43"/>
      <c r="AQ417" s="34"/>
      <c r="AR417" s="34"/>
      <c r="AS417" s="34"/>
      <c r="AT417" s="34"/>
    </row>
    <row r="418" spans="1:46" s="11" customFormat="1" x14ac:dyDescent="0.25">
      <c r="A418" s="23"/>
      <c r="B418" s="9"/>
      <c r="C418" s="9"/>
      <c r="D418" s="9"/>
      <c r="E418" s="9"/>
      <c r="F418" s="10"/>
      <c r="G418" s="10"/>
      <c r="H418" s="27"/>
      <c r="I418" s="9"/>
      <c r="J418" s="9"/>
      <c r="K418" s="9"/>
      <c r="L418" s="9"/>
      <c r="M418" s="25"/>
      <c r="N418" s="25"/>
      <c r="O418" s="27"/>
      <c r="P418" s="27"/>
      <c r="Q418" s="27"/>
      <c r="R418" s="25"/>
      <c r="S418" s="25"/>
      <c r="T418" s="10"/>
      <c r="U418" s="9"/>
      <c r="V418" s="9"/>
      <c r="W418" s="9"/>
      <c r="X418" s="9"/>
      <c r="Y418" s="9"/>
      <c r="Z418" s="9"/>
      <c r="AA418" s="9"/>
      <c r="AB418" s="9"/>
      <c r="AC418" s="9"/>
      <c r="AD418" s="27"/>
      <c r="AE418" s="42"/>
      <c r="AF418" s="27"/>
      <c r="AG418" s="42"/>
      <c r="AH418" s="27"/>
      <c r="AI418" s="9"/>
      <c r="AJ418" s="9"/>
      <c r="AK418" s="9"/>
      <c r="AM418" s="43"/>
      <c r="AN418" s="43"/>
      <c r="AQ418" s="34"/>
      <c r="AR418" s="34"/>
      <c r="AS418" s="34"/>
      <c r="AT418" s="34"/>
    </row>
    <row r="419" spans="1:46" s="11" customFormat="1" x14ac:dyDescent="0.25">
      <c r="A419" s="23"/>
      <c r="B419" s="9"/>
      <c r="C419" s="9"/>
      <c r="D419" s="9"/>
      <c r="E419" s="9"/>
      <c r="F419" s="10"/>
      <c r="G419" s="10"/>
      <c r="H419" s="27"/>
      <c r="I419" s="9"/>
      <c r="J419" s="9"/>
      <c r="K419" s="9"/>
      <c r="L419" s="9"/>
      <c r="M419" s="25"/>
      <c r="N419" s="25"/>
      <c r="O419" s="27"/>
      <c r="P419" s="27"/>
      <c r="Q419" s="27"/>
      <c r="R419" s="25"/>
      <c r="S419" s="25"/>
      <c r="T419" s="10"/>
      <c r="U419" s="9"/>
      <c r="V419" s="9"/>
      <c r="W419" s="9"/>
      <c r="X419" s="9"/>
      <c r="Y419" s="9"/>
      <c r="Z419" s="9"/>
      <c r="AA419" s="9"/>
      <c r="AB419" s="9"/>
      <c r="AC419" s="9"/>
      <c r="AD419" s="27"/>
      <c r="AE419" s="42"/>
      <c r="AF419" s="27"/>
      <c r="AG419" s="42"/>
      <c r="AH419" s="27"/>
      <c r="AI419" s="9"/>
      <c r="AJ419" s="9"/>
      <c r="AK419" s="9"/>
      <c r="AM419" s="43"/>
      <c r="AN419" s="43"/>
      <c r="AQ419" s="34"/>
      <c r="AR419" s="34"/>
      <c r="AS419" s="34"/>
      <c r="AT419" s="34"/>
    </row>
    <row r="420" spans="1:46" s="11" customFormat="1" x14ac:dyDescent="0.25">
      <c r="A420" s="23"/>
      <c r="B420" s="9"/>
      <c r="C420" s="9"/>
      <c r="D420" s="9"/>
      <c r="E420" s="9"/>
      <c r="F420" s="10"/>
      <c r="G420" s="10"/>
      <c r="H420" s="27"/>
      <c r="I420" s="9"/>
      <c r="J420" s="9"/>
      <c r="K420" s="9"/>
      <c r="L420" s="9"/>
      <c r="M420" s="25"/>
      <c r="N420" s="25"/>
      <c r="O420" s="27"/>
      <c r="P420" s="27"/>
      <c r="Q420" s="27"/>
      <c r="R420" s="25"/>
      <c r="S420" s="25"/>
      <c r="T420" s="10"/>
      <c r="U420" s="9"/>
      <c r="V420" s="9"/>
      <c r="W420" s="9"/>
      <c r="X420" s="9"/>
      <c r="Y420" s="9"/>
      <c r="Z420" s="9"/>
      <c r="AA420" s="9"/>
      <c r="AB420" s="9"/>
      <c r="AC420" s="9"/>
      <c r="AD420" s="27"/>
      <c r="AE420" s="42"/>
      <c r="AF420" s="27"/>
      <c r="AG420" s="42"/>
      <c r="AH420" s="27"/>
      <c r="AI420" s="9"/>
      <c r="AJ420" s="9"/>
      <c r="AK420" s="9"/>
      <c r="AM420" s="43"/>
      <c r="AN420" s="43"/>
      <c r="AQ420" s="34"/>
      <c r="AR420" s="34"/>
      <c r="AS420" s="34"/>
      <c r="AT420" s="34"/>
    </row>
    <row r="421" spans="1:46" s="11" customFormat="1" x14ac:dyDescent="0.25">
      <c r="A421" s="23"/>
      <c r="B421" s="9"/>
      <c r="C421" s="9"/>
      <c r="D421" s="9"/>
      <c r="E421" s="9"/>
      <c r="F421" s="10"/>
      <c r="G421" s="10"/>
      <c r="H421" s="27"/>
      <c r="I421" s="9"/>
      <c r="J421" s="9"/>
      <c r="K421" s="9"/>
      <c r="L421" s="9"/>
      <c r="M421" s="25"/>
      <c r="N421" s="25"/>
      <c r="O421" s="27"/>
      <c r="P421" s="27"/>
      <c r="Q421" s="27"/>
      <c r="R421" s="25"/>
      <c r="S421" s="25"/>
      <c r="T421" s="10"/>
      <c r="U421" s="9"/>
      <c r="V421" s="9"/>
      <c r="W421" s="9"/>
      <c r="X421" s="9"/>
      <c r="Y421" s="9"/>
      <c r="Z421" s="9"/>
      <c r="AA421" s="9"/>
      <c r="AB421" s="9"/>
      <c r="AC421" s="9"/>
      <c r="AD421" s="27"/>
      <c r="AE421" s="42"/>
      <c r="AF421" s="27"/>
      <c r="AG421" s="42"/>
      <c r="AH421" s="27"/>
      <c r="AI421" s="9"/>
      <c r="AJ421" s="9"/>
      <c r="AK421" s="9"/>
      <c r="AM421" s="43"/>
      <c r="AN421" s="43"/>
      <c r="AQ421" s="34"/>
      <c r="AR421" s="34"/>
      <c r="AS421" s="34"/>
      <c r="AT421" s="34"/>
    </row>
    <row r="422" spans="1:46" s="11" customFormat="1" x14ac:dyDescent="0.25">
      <c r="A422" s="23"/>
      <c r="B422" s="9"/>
      <c r="C422" s="9"/>
      <c r="D422" s="9"/>
      <c r="E422" s="9"/>
      <c r="F422" s="10"/>
      <c r="G422" s="10"/>
      <c r="H422" s="27"/>
      <c r="I422" s="9"/>
      <c r="J422" s="9"/>
      <c r="K422" s="9"/>
      <c r="L422" s="9"/>
      <c r="M422" s="25"/>
      <c r="N422" s="25"/>
      <c r="O422" s="27"/>
      <c r="P422" s="27"/>
      <c r="Q422" s="27"/>
      <c r="R422" s="25"/>
      <c r="S422" s="25"/>
      <c r="T422" s="10"/>
      <c r="U422" s="9"/>
      <c r="V422" s="9"/>
      <c r="W422" s="9"/>
      <c r="X422" s="9"/>
      <c r="Y422" s="9"/>
      <c r="Z422" s="9"/>
      <c r="AA422" s="9"/>
      <c r="AB422" s="9"/>
      <c r="AC422" s="9"/>
      <c r="AD422" s="27"/>
      <c r="AE422" s="42"/>
      <c r="AF422" s="27"/>
      <c r="AG422" s="42"/>
      <c r="AH422" s="27"/>
      <c r="AI422" s="9"/>
      <c r="AJ422" s="9"/>
      <c r="AK422" s="9"/>
      <c r="AM422" s="43"/>
      <c r="AN422" s="43"/>
      <c r="AQ422" s="34"/>
      <c r="AR422" s="34"/>
      <c r="AS422" s="34"/>
      <c r="AT422" s="34"/>
    </row>
    <row r="423" spans="1:46" s="11" customFormat="1" x14ac:dyDescent="0.25">
      <c r="A423" s="23"/>
      <c r="B423" s="9"/>
      <c r="C423" s="9"/>
      <c r="D423" s="9"/>
      <c r="E423" s="9"/>
      <c r="F423" s="10"/>
      <c r="G423" s="10"/>
      <c r="H423" s="27"/>
      <c r="I423" s="9"/>
      <c r="J423" s="9"/>
      <c r="K423" s="9"/>
      <c r="L423" s="9"/>
      <c r="M423" s="25"/>
      <c r="N423" s="25"/>
      <c r="O423" s="27"/>
      <c r="P423" s="27"/>
      <c r="Q423" s="27"/>
      <c r="R423" s="25"/>
      <c r="S423" s="25"/>
      <c r="T423" s="10"/>
      <c r="U423" s="9"/>
      <c r="V423" s="9"/>
      <c r="W423" s="9"/>
      <c r="X423" s="9"/>
      <c r="Y423" s="9"/>
      <c r="Z423" s="9"/>
      <c r="AA423" s="9"/>
      <c r="AB423" s="9"/>
      <c r="AC423" s="9"/>
      <c r="AD423" s="27"/>
      <c r="AE423" s="42"/>
      <c r="AF423" s="27"/>
      <c r="AG423" s="42"/>
      <c r="AH423" s="27"/>
      <c r="AI423" s="9"/>
      <c r="AJ423" s="9"/>
      <c r="AK423" s="9"/>
      <c r="AM423" s="43"/>
      <c r="AN423" s="43"/>
      <c r="AQ423" s="34"/>
      <c r="AR423" s="34"/>
      <c r="AS423" s="34"/>
      <c r="AT423" s="34"/>
    </row>
    <row r="424" spans="1:46" s="11" customFormat="1" x14ac:dyDescent="0.25">
      <c r="A424" s="23"/>
      <c r="B424" s="9"/>
      <c r="C424" s="9"/>
      <c r="D424" s="9"/>
      <c r="E424" s="9"/>
      <c r="F424" s="10"/>
      <c r="G424" s="10"/>
      <c r="H424" s="27"/>
      <c r="I424" s="9"/>
      <c r="J424" s="9"/>
      <c r="K424" s="9"/>
      <c r="L424" s="9"/>
      <c r="M424" s="25"/>
      <c r="N424" s="25"/>
      <c r="O424" s="27"/>
      <c r="P424" s="27"/>
      <c r="Q424" s="27"/>
      <c r="R424" s="25"/>
      <c r="S424" s="25"/>
      <c r="T424" s="10"/>
      <c r="U424" s="9"/>
      <c r="V424" s="9"/>
      <c r="W424" s="9"/>
      <c r="X424" s="9"/>
      <c r="Y424" s="9"/>
      <c r="Z424" s="9"/>
      <c r="AA424" s="9"/>
      <c r="AB424" s="9"/>
      <c r="AC424" s="9"/>
      <c r="AD424" s="27"/>
      <c r="AE424" s="42"/>
      <c r="AF424" s="27"/>
      <c r="AG424" s="42"/>
      <c r="AH424" s="27"/>
      <c r="AI424" s="9"/>
      <c r="AJ424" s="9"/>
      <c r="AK424" s="9"/>
      <c r="AM424" s="43"/>
      <c r="AN424" s="43"/>
      <c r="AQ424" s="34"/>
      <c r="AR424" s="34"/>
      <c r="AS424" s="34"/>
      <c r="AT424" s="34"/>
    </row>
    <row r="425" spans="1:46" s="11" customFormat="1" x14ac:dyDescent="0.25">
      <c r="A425" s="23"/>
      <c r="B425" s="9"/>
      <c r="C425" s="9"/>
      <c r="D425" s="9"/>
      <c r="E425" s="9"/>
      <c r="F425" s="10"/>
      <c r="G425" s="10"/>
      <c r="H425" s="27"/>
      <c r="I425" s="9"/>
      <c r="J425" s="9"/>
      <c r="K425" s="9"/>
      <c r="L425" s="9"/>
      <c r="M425" s="25"/>
      <c r="N425" s="25"/>
      <c r="O425" s="27"/>
      <c r="P425" s="27"/>
      <c r="Q425" s="27"/>
      <c r="R425" s="25"/>
      <c r="S425" s="25"/>
      <c r="T425" s="10"/>
      <c r="U425" s="9"/>
      <c r="V425" s="9"/>
      <c r="W425" s="9"/>
      <c r="X425" s="9"/>
      <c r="Y425" s="9"/>
      <c r="Z425" s="9"/>
      <c r="AA425" s="9"/>
      <c r="AB425" s="9"/>
      <c r="AC425" s="9"/>
      <c r="AD425" s="27"/>
      <c r="AE425" s="42"/>
      <c r="AF425" s="27"/>
      <c r="AG425" s="42"/>
      <c r="AH425" s="27"/>
      <c r="AI425" s="9"/>
      <c r="AJ425" s="9"/>
      <c r="AK425" s="9"/>
      <c r="AM425" s="43"/>
      <c r="AN425" s="43"/>
      <c r="AQ425" s="34"/>
      <c r="AR425" s="34"/>
      <c r="AS425" s="34"/>
      <c r="AT425" s="34"/>
    </row>
    <row r="426" spans="1:46" s="11" customFormat="1" x14ac:dyDescent="0.25">
      <c r="A426" s="23"/>
      <c r="B426" s="9"/>
      <c r="C426" s="9"/>
      <c r="D426" s="9"/>
      <c r="E426" s="9"/>
      <c r="F426" s="10"/>
      <c r="G426" s="10"/>
      <c r="H426" s="27"/>
      <c r="I426" s="9"/>
      <c r="J426" s="9"/>
      <c r="K426" s="9"/>
      <c r="L426" s="9"/>
      <c r="M426" s="25"/>
      <c r="N426" s="25"/>
      <c r="O426" s="27"/>
      <c r="P426" s="27"/>
      <c r="Q426" s="27"/>
      <c r="R426" s="25"/>
      <c r="S426" s="25"/>
      <c r="T426" s="10"/>
      <c r="U426" s="9"/>
      <c r="V426" s="9"/>
      <c r="W426" s="9"/>
      <c r="X426" s="9"/>
      <c r="Y426" s="9"/>
      <c r="Z426" s="9"/>
      <c r="AA426" s="9"/>
      <c r="AB426" s="9"/>
      <c r="AC426" s="9"/>
      <c r="AD426" s="27"/>
      <c r="AE426" s="42"/>
      <c r="AF426" s="27"/>
      <c r="AG426" s="42"/>
      <c r="AH426" s="27"/>
      <c r="AI426" s="9"/>
      <c r="AJ426" s="9"/>
      <c r="AK426" s="9"/>
      <c r="AM426" s="43"/>
      <c r="AN426" s="43"/>
      <c r="AQ426" s="34"/>
      <c r="AR426" s="34"/>
      <c r="AS426" s="34"/>
      <c r="AT426" s="34"/>
    </row>
    <row r="427" spans="1:46" s="11" customFormat="1" x14ac:dyDescent="0.25">
      <c r="A427" s="23"/>
      <c r="B427" s="9"/>
      <c r="C427" s="9"/>
      <c r="D427" s="9"/>
      <c r="E427" s="9"/>
      <c r="F427" s="10"/>
      <c r="G427" s="10"/>
      <c r="H427" s="27"/>
      <c r="I427" s="9"/>
      <c r="J427" s="9"/>
      <c r="K427" s="9"/>
      <c r="L427" s="9"/>
      <c r="M427" s="25"/>
      <c r="N427" s="25"/>
      <c r="O427" s="27"/>
      <c r="P427" s="27"/>
      <c r="Q427" s="27"/>
      <c r="R427" s="25"/>
      <c r="S427" s="25"/>
      <c r="T427" s="10"/>
      <c r="U427" s="9"/>
      <c r="V427" s="9"/>
      <c r="W427" s="9"/>
      <c r="X427" s="9"/>
      <c r="Y427" s="9"/>
      <c r="Z427" s="9"/>
      <c r="AA427" s="9"/>
      <c r="AB427" s="9"/>
      <c r="AC427" s="9"/>
      <c r="AD427" s="27"/>
      <c r="AE427" s="42"/>
      <c r="AF427" s="27"/>
      <c r="AG427" s="42"/>
      <c r="AH427" s="27"/>
      <c r="AI427" s="9"/>
      <c r="AJ427" s="9"/>
      <c r="AK427" s="9"/>
      <c r="AM427" s="43"/>
      <c r="AN427" s="43"/>
      <c r="AQ427" s="34"/>
      <c r="AR427" s="34"/>
      <c r="AS427" s="34"/>
      <c r="AT427" s="34"/>
    </row>
    <row r="428" spans="1:46" s="11" customFormat="1" x14ac:dyDescent="0.25">
      <c r="A428" s="23"/>
      <c r="B428" s="9"/>
      <c r="C428" s="9"/>
      <c r="D428" s="9"/>
      <c r="E428" s="9"/>
      <c r="F428" s="10"/>
      <c r="G428" s="10"/>
      <c r="H428" s="27"/>
      <c r="I428" s="9"/>
      <c r="J428" s="9"/>
      <c r="K428" s="9"/>
      <c r="L428" s="9"/>
      <c r="M428" s="25"/>
      <c r="N428" s="25"/>
      <c r="O428" s="27"/>
      <c r="P428" s="27"/>
      <c r="Q428" s="27"/>
      <c r="R428" s="25"/>
      <c r="S428" s="25"/>
      <c r="T428" s="10"/>
      <c r="U428" s="9"/>
      <c r="V428" s="9"/>
      <c r="W428" s="9"/>
      <c r="X428" s="9"/>
      <c r="Y428" s="9"/>
      <c r="Z428" s="9"/>
      <c r="AA428" s="9"/>
      <c r="AB428" s="9"/>
      <c r="AC428" s="9"/>
      <c r="AD428" s="27"/>
      <c r="AE428" s="42"/>
      <c r="AF428" s="27"/>
      <c r="AG428" s="42"/>
      <c r="AH428" s="27"/>
      <c r="AI428" s="9"/>
      <c r="AJ428" s="9"/>
      <c r="AK428" s="9"/>
      <c r="AM428" s="43"/>
      <c r="AN428" s="43"/>
      <c r="AQ428" s="34"/>
      <c r="AR428" s="34"/>
      <c r="AS428" s="34"/>
      <c r="AT428" s="34"/>
    </row>
    <row r="429" spans="1:46" s="11" customFormat="1" x14ac:dyDescent="0.25">
      <c r="A429" s="23"/>
      <c r="B429" s="9"/>
      <c r="C429" s="9"/>
      <c r="D429" s="9"/>
      <c r="E429" s="9"/>
      <c r="F429" s="10"/>
      <c r="G429" s="10"/>
      <c r="H429" s="27"/>
      <c r="I429" s="9"/>
      <c r="J429" s="9"/>
      <c r="K429" s="9"/>
      <c r="L429" s="9"/>
      <c r="M429" s="25"/>
      <c r="N429" s="25"/>
      <c r="O429" s="27"/>
      <c r="P429" s="27"/>
      <c r="Q429" s="27"/>
      <c r="R429" s="25"/>
      <c r="S429" s="25"/>
      <c r="T429" s="10"/>
      <c r="U429" s="9"/>
      <c r="V429" s="9"/>
      <c r="W429" s="9"/>
      <c r="X429" s="9"/>
      <c r="Y429" s="9"/>
      <c r="Z429" s="9"/>
      <c r="AA429" s="9"/>
      <c r="AB429" s="9"/>
      <c r="AC429" s="9"/>
      <c r="AD429" s="27"/>
      <c r="AE429" s="42"/>
      <c r="AF429" s="27"/>
      <c r="AG429" s="42"/>
      <c r="AH429" s="27"/>
      <c r="AI429" s="9"/>
      <c r="AJ429" s="9"/>
      <c r="AK429" s="9"/>
      <c r="AM429" s="43"/>
      <c r="AN429" s="43"/>
      <c r="AQ429" s="34"/>
      <c r="AR429" s="34"/>
      <c r="AS429" s="34"/>
      <c r="AT429" s="34"/>
    </row>
    <row r="430" spans="1:46" s="11" customFormat="1" x14ac:dyDescent="0.25">
      <c r="A430" s="23"/>
      <c r="B430" s="9"/>
      <c r="C430" s="9"/>
      <c r="D430" s="9"/>
      <c r="E430" s="9"/>
      <c r="F430" s="10"/>
      <c r="G430" s="10"/>
      <c r="H430" s="27"/>
      <c r="I430" s="9"/>
      <c r="J430" s="9"/>
      <c r="K430" s="9"/>
      <c r="L430" s="9"/>
      <c r="M430" s="25"/>
      <c r="N430" s="25"/>
      <c r="O430" s="27"/>
      <c r="P430" s="27"/>
      <c r="Q430" s="27"/>
      <c r="R430" s="25"/>
      <c r="S430" s="25"/>
      <c r="T430" s="10"/>
      <c r="U430" s="9"/>
      <c r="V430" s="9"/>
      <c r="W430" s="9"/>
      <c r="X430" s="9"/>
      <c r="Y430" s="9"/>
      <c r="Z430" s="9"/>
      <c r="AA430" s="9"/>
      <c r="AB430" s="9"/>
      <c r="AC430" s="9"/>
      <c r="AD430" s="27"/>
      <c r="AE430" s="42"/>
      <c r="AF430" s="27"/>
      <c r="AG430" s="42"/>
      <c r="AH430" s="27"/>
      <c r="AI430" s="9"/>
      <c r="AJ430" s="9"/>
      <c r="AK430" s="9"/>
      <c r="AM430" s="43"/>
      <c r="AN430" s="43"/>
      <c r="AQ430" s="34"/>
      <c r="AR430" s="34"/>
      <c r="AS430" s="34"/>
      <c r="AT430" s="34"/>
    </row>
    <row r="431" spans="1:46" s="11" customFormat="1" x14ac:dyDescent="0.25">
      <c r="A431" s="23"/>
      <c r="B431" s="9"/>
      <c r="C431" s="9"/>
      <c r="D431" s="9"/>
      <c r="E431" s="9"/>
      <c r="F431" s="10"/>
      <c r="G431" s="10"/>
      <c r="H431" s="27"/>
      <c r="I431" s="9"/>
      <c r="J431" s="9"/>
      <c r="K431" s="9"/>
      <c r="L431" s="9"/>
      <c r="M431" s="25"/>
      <c r="N431" s="25"/>
      <c r="O431" s="27"/>
      <c r="P431" s="27"/>
      <c r="Q431" s="27"/>
      <c r="R431" s="25"/>
      <c r="S431" s="25"/>
      <c r="T431" s="10"/>
      <c r="U431" s="9"/>
      <c r="V431" s="9"/>
      <c r="W431" s="9"/>
      <c r="X431" s="9"/>
      <c r="Y431" s="9"/>
      <c r="Z431" s="9"/>
      <c r="AA431" s="9"/>
      <c r="AB431" s="9"/>
      <c r="AC431" s="9"/>
      <c r="AD431" s="27"/>
      <c r="AE431" s="42"/>
      <c r="AF431" s="27"/>
      <c r="AG431" s="42"/>
      <c r="AH431" s="27"/>
      <c r="AI431" s="9"/>
      <c r="AJ431" s="9"/>
      <c r="AK431" s="9"/>
      <c r="AM431" s="43"/>
      <c r="AN431" s="43"/>
      <c r="AQ431" s="34"/>
      <c r="AR431" s="34"/>
      <c r="AS431" s="34"/>
      <c r="AT431" s="34"/>
    </row>
    <row r="432" spans="1:46" s="11" customFormat="1" x14ac:dyDescent="0.25">
      <c r="A432" s="23"/>
      <c r="B432" s="9"/>
      <c r="C432" s="9"/>
      <c r="D432" s="9"/>
      <c r="E432" s="9"/>
      <c r="F432" s="10"/>
      <c r="G432" s="10"/>
      <c r="H432" s="27"/>
      <c r="I432" s="9"/>
      <c r="J432" s="9"/>
      <c r="K432" s="9"/>
      <c r="L432" s="9"/>
      <c r="M432" s="25"/>
      <c r="N432" s="25"/>
      <c r="O432" s="27"/>
      <c r="P432" s="27"/>
      <c r="Q432" s="27"/>
      <c r="R432" s="25"/>
      <c r="S432" s="25"/>
      <c r="T432" s="10"/>
      <c r="U432" s="9"/>
      <c r="V432" s="9"/>
      <c r="W432" s="9"/>
      <c r="X432" s="9"/>
      <c r="Y432" s="9"/>
      <c r="Z432" s="9"/>
      <c r="AA432" s="9"/>
      <c r="AB432" s="9"/>
      <c r="AC432" s="9"/>
      <c r="AD432" s="27"/>
      <c r="AE432" s="42"/>
      <c r="AF432" s="27"/>
      <c r="AG432" s="42"/>
      <c r="AH432" s="27"/>
      <c r="AI432" s="9"/>
      <c r="AJ432" s="9"/>
      <c r="AK432" s="9"/>
      <c r="AM432" s="43"/>
      <c r="AN432" s="43"/>
      <c r="AQ432" s="34"/>
      <c r="AR432" s="34"/>
      <c r="AS432" s="34"/>
      <c r="AT432" s="34"/>
    </row>
    <row r="433" spans="1:46" s="11" customFormat="1" x14ac:dyDescent="0.25">
      <c r="A433" s="23"/>
      <c r="B433" s="9"/>
      <c r="C433" s="9"/>
      <c r="D433" s="9"/>
      <c r="E433" s="9"/>
      <c r="F433" s="10"/>
      <c r="G433" s="10"/>
      <c r="H433" s="27"/>
      <c r="I433" s="9"/>
      <c r="J433" s="9"/>
      <c r="K433" s="9"/>
      <c r="L433" s="9"/>
      <c r="M433" s="25"/>
      <c r="N433" s="25"/>
      <c r="O433" s="27"/>
      <c r="P433" s="27"/>
      <c r="Q433" s="27"/>
      <c r="R433" s="25"/>
      <c r="S433" s="25"/>
      <c r="T433" s="10"/>
      <c r="U433" s="9"/>
      <c r="V433" s="9"/>
      <c r="W433" s="9"/>
      <c r="X433" s="9"/>
      <c r="Y433" s="9"/>
      <c r="Z433" s="9"/>
      <c r="AA433" s="9"/>
      <c r="AB433" s="9"/>
      <c r="AC433" s="9"/>
      <c r="AD433" s="27"/>
      <c r="AE433" s="42"/>
      <c r="AF433" s="27"/>
      <c r="AG433" s="42"/>
      <c r="AH433" s="27"/>
      <c r="AI433" s="9"/>
      <c r="AJ433" s="9"/>
      <c r="AK433" s="9"/>
      <c r="AM433" s="43"/>
      <c r="AN433" s="43"/>
      <c r="AQ433" s="34"/>
      <c r="AR433" s="34"/>
      <c r="AS433" s="34"/>
      <c r="AT433" s="34"/>
    </row>
    <row r="434" spans="1:46" s="11" customFormat="1" x14ac:dyDescent="0.25">
      <c r="A434" s="23"/>
      <c r="B434" s="9"/>
      <c r="C434" s="9"/>
      <c r="D434" s="9"/>
      <c r="E434" s="9"/>
      <c r="F434" s="10"/>
      <c r="G434" s="10"/>
      <c r="H434" s="27"/>
      <c r="I434" s="9"/>
      <c r="J434" s="9"/>
      <c r="K434" s="9"/>
      <c r="L434" s="9"/>
      <c r="M434" s="25"/>
      <c r="N434" s="25"/>
      <c r="O434" s="27"/>
      <c r="P434" s="27"/>
      <c r="Q434" s="27"/>
      <c r="R434" s="25"/>
      <c r="S434" s="25"/>
      <c r="T434" s="10"/>
      <c r="U434" s="9"/>
      <c r="V434" s="9"/>
      <c r="W434" s="9"/>
      <c r="X434" s="9"/>
      <c r="Y434" s="9"/>
      <c r="Z434" s="9"/>
      <c r="AA434" s="9"/>
      <c r="AB434" s="9"/>
      <c r="AC434" s="9"/>
      <c r="AD434" s="27"/>
      <c r="AE434" s="42"/>
      <c r="AF434" s="27"/>
      <c r="AG434" s="42"/>
      <c r="AH434" s="27"/>
      <c r="AI434" s="9"/>
      <c r="AJ434" s="9"/>
      <c r="AK434" s="9"/>
      <c r="AM434" s="43"/>
      <c r="AN434" s="43"/>
      <c r="AQ434" s="34"/>
      <c r="AR434" s="34"/>
      <c r="AS434" s="34"/>
      <c r="AT434" s="34"/>
    </row>
    <row r="435" spans="1:46" s="11" customFormat="1" x14ac:dyDescent="0.25">
      <c r="A435" s="23"/>
      <c r="B435" s="9"/>
      <c r="C435" s="9"/>
      <c r="D435" s="9"/>
      <c r="E435" s="9"/>
      <c r="F435" s="10"/>
      <c r="G435" s="10"/>
      <c r="H435" s="27"/>
      <c r="I435" s="9"/>
      <c r="J435" s="9"/>
      <c r="K435" s="9"/>
      <c r="L435" s="9"/>
      <c r="M435" s="25"/>
      <c r="N435" s="25"/>
      <c r="O435" s="27"/>
      <c r="P435" s="27"/>
      <c r="Q435" s="27"/>
      <c r="R435" s="25"/>
      <c r="S435" s="25"/>
      <c r="T435" s="10"/>
      <c r="U435" s="9"/>
      <c r="V435" s="9"/>
      <c r="W435" s="9"/>
      <c r="X435" s="9"/>
      <c r="Y435" s="9"/>
      <c r="Z435" s="9"/>
      <c r="AA435" s="9"/>
      <c r="AB435" s="9"/>
      <c r="AC435" s="9"/>
      <c r="AD435" s="27"/>
      <c r="AE435" s="42"/>
      <c r="AF435" s="27"/>
      <c r="AG435" s="42"/>
      <c r="AH435" s="27"/>
      <c r="AI435" s="9"/>
      <c r="AJ435" s="9"/>
      <c r="AK435" s="9"/>
      <c r="AM435" s="43"/>
      <c r="AN435" s="43"/>
      <c r="AQ435" s="34"/>
      <c r="AR435" s="34"/>
      <c r="AS435" s="34"/>
      <c r="AT435" s="34"/>
    </row>
    <row r="436" spans="1:46" s="11" customFormat="1" x14ac:dyDescent="0.25">
      <c r="A436" s="23"/>
      <c r="B436" s="9"/>
      <c r="C436" s="9"/>
      <c r="D436" s="9"/>
      <c r="E436" s="9"/>
      <c r="F436" s="10"/>
      <c r="G436" s="10"/>
      <c r="H436" s="27"/>
      <c r="I436" s="9"/>
      <c r="J436" s="9"/>
      <c r="K436" s="9"/>
      <c r="L436" s="9"/>
      <c r="M436" s="25"/>
      <c r="N436" s="25"/>
      <c r="O436" s="27"/>
      <c r="P436" s="27"/>
      <c r="Q436" s="27"/>
      <c r="R436" s="25"/>
      <c r="S436" s="25"/>
      <c r="T436" s="10"/>
      <c r="U436" s="9"/>
      <c r="V436" s="9"/>
      <c r="W436" s="9"/>
      <c r="X436" s="9"/>
      <c r="Y436" s="9"/>
      <c r="Z436" s="9"/>
      <c r="AA436" s="9"/>
      <c r="AB436" s="9"/>
      <c r="AC436" s="9"/>
      <c r="AD436" s="27"/>
      <c r="AE436" s="42"/>
      <c r="AF436" s="27"/>
      <c r="AG436" s="42"/>
      <c r="AH436" s="27"/>
      <c r="AI436" s="9"/>
      <c r="AJ436" s="9"/>
      <c r="AK436" s="9"/>
      <c r="AM436" s="43"/>
      <c r="AN436" s="43"/>
      <c r="AQ436" s="34"/>
      <c r="AR436" s="34"/>
      <c r="AS436" s="34"/>
      <c r="AT436" s="34"/>
    </row>
    <row r="437" spans="1:46" s="11" customFormat="1" x14ac:dyDescent="0.25">
      <c r="A437" s="23"/>
      <c r="B437" s="9"/>
      <c r="C437" s="9"/>
      <c r="D437" s="9"/>
      <c r="E437" s="9"/>
      <c r="F437" s="10"/>
      <c r="G437" s="10"/>
      <c r="H437" s="27"/>
      <c r="I437" s="9"/>
      <c r="J437" s="9"/>
      <c r="K437" s="9"/>
      <c r="L437" s="9"/>
      <c r="M437" s="25"/>
      <c r="N437" s="25"/>
      <c r="O437" s="27"/>
      <c r="P437" s="27"/>
      <c r="Q437" s="27"/>
      <c r="R437" s="25"/>
      <c r="S437" s="25"/>
      <c r="T437" s="10"/>
      <c r="U437" s="9"/>
      <c r="V437" s="9"/>
      <c r="W437" s="9"/>
      <c r="X437" s="9"/>
      <c r="Y437" s="9"/>
      <c r="Z437" s="9"/>
      <c r="AA437" s="9"/>
      <c r="AB437" s="9"/>
      <c r="AC437" s="9"/>
      <c r="AD437" s="27"/>
      <c r="AE437" s="42"/>
      <c r="AF437" s="27"/>
      <c r="AG437" s="42"/>
      <c r="AH437" s="27"/>
      <c r="AI437" s="9"/>
      <c r="AJ437" s="9"/>
      <c r="AK437" s="9"/>
      <c r="AM437" s="43"/>
      <c r="AN437" s="43"/>
      <c r="AQ437" s="34"/>
      <c r="AR437" s="34"/>
      <c r="AS437" s="34"/>
      <c r="AT437" s="34"/>
    </row>
    <row r="438" spans="1:46" s="11" customFormat="1" x14ac:dyDescent="0.25">
      <c r="A438" s="23"/>
      <c r="B438" s="9"/>
      <c r="C438" s="9"/>
      <c r="D438" s="9"/>
      <c r="E438" s="9"/>
      <c r="F438" s="10"/>
      <c r="G438" s="10"/>
      <c r="H438" s="27"/>
      <c r="I438" s="9"/>
      <c r="J438" s="9"/>
      <c r="K438" s="9"/>
      <c r="L438" s="9"/>
      <c r="M438" s="25"/>
      <c r="N438" s="25"/>
      <c r="O438" s="27"/>
      <c r="P438" s="27"/>
      <c r="Q438" s="27"/>
      <c r="R438" s="25"/>
      <c r="S438" s="25"/>
      <c r="T438" s="10"/>
      <c r="U438" s="9"/>
      <c r="V438" s="9"/>
      <c r="W438" s="9"/>
      <c r="X438" s="9"/>
      <c r="Y438" s="9"/>
      <c r="Z438" s="9"/>
      <c r="AA438" s="9"/>
      <c r="AB438" s="9"/>
      <c r="AC438" s="9"/>
      <c r="AD438" s="27"/>
      <c r="AE438" s="42"/>
      <c r="AF438" s="27"/>
      <c r="AG438" s="42"/>
      <c r="AH438" s="27"/>
      <c r="AI438" s="9"/>
      <c r="AJ438" s="9"/>
      <c r="AK438" s="9"/>
      <c r="AM438" s="43"/>
      <c r="AN438" s="43"/>
      <c r="AQ438" s="34"/>
      <c r="AR438" s="34"/>
      <c r="AS438" s="34"/>
      <c r="AT438" s="34"/>
    </row>
    <row r="439" spans="1:46" s="11" customFormat="1" x14ac:dyDescent="0.25">
      <c r="A439" s="23"/>
      <c r="B439" s="9"/>
      <c r="C439" s="9"/>
      <c r="D439" s="9"/>
      <c r="E439" s="9"/>
      <c r="F439" s="10"/>
      <c r="G439" s="10"/>
      <c r="H439" s="27"/>
      <c r="I439" s="9"/>
      <c r="J439" s="9"/>
      <c r="K439" s="9"/>
      <c r="L439" s="9"/>
      <c r="M439" s="25"/>
      <c r="N439" s="25"/>
      <c r="O439" s="27"/>
      <c r="P439" s="27"/>
      <c r="Q439" s="27"/>
      <c r="R439" s="25"/>
      <c r="S439" s="25"/>
      <c r="T439" s="10"/>
      <c r="U439" s="9"/>
      <c r="V439" s="9"/>
      <c r="W439" s="9"/>
      <c r="X439" s="9"/>
      <c r="Y439" s="9"/>
      <c r="Z439" s="9"/>
      <c r="AA439" s="9"/>
      <c r="AB439" s="9"/>
      <c r="AC439" s="9"/>
      <c r="AD439" s="27"/>
      <c r="AE439" s="42"/>
      <c r="AF439" s="27"/>
      <c r="AG439" s="42"/>
      <c r="AH439" s="27"/>
      <c r="AI439" s="9"/>
      <c r="AJ439" s="9"/>
      <c r="AK439" s="9"/>
      <c r="AM439" s="43"/>
      <c r="AN439" s="43"/>
      <c r="AQ439" s="34"/>
      <c r="AR439" s="34"/>
      <c r="AS439" s="34"/>
      <c r="AT439" s="34"/>
    </row>
    <row r="440" spans="1:46" s="11" customFormat="1" x14ac:dyDescent="0.25">
      <c r="A440" s="23"/>
      <c r="B440" s="9"/>
      <c r="C440" s="9"/>
      <c r="D440" s="9"/>
      <c r="E440" s="9"/>
      <c r="F440" s="10"/>
      <c r="G440" s="10"/>
      <c r="H440" s="27"/>
      <c r="I440" s="9"/>
      <c r="J440" s="9"/>
      <c r="K440" s="9"/>
      <c r="L440" s="9"/>
      <c r="M440" s="25"/>
      <c r="N440" s="25"/>
      <c r="O440" s="27"/>
      <c r="P440" s="27"/>
      <c r="Q440" s="27"/>
      <c r="R440" s="25"/>
      <c r="S440" s="25"/>
      <c r="T440" s="10"/>
      <c r="U440" s="9"/>
      <c r="V440" s="9"/>
      <c r="W440" s="9"/>
      <c r="X440" s="9"/>
      <c r="Y440" s="9"/>
      <c r="Z440" s="9"/>
      <c r="AA440" s="9"/>
      <c r="AB440" s="9"/>
      <c r="AC440" s="9"/>
      <c r="AD440" s="27"/>
      <c r="AE440" s="42"/>
      <c r="AF440" s="27"/>
      <c r="AG440" s="42"/>
      <c r="AH440" s="27"/>
      <c r="AI440" s="9"/>
      <c r="AJ440" s="9"/>
      <c r="AK440" s="9"/>
      <c r="AM440" s="43"/>
      <c r="AN440" s="43"/>
      <c r="AQ440" s="34"/>
      <c r="AR440" s="34"/>
      <c r="AS440" s="34"/>
      <c r="AT440" s="34"/>
    </row>
    <row r="441" spans="1:46" s="11" customFormat="1" x14ac:dyDescent="0.25">
      <c r="A441" s="23"/>
      <c r="B441" s="9"/>
      <c r="C441" s="9"/>
      <c r="D441" s="9"/>
      <c r="E441" s="9"/>
      <c r="F441" s="10"/>
      <c r="G441" s="10"/>
      <c r="H441" s="27"/>
      <c r="I441" s="9"/>
      <c r="J441" s="9"/>
      <c r="K441" s="9"/>
      <c r="L441" s="9"/>
      <c r="M441" s="25"/>
      <c r="N441" s="25"/>
      <c r="O441" s="27"/>
      <c r="P441" s="27"/>
      <c r="Q441" s="27"/>
      <c r="R441" s="25"/>
      <c r="S441" s="25"/>
      <c r="T441" s="10"/>
      <c r="U441" s="9"/>
      <c r="V441" s="9"/>
      <c r="W441" s="9"/>
      <c r="X441" s="9"/>
      <c r="Y441" s="9"/>
      <c r="Z441" s="9"/>
      <c r="AA441" s="9"/>
      <c r="AB441" s="9"/>
      <c r="AC441" s="9"/>
      <c r="AD441" s="27"/>
      <c r="AE441" s="42"/>
      <c r="AF441" s="27"/>
      <c r="AG441" s="42"/>
      <c r="AH441" s="27"/>
      <c r="AI441" s="9"/>
      <c r="AJ441" s="9"/>
      <c r="AK441" s="9"/>
      <c r="AM441" s="43"/>
      <c r="AN441" s="43"/>
      <c r="AQ441" s="34"/>
      <c r="AR441" s="34"/>
      <c r="AS441" s="34"/>
      <c r="AT441" s="34"/>
    </row>
    <row r="442" spans="1:46" s="11" customFormat="1" x14ac:dyDescent="0.25">
      <c r="A442" s="23"/>
      <c r="B442" s="9"/>
      <c r="C442" s="9"/>
      <c r="D442" s="9"/>
      <c r="E442" s="9"/>
      <c r="F442" s="10"/>
      <c r="G442" s="10"/>
      <c r="H442" s="27"/>
      <c r="I442" s="9"/>
      <c r="J442" s="9"/>
      <c r="K442" s="9"/>
      <c r="L442" s="9"/>
      <c r="M442" s="25"/>
      <c r="N442" s="25"/>
      <c r="O442" s="27"/>
      <c r="P442" s="27"/>
      <c r="Q442" s="27"/>
      <c r="R442" s="25"/>
      <c r="S442" s="25"/>
      <c r="T442" s="10"/>
      <c r="U442" s="9"/>
      <c r="V442" s="9"/>
      <c r="W442" s="9"/>
      <c r="X442" s="9"/>
      <c r="Y442" s="9"/>
      <c r="Z442" s="9"/>
      <c r="AA442" s="9"/>
      <c r="AB442" s="9"/>
      <c r="AC442" s="9"/>
      <c r="AD442" s="27"/>
      <c r="AE442" s="42"/>
      <c r="AF442" s="27"/>
      <c r="AG442" s="42"/>
      <c r="AH442" s="27"/>
      <c r="AI442" s="9"/>
      <c r="AJ442" s="9"/>
      <c r="AK442" s="9"/>
      <c r="AM442" s="43"/>
      <c r="AN442" s="43"/>
      <c r="AQ442" s="34"/>
      <c r="AR442" s="34"/>
      <c r="AS442" s="34"/>
      <c r="AT442" s="34"/>
    </row>
    <row r="443" spans="1:46" s="11" customFormat="1" x14ac:dyDescent="0.25">
      <c r="A443" s="23"/>
      <c r="B443" s="9"/>
      <c r="C443" s="9"/>
      <c r="D443" s="9"/>
      <c r="E443" s="9"/>
      <c r="F443" s="10"/>
      <c r="G443" s="10"/>
      <c r="H443" s="27"/>
      <c r="I443" s="9"/>
      <c r="J443" s="9"/>
      <c r="K443" s="9"/>
      <c r="L443" s="9"/>
      <c r="M443" s="25"/>
      <c r="N443" s="25"/>
      <c r="O443" s="27"/>
      <c r="P443" s="27"/>
      <c r="Q443" s="27"/>
      <c r="R443" s="25"/>
      <c r="S443" s="25"/>
      <c r="T443" s="10"/>
      <c r="U443" s="9"/>
      <c r="V443" s="9"/>
      <c r="W443" s="9"/>
      <c r="X443" s="9"/>
      <c r="Y443" s="9"/>
      <c r="Z443" s="9"/>
      <c r="AA443" s="9"/>
      <c r="AB443" s="9"/>
      <c r="AC443" s="9"/>
      <c r="AD443" s="27"/>
      <c r="AE443" s="42"/>
      <c r="AF443" s="27"/>
      <c r="AG443" s="42"/>
      <c r="AH443" s="27"/>
      <c r="AI443" s="9"/>
      <c r="AJ443" s="9"/>
      <c r="AK443" s="9"/>
      <c r="AM443" s="43"/>
      <c r="AN443" s="43"/>
      <c r="AQ443" s="34"/>
      <c r="AR443" s="34"/>
      <c r="AS443" s="34"/>
      <c r="AT443" s="34"/>
    </row>
    <row r="444" spans="1:46" s="11" customFormat="1" x14ac:dyDescent="0.25">
      <c r="A444" s="23"/>
      <c r="B444" s="9"/>
      <c r="C444" s="9"/>
      <c r="D444" s="9"/>
      <c r="E444" s="9"/>
      <c r="F444" s="10"/>
      <c r="G444" s="10"/>
      <c r="H444" s="27"/>
      <c r="I444" s="9"/>
      <c r="J444" s="9"/>
      <c r="K444" s="9"/>
      <c r="L444" s="9"/>
      <c r="M444" s="25"/>
      <c r="N444" s="25"/>
      <c r="O444" s="27"/>
      <c r="P444" s="27"/>
      <c r="Q444" s="27"/>
      <c r="R444" s="25"/>
      <c r="S444" s="25"/>
      <c r="T444" s="10"/>
      <c r="U444" s="9"/>
      <c r="V444" s="9"/>
      <c r="W444" s="9"/>
      <c r="X444" s="9"/>
      <c r="Y444" s="9"/>
      <c r="Z444" s="9"/>
      <c r="AA444" s="9"/>
      <c r="AB444" s="9"/>
      <c r="AC444" s="9"/>
      <c r="AD444" s="27"/>
      <c r="AE444" s="42"/>
      <c r="AF444" s="27"/>
      <c r="AG444" s="42"/>
      <c r="AH444" s="27"/>
      <c r="AI444" s="9"/>
      <c r="AJ444" s="9"/>
      <c r="AK444" s="9"/>
      <c r="AM444" s="43"/>
      <c r="AN444" s="43"/>
      <c r="AQ444" s="34"/>
      <c r="AR444" s="34"/>
      <c r="AS444" s="34"/>
      <c r="AT444" s="34"/>
    </row>
    <row r="445" spans="1:46" s="11" customFormat="1" x14ac:dyDescent="0.25">
      <c r="A445" s="23"/>
      <c r="B445" s="9"/>
      <c r="C445" s="9"/>
      <c r="D445" s="9"/>
      <c r="E445" s="9"/>
      <c r="F445" s="10"/>
      <c r="G445" s="10"/>
      <c r="H445" s="27"/>
      <c r="I445" s="9"/>
      <c r="J445" s="9"/>
      <c r="K445" s="9"/>
      <c r="L445" s="9"/>
      <c r="M445" s="25"/>
      <c r="N445" s="25"/>
      <c r="O445" s="27"/>
      <c r="P445" s="27"/>
      <c r="Q445" s="27"/>
      <c r="R445" s="25"/>
      <c r="S445" s="25"/>
      <c r="T445" s="10"/>
      <c r="U445" s="9"/>
      <c r="V445" s="9"/>
      <c r="W445" s="9"/>
      <c r="X445" s="9"/>
      <c r="Y445" s="9"/>
      <c r="Z445" s="9"/>
      <c r="AA445" s="9"/>
      <c r="AB445" s="9"/>
      <c r="AC445" s="9"/>
      <c r="AD445" s="27"/>
      <c r="AE445" s="42"/>
      <c r="AF445" s="27"/>
      <c r="AG445" s="42"/>
      <c r="AH445" s="27"/>
      <c r="AI445" s="9"/>
      <c r="AJ445" s="9"/>
      <c r="AK445" s="9"/>
      <c r="AM445" s="43"/>
      <c r="AN445" s="43"/>
      <c r="AQ445" s="34"/>
      <c r="AR445" s="34"/>
      <c r="AS445" s="34"/>
      <c r="AT445" s="34"/>
    </row>
    <row r="446" spans="1:46" s="11" customFormat="1" x14ac:dyDescent="0.25">
      <c r="A446" s="23"/>
      <c r="B446" s="9"/>
      <c r="C446" s="9"/>
      <c r="D446" s="9"/>
      <c r="E446" s="9"/>
      <c r="F446" s="10"/>
      <c r="G446" s="10"/>
      <c r="H446" s="27"/>
      <c r="I446" s="9"/>
      <c r="J446" s="9"/>
      <c r="K446" s="9"/>
      <c r="L446" s="9"/>
      <c r="M446" s="25"/>
      <c r="N446" s="25"/>
      <c r="O446" s="27"/>
      <c r="P446" s="27"/>
      <c r="Q446" s="27"/>
      <c r="R446" s="25"/>
      <c r="S446" s="25"/>
      <c r="T446" s="10"/>
      <c r="U446" s="9"/>
      <c r="V446" s="9"/>
      <c r="W446" s="9"/>
      <c r="X446" s="9"/>
      <c r="Y446" s="9"/>
      <c r="Z446" s="9"/>
      <c r="AA446" s="9"/>
      <c r="AB446" s="9"/>
      <c r="AC446" s="9"/>
      <c r="AD446" s="27"/>
      <c r="AE446" s="42"/>
      <c r="AF446" s="27"/>
      <c r="AG446" s="42"/>
      <c r="AH446" s="27"/>
      <c r="AI446" s="9"/>
      <c r="AJ446" s="9"/>
      <c r="AK446" s="9"/>
      <c r="AM446" s="43"/>
      <c r="AN446" s="43"/>
      <c r="AQ446" s="34"/>
      <c r="AR446" s="34"/>
      <c r="AS446" s="34"/>
      <c r="AT446" s="34"/>
    </row>
    <row r="447" spans="1:46" s="11" customFormat="1" x14ac:dyDescent="0.25">
      <c r="A447" s="23"/>
      <c r="B447" s="9"/>
      <c r="C447" s="9"/>
      <c r="D447" s="9"/>
      <c r="E447" s="9"/>
      <c r="F447" s="10"/>
      <c r="G447" s="10"/>
      <c r="H447" s="27"/>
      <c r="I447" s="9"/>
      <c r="J447" s="9"/>
      <c r="K447" s="9"/>
      <c r="L447" s="9"/>
      <c r="M447" s="25"/>
      <c r="N447" s="25"/>
      <c r="O447" s="27"/>
      <c r="P447" s="27"/>
      <c r="Q447" s="27"/>
      <c r="R447" s="25"/>
      <c r="S447" s="25"/>
      <c r="T447" s="10"/>
      <c r="U447" s="9"/>
      <c r="V447" s="9"/>
      <c r="W447" s="9"/>
      <c r="X447" s="9"/>
      <c r="Y447" s="9"/>
      <c r="Z447" s="9"/>
      <c r="AA447" s="9"/>
      <c r="AB447" s="9"/>
      <c r="AC447" s="9"/>
      <c r="AD447" s="27"/>
      <c r="AE447" s="42"/>
      <c r="AF447" s="27"/>
      <c r="AG447" s="42"/>
      <c r="AH447" s="27"/>
      <c r="AI447" s="9"/>
      <c r="AJ447" s="9"/>
      <c r="AK447" s="9"/>
      <c r="AM447" s="43"/>
      <c r="AN447" s="43"/>
      <c r="AQ447" s="34"/>
      <c r="AR447" s="34"/>
      <c r="AS447" s="34"/>
      <c r="AT447" s="34"/>
    </row>
    <row r="448" spans="1:46" s="11" customFormat="1" x14ac:dyDescent="0.25">
      <c r="A448" s="23"/>
      <c r="B448" s="9"/>
      <c r="C448" s="9"/>
      <c r="D448" s="9"/>
      <c r="E448" s="9"/>
      <c r="F448" s="10"/>
      <c r="G448" s="10"/>
      <c r="H448" s="27"/>
      <c r="I448" s="9"/>
      <c r="J448" s="9"/>
      <c r="K448" s="9"/>
      <c r="L448" s="9"/>
      <c r="M448" s="25"/>
      <c r="N448" s="25"/>
      <c r="O448" s="27"/>
      <c r="P448" s="27"/>
      <c r="Q448" s="27"/>
      <c r="R448" s="25"/>
      <c r="S448" s="25"/>
      <c r="T448" s="10"/>
      <c r="U448" s="9"/>
      <c r="V448" s="9"/>
      <c r="W448" s="9"/>
      <c r="X448" s="9"/>
      <c r="Y448" s="9"/>
      <c r="Z448" s="9"/>
      <c r="AA448" s="9"/>
      <c r="AB448" s="9"/>
      <c r="AC448" s="9"/>
      <c r="AD448" s="27"/>
      <c r="AE448" s="42"/>
      <c r="AF448" s="27"/>
      <c r="AG448" s="42"/>
      <c r="AH448" s="27"/>
      <c r="AI448" s="9"/>
      <c r="AJ448" s="9"/>
      <c r="AK448" s="9"/>
      <c r="AM448" s="43"/>
      <c r="AN448" s="43"/>
      <c r="AQ448" s="34"/>
      <c r="AR448" s="34"/>
      <c r="AS448" s="34"/>
      <c r="AT448" s="34"/>
    </row>
    <row r="449" spans="1:46" s="11" customFormat="1" x14ac:dyDescent="0.25">
      <c r="A449" s="23"/>
      <c r="B449" s="9"/>
      <c r="C449" s="9"/>
      <c r="D449" s="9"/>
      <c r="E449" s="9"/>
      <c r="F449" s="10"/>
      <c r="G449" s="10"/>
      <c r="H449" s="27"/>
      <c r="I449" s="9"/>
      <c r="J449" s="9"/>
      <c r="K449" s="9"/>
      <c r="L449" s="9"/>
      <c r="M449" s="25"/>
      <c r="N449" s="25"/>
      <c r="O449" s="27"/>
      <c r="P449" s="27"/>
      <c r="Q449" s="27"/>
      <c r="R449" s="25"/>
      <c r="S449" s="25"/>
      <c r="T449" s="10"/>
      <c r="U449" s="9"/>
      <c r="V449" s="9"/>
      <c r="W449" s="9"/>
      <c r="X449" s="9"/>
      <c r="Y449" s="9"/>
      <c r="Z449" s="9"/>
      <c r="AA449" s="9"/>
      <c r="AB449" s="9"/>
      <c r="AC449" s="9"/>
      <c r="AD449" s="27"/>
      <c r="AE449" s="42"/>
      <c r="AF449" s="27"/>
      <c r="AG449" s="42"/>
      <c r="AH449" s="27"/>
      <c r="AI449" s="9"/>
      <c r="AJ449" s="9"/>
      <c r="AK449" s="9"/>
      <c r="AM449" s="43"/>
      <c r="AN449" s="43"/>
      <c r="AQ449" s="34"/>
      <c r="AR449" s="34"/>
      <c r="AS449" s="34"/>
      <c r="AT449" s="34"/>
    </row>
    <row r="450" spans="1:46" s="11" customFormat="1" x14ac:dyDescent="0.25">
      <c r="A450" s="23"/>
      <c r="B450" s="9"/>
      <c r="C450" s="9"/>
      <c r="D450" s="9"/>
      <c r="E450" s="9"/>
      <c r="F450" s="10"/>
      <c r="G450" s="10"/>
      <c r="H450" s="27"/>
      <c r="I450" s="9"/>
      <c r="J450" s="9"/>
      <c r="K450" s="9"/>
      <c r="L450" s="9"/>
      <c r="M450" s="25"/>
      <c r="N450" s="25"/>
      <c r="O450" s="27"/>
      <c r="P450" s="27"/>
      <c r="Q450" s="27"/>
      <c r="R450" s="25"/>
      <c r="S450" s="25"/>
      <c r="T450" s="10"/>
      <c r="U450" s="9"/>
      <c r="V450" s="9"/>
      <c r="W450" s="9"/>
      <c r="X450" s="9"/>
      <c r="Y450" s="9"/>
      <c r="Z450" s="9"/>
      <c r="AA450" s="9"/>
      <c r="AB450" s="9"/>
      <c r="AC450" s="9"/>
      <c r="AD450" s="27"/>
      <c r="AE450" s="42"/>
      <c r="AF450" s="27"/>
      <c r="AG450" s="42"/>
      <c r="AH450" s="27"/>
      <c r="AI450" s="9"/>
      <c r="AJ450" s="9"/>
      <c r="AK450" s="9"/>
      <c r="AM450" s="43"/>
      <c r="AN450" s="43"/>
      <c r="AQ450" s="34"/>
      <c r="AR450" s="34"/>
      <c r="AS450" s="34"/>
      <c r="AT450" s="34"/>
    </row>
    <row r="451" spans="1:46" s="11" customFormat="1" x14ac:dyDescent="0.25">
      <c r="A451" s="23"/>
      <c r="B451" s="9"/>
      <c r="C451" s="9"/>
      <c r="D451" s="9"/>
      <c r="E451" s="9"/>
      <c r="F451" s="10"/>
      <c r="G451" s="10"/>
      <c r="H451" s="27"/>
      <c r="I451" s="9"/>
      <c r="J451" s="9"/>
      <c r="K451" s="9"/>
      <c r="L451" s="9"/>
      <c r="M451" s="25"/>
      <c r="N451" s="25"/>
      <c r="O451" s="27"/>
      <c r="P451" s="27"/>
      <c r="Q451" s="27"/>
      <c r="R451" s="25"/>
      <c r="S451" s="25"/>
      <c r="T451" s="10"/>
      <c r="U451" s="9"/>
      <c r="V451" s="9"/>
      <c r="W451" s="9"/>
      <c r="X451" s="9"/>
      <c r="Y451" s="9"/>
      <c r="Z451" s="9"/>
      <c r="AA451" s="9"/>
      <c r="AB451" s="9"/>
      <c r="AC451" s="9"/>
      <c r="AD451" s="27"/>
      <c r="AE451" s="42"/>
      <c r="AF451" s="27"/>
      <c r="AG451" s="42"/>
      <c r="AH451" s="27"/>
      <c r="AI451" s="9"/>
      <c r="AJ451" s="9"/>
      <c r="AK451" s="9"/>
      <c r="AM451" s="43"/>
      <c r="AN451" s="43"/>
      <c r="AQ451" s="34"/>
      <c r="AR451" s="34"/>
      <c r="AS451" s="34"/>
      <c r="AT451" s="34"/>
    </row>
    <row r="452" spans="1:46" s="11" customFormat="1" x14ac:dyDescent="0.25">
      <c r="A452" s="23"/>
      <c r="B452" s="9"/>
      <c r="C452" s="9"/>
      <c r="D452" s="9"/>
      <c r="E452" s="9"/>
      <c r="F452" s="10"/>
      <c r="G452" s="10"/>
      <c r="H452" s="27"/>
      <c r="I452" s="9"/>
      <c r="J452" s="9"/>
      <c r="K452" s="9"/>
      <c r="L452" s="9"/>
      <c r="M452" s="25"/>
      <c r="N452" s="25"/>
      <c r="O452" s="27"/>
      <c r="P452" s="27"/>
      <c r="Q452" s="27"/>
      <c r="R452" s="25"/>
      <c r="S452" s="25"/>
      <c r="T452" s="10"/>
      <c r="U452" s="9"/>
      <c r="V452" s="9"/>
      <c r="W452" s="9"/>
      <c r="X452" s="9"/>
      <c r="Y452" s="9"/>
      <c r="Z452" s="9"/>
      <c r="AA452" s="9"/>
      <c r="AB452" s="9"/>
      <c r="AC452" s="9"/>
      <c r="AD452" s="27"/>
      <c r="AE452" s="42"/>
      <c r="AF452" s="27"/>
      <c r="AG452" s="42"/>
      <c r="AH452" s="27"/>
      <c r="AI452" s="9"/>
      <c r="AJ452" s="9"/>
      <c r="AK452" s="9"/>
      <c r="AM452" s="43"/>
      <c r="AN452" s="43"/>
      <c r="AQ452" s="34"/>
      <c r="AR452" s="34"/>
      <c r="AS452" s="34"/>
      <c r="AT452" s="34"/>
    </row>
    <row r="453" spans="1:46" s="11" customFormat="1" x14ac:dyDescent="0.25">
      <c r="A453" s="23"/>
      <c r="B453" s="9"/>
      <c r="C453" s="9"/>
      <c r="D453" s="9"/>
      <c r="E453" s="9"/>
      <c r="F453" s="10"/>
      <c r="G453" s="10"/>
      <c r="H453" s="27"/>
      <c r="I453" s="9"/>
      <c r="J453" s="9"/>
      <c r="K453" s="9"/>
      <c r="L453" s="9"/>
      <c r="M453" s="25"/>
      <c r="N453" s="25"/>
      <c r="O453" s="27"/>
      <c r="P453" s="27"/>
      <c r="Q453" s="27"/>
      <c r="R453" s="25"/>
      <c r="S453" s="25"/>
      <c r="T453" s="10"/>
      <c r="U453" s="9"/>
      <c r="V453" s="9"/>
      <c r="W453" s="9"/>
      <c r="X453" s="9"/>
      <c r="Y453" s="9"/>
      <c r="Z453" s="9"/>
      <c r="AA453" s="9"/>
      <c r="AB453" s="9"/>
      <c r="AC453" s="9"/>
      <c r="AD453" s="27"/>
      <c r="AE453" s="42"/>
      <c r="AF453" s="27"/>
      <c r="AG453" s="42"/>
      <c r="AH453" s="27"/>
      <c r="AI453" s="9"/>
      <c r="AJ453" s="9"/>
      <c r="AK453" s="9"/>
      <c r="AM453" s="43"/>
      <c r="AN453" s="43"/>
      <c r="AQ453" s="34"/>
      <c r="AR453" s="34"/>
      <c r="AS453" s="34"/>
      <c r="AT453" s="34"/>
    </row>
    <row r="454" spans="1:46" s="11" customFormat="1" x14ac:dyDescent="0.25">
      <c r="A454" s="23"/>
      <c r="B454" s="9"/>
      <c r="C454" s="9"/>
      <c r="D454" s="9"/>
      <c r="E454" s="9"/>
      <c r="F454" s="10"/>
      <c r="G454" s="10"/>
      <c r="H454" s="27"/>
      <c r="I454" s="9"/>
      <c r="J454" s="9"/>
      <c r="K454" s="9"/>
      <c r="L454" s="9"/>
      <c r="M454" s="25"/>
      <c r="N454" s="25"/>
      <c r="O454" s="27"/>
      <c r="P454" s="27"/>
      <c r="Q454" s="27"/>
      <c r="R454" s="25"/>
      <c r="S454" s="25"/>
      <c r="T454" s="10"/>
      <c r="U454" s="9"/>
      <c r="V454" s="9"/>
      <c r="W454" s="9"/>
      <c r="X454" s="9"/>
      <c r="Y454" s="9"/>
      <c r="Z454" s="9"/>
      <c r="AA454" s="9"/>
      <c r="AB454" s="9"/>
      <c r="AC454" s="9"/>
      <c r="AD454" s="27"/>
      <c r="AE454" s="42"/>
      <c r="AF454" s="27"/>
      <c r="AG454" s="42"/>
      <c r="AH454" s="27"/>
      <c r="AI454" s="9"/>
      <c r="AJ454" s="9"/>
      <c r="AK454" s="9"/>
      <c r="AM454" s="43"/>
      <c r="AN454" s="43"/>
      <c r="AQ454" s="34"/>
      <c r="AR454" s="34"/>
      <c r="AS454" s="34"/>
      <c r="AT454" s="34"/>
    </row>
    <row r="455" spans="1:46" s="11" customFormat="1" x14ac:dyDescent="0.25">
      <c r="A455" s="23"/>
      <c r="B455" s="9"/>
      <c r="C455" s="9"/>
      <c r="D455" s="9"/>
      <c r="E455" s="9"/>
      <c r="F455" s="10"/>
      <c r="G455" s="10"/>
      <c r="H455" s="27"/>
      <c r="I455" s="9"/>
      <c r="J455" s="9"/>
      <c r="K455" s="9"/>
      <c r="L455" s="9"/>
      <c r="M455" s="25"/>
      <c r="N455" s="25"/>
      <c r="O455" s="27"/>
      <c r="P455" s="27"/>
      <c r="Q455" s="27"/>
      <c r="R455" s="25"/>
      <c r="S455" s="25"/>
      <c r="T455" s="10"/>
      <c r="U455" s="9"/>
      <c r="V455" s="9"/>
      <c r="W455" s="9"/>
      <c r="X455" s="9"/>
      <c r="Y455" s="9"/>
      <c r="Z455" s="9"/>
      <c r="AA455" s="9"/>
      <c r="AB455" s="9"/>
      <c r="AC455" s="9"/>
      <c r="AD455" s="27"/>
      <c r="AE455" s="42"/>
      <c r="AF455" s="27"/>
      <c r="AG455" s="42"/>
      <c r="AH455" s="27"/>
      <c r="AI455" s="9"/>
      <c r="AJ455" s="9"/>
      <c r="AK455" s="9"/>
      <c r="AM455" s="43"/>
      <c r="AN455" s="43"/>
      <c r="AQ455" s="34"/>
      <c r="AR455" s="34"/>
      <c r="AS455" s="34"/>
      <c r="AT455" s="34"/>
    </row>
    <row r="456" spans="1:46" s="11" customFormat="1" x14ac:dyDescent="0.25">
      <c r="A456" s="23"/>
      <c r="B456" s="9"/>
      <c r="C456" s="9"/>
      <c r="D456" s="9"/>
      <c r="E456" s="9"/>
      <c r="F456" s="10"/>
      <c r="G456" s="10"/>
      <c r="H456" s="27"/>
      <c r="I456" s="9"/>
      <c r="J456" s="9"/>
      <c r="K456" s="9"/>
      <c r="L456" s="9"/>
      <c r="M456" s="25"/>
      <c r="N456" s="25"/>
      <c r="O456" s="27"/>
      <c r="P456" s="27"/>
      <c r="Q456" s="27"/>
      <c r="R456" s="25"/>
      <c r="S456" s="25"/>
      <c r="T456" s="10"/>
      <c r="U456" s="9"/>
      <c r="V456" s="9"/>
      <c r="W456" s="9"/>
      <c r="X456" s="9"/>
      <c r="Y456" s="9"/>
      <c r="Z456" s="9"/>
      <c r="AA456" s="9"/>
      <c r="AB456" s="9"/>
      <c r="AC456" s="9"/>
      <c r="AD456" s="27"/>
      <c r="AE456" s="42"/>
      <c r="AF456" s="27"/>
      <c r="AG456" s="42"/>
      <c r="AH456" s="27"/>
      <c r="AI456" s="9"/>
      <c r="AJ456" s="9"/>
      <c r="AK456" s="9"/>
      <c r="AM456" s="43"/>
      <c r="AN456" s="43"/>
      <c r="AQ456" s="34"/>
      <c r="AR456" s="34"/>
      <c r="AS456" s="34"/>
      <c r="AT456" s="34"/>
    </row>
    <row r="457" spans="1:46" s="11" customFormat="1" x14ac:dyDescent="0.25">
      <c r="A457" s="23"/>
      <c r="B457" s="9"/>
      <c r="C457" s="9"/>
      <c r="D457" s="9"/>
      <c r="E457" s="9"/>
      <c r="F457" s="10"/>
      <c r="G457" s="10"/>
      <c r="H457" s="27"/>
      <c r="I457" s="9"/>
      <c r="J457" s="9"/>
      <c r="K457" s="9"/>
      <c r="L457" s="9"/>
      <c r="M457" s="25"/>
      <c r="N457" s="25"/>
      <c r="O457" s="27"/>
      <c r="P457" s="27"/>
      <c r="Q457" s="27"/>
      <c r="R457" s="25"/>
      <c r="S457" s="25"/>
      <c r="T457" s="10"/>
      <c r="U457" s="9"/>
      <c r="V457" s="9"/>
      <c r="W457" s="9"/>
      <c r="X457" s="9"/>
      <c r="Y457" s="9"/>
      <c r="Z457" s="9"/>
      <c r="AA457" s="9"/>
      <c r="AB457" s="9"/>
      <c r="AC457" s="9"/>
      <c r="AD457" s="27"/>
      <c r="AE457" s="42"/>
      <c r="AF457" s="27"/>
      <c r="AG457" s="42"/>
      <c r="AH457" s="27"/>
      <c r="AI457" s="9"/>
      <c r="AJ457" s="9"/>
      <c r="AK457" s="9"/>
      <c r="AM457" s="43"/>
      <c r="AN457" s="43"/>
      <c r="AQ457" s="34"/>
      <c r="AR457" s="34"/>
      <c r="AS457" s="34"/>
      <c r="AT457" s="34"/>
    </row>
    <row r="458" spans="1:46" s="11" customFormat="1" x14ac:dyDescent="0.25">
      <c r="A458" s="23"/>
      <c r="B458" s="9"/>
      <c r="C458" s="9"/>
      <c r="D458" s="9"/>
      <c r="E458" s="9"/>
      <c r="F458" s="10"/>
      <c r="G458" s="10"/>
      <c r="H458" s="27"/>
      <c r="I458" s="9"/>
      <c r="J458" s="9"/>
      <c r="K458" s="9"/>
      <c r="L458" s="9"/>
      <c r="M458" s="25"/>
      <c r="N458" s="25"/>
      <c r="O458" s="27"/>
      <c r="P458" s="27"/>
      <c r="Q458" s="27"/>
      <c r="R458" s="25"/>
      <c r="S458" s="25"/>
      <c r="T458" s="10"/>
      <c r="U458" s="9"/>
      <c r="V458" s="9"/>
      <c r="W458" s="9"/>
      <c r="X458" s="9"/>
      <c r="Y458" s="9"/>
      <c r="Z458" s="9"/>
      <c r="AA458" s="9"/>
      <c r="AB458" s="9"/>
      <c r="AC458" s="9"/>
      <c r="AD458" s="27"/>
      <c r="AE458" s="42"/>
      <c r="AF458" s="27"/>
      <c r="AG458" s="42"/>
      <c r="AH458" s="27"/>
      <c r="AI458" s="9"/>
      <c r="AJ458" s="9"/>
      <c r="AK458" s="9"/>
      <c r="AM458" s="43"/>
      <c r="AN458" s="43"/>
      <c r="AQ458" s="34"/>
      <c r="AR458" s="34"/>
      <c r="AS458" s="34"/>
      <c r="AT458" s="34"/>
    </row>
    <row r="459" spans="1:46" s="11" customFormat="1" x14ac:dyDescent="0.25">
      <c r="A459" s="23"/>
      <c r="B459" s="9"/>
      <c r="C459" s="9"/>
      <c r="D459" s="9"/>
      <c r="E459" s="9"/>
      <c r="F459" s="10"/>
      <c r="G459" s="10"/>
      <c r="H459" s="27"/>
      <c r="I459" s="9"/>
      <c r="J459" s="9"/>
      <c r="K459" s="9"/>
      <c r="L459" s="9"/>
      <c r="M459" s="25"/>
      <c r="N459" s="25"/>
      <c r="O459" s="27"/>
      <c r="P459" s="27"/>
      <c r="Q459" s="27"/>
      <c r="R459" s="25"/>
      <c r="S459" s="25"/>
      <c r="T459" s="10"/>
      <c r="U459" s="9"/>
      <c r="V459" s="9"/>
      <c r="W459" s="9"/>
      <c r="X459" s="9"/>
      <c r="Y459" s="9"/>
      <c r="Z459" s="9"/>
      <c r="AA459" s="9"/>
      <c r="AB459" s="9"/>
      <c r="AC459" s="9"/>
      <c r="AD459" s="27"/>
      <c r="AE459" s="42"/>
      <c r="AF459" s="27"/>
      <c r="AG459" s="42"/>
      <c r="AH459" s="27"/>
      <c r="AI459" s="9"/>
      <c r="AJ459" s="9"/>
      <c r="AK459" s="9"/>
      <c r="AM459" s="43"/>
      <c r="AN459" s="43"/>
      <c r="AQ459" s="34"/>
      <c r="AR459" s="34"/>
      <c r="AS459" s="34"/>
      <c r="AT459" s="34"/>
    </row>
    <row r="460" spans="1:46" s="11" customFormat="1" x14ac:dyDescent="0.25">
      <c r="A460" s="23"/>
      <c r="B460" s="9"/>
      <c r="C460" s="9"/>
      <c r="D460" s="9"/>
      <c r="E460" s="9"/>
      <c r="F460" s="10"/>
      <c r="G460" s="10"/>
      <c r="H460" s="27"/>
      <c r="I460" s="9"/>
      <c r="J460" s="9"/>
      <c r="K460" s="9"/>
      <c r="L460" s="9"/>
      <c r="M460" s="25"/>
      <c r="N460" s="25"/>
      <c r="O460" s="27"/>
      <c r="P460" s="27"/>
      <c r="Q460" s="27"/>
      <c r="R460" s="25"/>
      <c r="S460" s="25"/>
      <c r="T460" s="10"/>
      <c r="U460" s="9"/>
      <c r="V460" s="9"/>
      <c r="W460" s="9"/>
      <c r="X460" s="9"/>
      <c r="Y460" s="9"/>
      <c r="Z460" s="9"/>
      <c r="AA460" s="9"/>
      <c r="AB460" s="9"/>
      <c r="AC460" s="9"/>
      <c r="AD460" s="27"/>
      <c r="AE460" s="42"/>
      <c r="AF460" s="27"/>
      <c r="AG460" s="42"/>
      <c r="AH460" s="27"/>
      <c r="AI460" s="9"/>
      <c r="AJ460" s="9"/>
      <c r="AK460" s="9"/>
      <c r="AM460" s="43"/>
      <c r="AN460" s="43"/>
      <c r="AQ460" s="34"/>
      <c r="AR460" s="34"/>
      <c r="AS460" s="34"/>
      <c r="AT460" s="34"/>
    </row>
    <row r="461" spans="1:46" s="11" customFormat="1" x14ac:dyDescent="0.25">
      <c r="A461" s="23"/>
      <c r="B461" s="9"/>
      <c r="C461" s="9"/>
      <c r="D461" s="9"/>
      <c r="E461" s="9"/>
      <c r="F461" s="10"/>
      <c r="G461" s="10"/>
      <c r="H461" s="27"/>
      <c r="I461" s="9"/>
      <c r="J461" s="9"/>
      <c r="K461" s="9"/>
      <c r="L461" s="9"/>
      <c r="M461" s="25"/>
      <c r="N461" s="25"/>
      <c r="O461" s="27"/>
      <c r="P461" s="27"/>
      <c r="Q461" s="27"/>
      <c r="R461" s="25"/>
      <c r="S461" s="25"/>
      <c r="T461" s="10"/>
      <c r="U461" s="9"/>
      <c r="V461" s="9"/>
      <c r="W461" s="9"/>
      <c r="X461" s="9"/>
      <c r="Y461" s="9"/>
      <c r="Z461" s="9"/>
      <c r="AA461" s="9"/>
      <c r="AB461" s="9"/>
      <c r="AC461" s="9"/>
      <c r="AD461" s="27"/>
      <c r="AE461" s="42"/>
      <c r="AF461" s="27"/>
      <c r="AG461" s="42"/>
      <c r="AH461" s="27"/>
      <c r="AI461" s="9"/>
      <c r="AJ461" s="9"/>
      <c r="AK461" s="9"/>
      <c r="AM461" s="43"/>
      <c r="AN461" s="43"/>
      <c r="AQ461" s="34"/>
      <c r="AR461" s="34"/>
      <c r="AS461" s="34"/>
      <c r="AT461" s="34"/>
    </row>
    <row r="462" spans="1:46" s="11" customFormat="1" x14ac:dyDescent="0.25">
      <c r="A462" s="23"/>
      <c r="B462" s="9"/>
      <c r="C462" s="9"/>
      <c r="D462" s="9"/>
      <c r="E462" s="9"/>
      <c r="F462" s="10"/>
      <c r="G462" s="10"/>
      <c r="H462" s="27"/>
      <c r="I462" s="9"/>
      <c r="J462" s="9"/>
      <c r="K462" s="9"/>
      <c r="L462" s="9"/>
      <c r="M462" s="25"/>
      <c r="N462" s="25"/>
      <c r="O462" s="27"/>
      <c r="P462" s="27"/>
      <c r="Q462" s="27"/>
      <c r="R462" s="25"/>
      <c r="S462" s="25"/>
      <c r="T462" s="10"/>
      <c r="U462" s="9"/>
      <c r="V462" s="9"/>
      <c r="W462" s="9"/>
      <c r="X462" s="9"/>
      <c r="Y462" s="9"/>
      <c r="Z462" s="9"/>
      <c r="AA462" s="9"/>
      <c r="AB462" s="9"/>
      <c r="AC462" s="9"/>
      <c r="AD462" s="27"/>
      <c r="AE462" s="42"/>
      <c r="AF462" s="27"/>
      <c r="AG462" s="42"/>
      <c r="AH462" s="27"/>
      <c r="AI462" s="9"/>
      <c r="AJ462" s="9"/>
      <c r="AK462" s="9"/>
      <c r="AM462" s="43"/>
      <c r="AN462" s="43"/>
      <c r="AQ462" s="34"/>
      <c r="AR462" s="34"/>
      <c r="AS462" s="34"/>
      <c r="AT462" s="34"/>
    </row>
    <row r="463" spans="1:46" s="11" customFormat="1" x14ac:dyDescent="0.25">
      <c r="A463" s="23"/>
      <c r="B463" s="9"/>
      <c r="C463" s="9"/>
      <c r="D463" s="9"/>
      <c r="E463" s="9"/>
      <c r="F463" s="10"/>
      <c r="G463" s="10"/>
      <c r="H463" s="27"/>
      <c r="I463" s="9"/>
      <c r="J463" s="9"/>
      <c r="K463" s="9"/>
      <c r="L463" s="9"/>
      <c r="M463" s="25"/>
      <c r="N463" s="25"/>
      <c r="O463" s="27"/>
      <c r="P463" s="27"/>
      <c r="Q463" s="27"/>
      <c r="R463" s="25"/>
      <c r="S463" s="25"/>
      <c r="T463" s="10"/>
      <c r="U463" s="9"/>
      <c r="V463" s="9"/>
      <c r="W463" s="9"/>
      <c r="X463" s="9"/>
      <c r="Y463" s="9"/>
      <c r="Z463" s="9"/>
      <c r="AA463" s="9"/>
      <c r="AB463" s="9"/>
      <c r="AC463" s="9"/>
      <c r="AD463" s="27"/>
      <c r="AE463" s="42"/>
      <c r="AF463" s="27"/>
      <c r="AG463" s="42"/>
      <c r="AH463" s="27"/>
      <c r="AI463" s="9"/>
      <c r="AJ463" s="9"/>
      <c r="AK463" s="9"/>
      <c r="AM463" s="43"/>
      <c r="AN463" s="43"/>
      <c r="AQ463" s="34"/>
      <c r="AR463" s="34"/>
      <c r="AS463" s="34"/>
      <c r="AT463" s="34"/>
    </row>
    <row r="464" spans="1:46" s="11" customFormat="1" x14ac:dyDescent="0.25">
      <c r="A464" s="23"/>
      <c r="B464" s="9"/>
      <c r="C464" s="9"/>
      <c r="D464" s="9"/>
      <c r="E464" s="9"/>
      <c r="F464" s="10"/>
      <c r="G464" s="10"/>
      <c r="H464" s="27"/>
      <c r="I464" s="9"/>
      <c r="J464" s="9"/>
      <c r="K464" s="9"/>
      <c r="L464" s="9"/>
      <c r="M464" s="25"/>
      <c r="N464" s="25"/>
      <c r="O464" s="27"/>
      <c r="P464" s="27"/>
      <c r="Q464" s="27"/>
      <c r="R464" s="25"/>
      <c r="S464" s="25"/>
      <c r="T464" s="10"/>
      <c r="U464" s="9"/>
      <c r="V464" s="9"/>
      <c r="W464" s="9"/>
      <c r="X464" s="9"/>
      <c r="Y464" s="9"/>
      <c r="Z464" s="9"/>
      <c r="AA464" s="9"/>
      <c r="AB464" s="9"/>
      <c r="AC464" s="9"/>
      <c r="AD464" s="27"/>
      <c r="AE464" s="42"/>
      <c r="AF464" s="27"/>
      <c r="AG464" s="42"/>
      <c r="AH464" s="27"/>
      <c r="AI464" s="9"/>
      <c r="AJ464" s="9"/>
      <c r="AK464" s="9"/>
      <c r="AM464" s="43"/>
      <c r="AN464" s="43"/>
      <c r="AQ464" s="34"/>
      <c r="AR464" s="34"/>
      <c r="AS464" s="34"/>
      <c r="AT464" s="34"/>
    </row>
    <row r="465" spans="1:46" s="11" customFormat="1" x14ac:dyDescent="0.25">
      <c r="A465" s="23"/>
      <c r="B465" s="9"/>
      <c r="C465" s="9"/>
      <c r="D465" s="9"/>
      <c r="E465" s="9"/>
      <c r="F465" s="10"/>
      <c r="G465" s="10"/>
      <c r="H465" s="27"/>
      <c r="I465" s="9"/>
      <c r="J465" s="9"/>
      <c r="K465" s="9"/>
      <c r="L465" s="9"/>
      <c r="M465" s="25"/>
      <c r="N465" s="25"/>
      <c r="O465" s="27"/>
      <c r="P465" s="27"/>
      <c r="Q465" s="27"/>
      <c r="R465" s="25"/>
      <c r="S465" s="25"/>
      <c r="T465" s="10"/>
      <c r="U465" s="9"/>
      <c r="V465" s="9"/>
      <c r="W465" s="9"/>
      <c r="X465" s="9"/>
      <c r="Y465" s="9"/>
      <c r="Z465" s="9"/>
      <c r="AA465" s="9"/>
      <c r="AB465" s="9"/>
      <c r="AC465" s="9"/>
      <c r="AD465" s="27"/>
      <c r="AE465" s="42"/>
      <c r="AF465" s="27"/>
      <c r="AG465" s="42"/>
      <c r="AH465" s="27"/>
      <c r="AI465" s="9"/>
      <c r="AJ465" s="9"/>
      <c r="AK465" s="9"/>
      <c r="AM465" s="43"/>
      <c r="AN465" s="43"/>
      <c r="AQ465" s="34"/>
      <c r="AR465" s="34"/>
      <c r="AS465" s="34"/>
      <c r="AT465" s="34"/>
    </row>
    <row r="466" spans="1:46" s="11" customFormat="1" x14ac:dyDescent="0.25">
      <c r="A466" s="23"/>
      <c r="B466" s="9"/>
      <c r="C466" s="9"/>
      <c r="D466" s="9"/>
      <c r="E466" s="9"/>
      <c r="F466" s="10"/>
      <c r="G466" s="10"/>
      <c r="H466" s="27"/>
      <c r="I466" s="9"/>
      <c r="J466" s="9"/>
      <c r="K466" s="9"/>
      <c r="L466" s="9"/>
      <c r="M466" s="25"/>
      <c r="N466" s="25"/>
      <c r="O466" s="27"/>
      <c r="P466" s="27"/>
      <c r="Q466" s="27"/>
      <c r="R466" s="25"/>
      <c r="S466" s="25"/>
      <c r="T466" s="10"/>
      <c r="U466" s="9"/>
      <c r="V466" s="9"/>
      <c r="W466" s="9"/>
      <c r="X466" s="9"/>
      <c r="Y466" s="9"/>
      <c r="Z466" s="9"/>
      <c r="AA466" s="9"/>
      <c r="AB466" s="9"/>
      <c r="AC466" s="9"/>
      <c r="AD466" s="27"/>
      <c r="AE466" s="42"/>
      <c r="AF466" s="27"/>
      <c r="AG466" s="42"/>
      <c r="AH466" s="27"/>
      <c r="AI466" s="9"/>
      <c r="AJ466" s="9"/>
      <c r="AK466" s="9"/>
      <c r="AM466" s="43"/>
      <c r="AN466" s="43"/>
      <c r="AQ466" s="34"/>
      <c r="AR466" s="34"/>
      <c r="AS466" s="34"/>
      <c r="AT466" s="34"/>
    </row>
    <row r="467" spans="1:46" s="11" customFormat="1" x14ac:dyDescent="0.25">
      <c r="A467" s="23"/>
      <c r="B467" s="9"/>
      <c r="C467" s="9"/>
      <c r="D467" s="9"/>
      <c r="E467" s="9"/>
      <c r="F467" s="10"/>
      <c r="G467" s="10"/>
      <c r="H467" s="27"/>
      <c r="I467" s="9"/>
      <c r="J467" s="9"/>
      <c r="K467" s="9"/>
      <c r="L467" s="9"/>
      <c r="M467" s="25"/>
      <c r="N467" s="25"/>
      <c r="O467" s="27"/>
      <c r="P467" s="27"/>
      <c r="Q467" s="27"/>
      <c r="R467" s="25"/>
      <c r="S467" s="25"/>
      <c r="T467" s="10"/>
      <c r="U467" s="9"/>
      <c r="V467" s="9"/>
      <c r="W467" s="9"/>
      <c r="X467" s="9"/>
      <c r="Y467" s="9"/>
      <c r="Z467" s="9"/>
      <c r="AA467" s="9"/>
      <c r="AB467" s="9"/>
      <c r="AC467" s="9"/>
      <c r="AD467" s="27"/>
      <c r="AE467" s="42"/>
      <c r="AF467" s="27"/>
      <c r="AG467" s="42"/>
      <c r="AH467" s="27"/>
      <c r="AI467" s="9"/>
      <c r="AJ467" s="9"/>
      <c r="AK467" s="9"/>
      <c r="AM467" s="43"/>
      <c r="AN467" s="43"/>
      <c r="AQ467" s="34"/>
      <c r="AR467" s="34"/>
      <c r="AS467" s="34"/>
      <c r="AT467" s="34"/>
    </row>
    <row r="468" spans="1:46" s="11" customFormat="1" x14ac:dyDescent="0.25">
      <c r="A468" s="23"/>
      <c r="B468" s="9"/>
      <c r="C468" s="9"/>
      <c r="D468" s="9"/>
      <c r="E468" s="9"/>
      <c r="F468" s="10"/>
      <c r="G468" s="10"/>
      <c r="H468" s="27"/>
      <c r="I468" s="9"/>
      <c r="J468" s="9"/>
      <c r="K468" s="9"/>
      <c r="L468" s="9"/>
      <c r="M468" s="25"/>
      <c r="N468" s="25"/>
      <c r="O468" s="27"/>
      <c r="P468" s="27"/>
      <c r="Q468" s="27"/>
      <c r="R468" s="25"/>
      <c r="S468" s="25"/>
      <c r="T468" s="10"/>
      <c r="U468" s="9"/>
      <c r="V468" s="9"/>
      <c r="W468" s="9"/>
      <c r="X468" s="9"/>
      <c r="Y468" s="9"/>
      <c r="Z468" s="9"/>
      <c r="AA468" s="9"/>
      <c r="AB468" s="9"/>
      <c r="AC468" s="9"/>
      <c r="AD468" s="27"/>
      <c r="AE468" s="42"/>
      <c r="AF468" s="27"/>
      <c r="AG468" s="42"/>
      <c r="AH468" s="27"/>
      <c r="AI468" s="9"/>
      <c r="AJ468" s="9"/>
      <c r="AK468" s="9"/>
      <c r="AM468" s="43"/>
      <c r="AN468" s="43"/>
      <c r="AQ468" s="34"/>
      <c r="AR468" s="34"/>
      <c r="AS468" s="34"/>
      <c r="AT468" s="34"/>
    </row>
    <row r="469" spans="1:46" s="11" customFormat="1" x14ac:dyDescent="0.25">
      <c r="A469" s="23"/>
      <c r="B469" s="9"/>
      <c r="C469" s="9"/>
      <c r="D469" s="9"/>
      <c r="E469" s="9"/>
      <c r="F469" s="10"/>
      <c r="G469" s="10"/>
      <c r="H469" s="27"/>
      <c r="I469" s="9"/>
      <c r="J469" s="9"/>
      <c r="K469" s="9"/>
      <c r="L469" s="9"/>
      <c r="M469" s="25"/>
      <c r="N469" s="25"/>
      <c r="O469" s="27"/>
      <c r="P469" s="27"/>
      <c r="Q469" s="27"/>
      <c r="R469" s="25"/>
      <c r="S469" s="25"/>
      <c r="T469" s="10"/>
      <c r="U469" s="9"/>
      <c r="V469" s="9"/>
      <c r="W469" s="9"/>
      <c r="X469" s="9"/>
      <c r="Y469" s="9"/>
      <c r="Z469" s="9"/>
      <c r="AA469" s="9"/>
      <c r="AB469" s="9"/>
      <c r="AC469" s="9"/>
      <c r="AD469" s="27"/>
      <c r="AE469" s="42"/>
      <c r="AF469" s="27"/>
      <c r="AG469" s="42"/>
      <c r="AH469" s="27"/>
      <c r="AI469" s="9"/>
      <c r="AJ469" s="9"/>
      <c r="AK469" s="9"/>
      <c r="AM469" s="43"/>
      <c r="AN469" s="43"/>
      <c r="AQ469" s="34"/>
      <c r="AR469" s="34"/>
      <c r="AS469" s="34"/>
      <c r="AT469" s="34"/>
    </row>
    <row r="470" spans="1:46" s="11" customFormat="1" x14ac:dyDescent="0.25">
      <c r="A470" s="23"/>
      <c r="B470" s="9"/>
      <c r="C470" s="9"/>
      <c r="D470" s="9"/>
      <c r="E470" s="9"/>
      <c r="F470" s="10"/>
      <c r="G470" s="10"/>
      <c r="H470" s="27"/>
      <c r="I470" s="9"/>
      <c r="J470" s="9"/>
      <c r="K470" s="9"/>
      <c r="L470" s="9"/>
      <c r="M470" s="25"/>
      <c r="N470" s="25"/>
      <c r="O470" s="27"/>
      <c r="P470" s="27"/>
      <c r="Q470" s="27"/>
      <c r="R470" s="25"/>
      <c r="S470" s="25"/>
      <c r="T470" s="10"/>
      <c r="U470" s="9"/>
      <c r="V470" s="9"/>
      <c r="W470" s="9"/>
      <c r="X470" s="9"/>
      <c r="Y470" s="9"/>
      <c r="Z470" s="9"/>
      <c r="AA470" s="9"/>
      <c r="AB470" s="9"/>
      <c r="AC470" s="9"/>
      <c r="AD470" s="27"/>
      <c r="AE470" s="42"/>
      <c r="AF470" s="27"/>
      <c r="AG470" s="42"/>
      <c r="AH470" s="27"/>
      <c r="AI470" s="9"/>
      <c r="AJ470" s="9"/>
      <c r="AK470" s="9"/>
      <c r="AM470" s="43"/>
      <c r="AN470" s="43"/>
      <c r="AQ470" s="34"/>
      <c r="AR470" s="34"/>
      <c r="AS470" s="34"/>
      <c r="AT470" s="34"/>
    </row>
    <row r="471" spans="1:46" s="11" customFormat="1" x14ac:dyDescent="0.25">
      <c r="A471" s="23"/>
      <c r="B471" s="9"/>
      <c r="C471" s="9"/>
      <c r="D471" s="9"/>
      <c r="E471" s="9"/>
      <c r="F471" s="10"/>
      <c r="G471" s="10"/>
      <c r="H471" s="27"/>
      <c r="I471" s="9"/>
      <c r="J471" s="9"/>
      <c r="K471" s="9"/>
      <c r="L471" s="9"/>
      <c r="M471" s="25"/>
      <c r="N471" s="25"/>
      <c r="O471" s="27"/>
      <c r="P471" s="27"/>
      <c r="Q471" s="27"/>
      <c r="R471" s="25"/>
      <c r="S471" s="25"/>
      <c r="T471" s="10"/>
      <c r="U471" s="9"/>
      <c r="V471" s="9"/>
      <c r="W471" s="9"/>
      <c r="X471" s="9"/>
      <c r="Y471" s="9"/>
      <c r="Z471" s="9"/>
      <c r="AA471" s="9"/>
      <c r="AB471" s="9"/>
      <c r="AC471" s="9"/>
      <c r="AD471" s="27"/>
      <c r="AE471" s="42"/>
      <c r="AF471" s="27"/>
      <c r="AG471" s="42"/>
      <c r="AH471" s="27"/>
      <c r="AI471" s="9"/>
      <c r="AJ471" s="9"/>
      <c r="AK471" s="9"/>
      <c r="AM471" s="43"/>
      <c r="AN471" s="43"/>
      <c r="AQ471" s="34"/>
      <c r="AR471" s="34"/>
      <c r="AS471" s="34"/>
      <c r="AT471" s="34"/>
    </row>
    <row r="472" spans="1:46" s="11" customFormat="1" x14ac:dyDescent="0.25">
      <c r="A472" s="23"/>
      <c r="B472" s="9"/>
      <c r="C472" s="9"/>
      <c r="D472" s="9"/>
      <c r="E472" s="9"/>
      <c r="F472" s="10"/>
      <c r="G472" s="10"/>
      <c r="H472" s="27"/>
      <c r="I472" s="9"/>
      <c r="J472" s="9"/>
      <c r="K472" s="9"/>
      <c r="L472" s="9"/>
      <c r="M472" s="25"/>
      <c r="N472" s="25"/>
      <c r="O472" s="27"/>
      <c r="P472" s="27"/>
      <c r="Q472" s="27"/>
      <c r="R472" s="25"/>
      <c r="S472" s="25"/>
      <c r="T472" s="10"/>
      <c r="U472" s="9"/>
      <c r="V472" s="9"/>
      <c r="W472" s="9"/>
      <c r="X472" s="9"/>
      <c r="Y472" s="9"/>
      <c r="Z472" s="9"/>
      <c r="AA472" s="9"/>
      <c r="AB472" s="9"/>
      <c r="AC472" s="9"/>
      <c r="AD472" s="27"/>
      <c r="AE472" s="42"/>
      <c r="AF472" s="27"/>
      <c r="AG472" s="42"/>
      <c r="AH472" s="27"/>
      <c r="AI472" s="9"/>
      <c r="AJ472" s="9"/>
      <c r="AK472" s="9"/>
      <c r="AM472" s="43"/>
      <c r="AN472" s="43"/>
      <c r="AQ472" s="34"/>
      <c r="AR472" s="34"/>
      <c r="AS472" s="34"/>
      <c r="AT472" s="34"/>
    </row>
    <row r="473" spans="1:46" s="11" customFormat="1" x14ac:dyDescent="0.25">
      <c r="A473" s="23"/>
      <c r="B473" s="9"/>
      <c r="C473" s="9"/>
      <c r="D473" s="9"/>
      <c r="E473" s="9"/>
      <c r="F473" s="10"/>
      <c r="G473" s="10"/>
      <c r="H473" s="27"/>
      <c r="I473" s="9"/>
      <c r="J473" s="9"/>
      <c r="K473" s="9"/>
      <c r="L473" s="9"/>
      <c r="M473" s="25"/>
      <c r="N473" s="25"/>
      <c r="O473" s="27"/>
      <c r="P473" s="27"/>
      <c r="Q473" s="27"/>
      <c r="R473" s="25"/>
      <c r="S473" s="25"/>
      <c r="T473" s="10"/>
      <c r="U473" s="9"/>
      <c r="V473" s="9"/>
      <c r="W473" s="9"/>
      <c r="X473" s="9"/>
      <c r="Y473" s="9"/>
      <c r="Z473" s="9"/>
      <c r="AA473" s="9"/>
      <c r="AB473" s="9"/>
      <c r="AC473" s="9"/>
      <c r="AD473" s="27"/>
      <c r="AE473" s="42"/>
      <c r="AF473" s="27"/>
      <c r="AG473" s="42"/>
      <c r="AH473" s="27"/>
      <c r="AI473" s="9"/>
      <c r="AJ473" s="9"/>
      <c r="AK473" s="9"/>
      <c r="AM473" s="43"/>
      <c r="AN473" s="43"/>
      <c r="AQ473" s="34"/>
      <c r="AR473" s="34"/>
      <c r="AS473" s="34"/>
      <c r="AT473" s="34"/>
    </row>
    <row r="474" spans="1:46" s="11" customFormat="1" x14ac:dyDescent="0.25">
      <c r="A474" s="23"/>
      <c r="B474" s="9"/>
      <c r="C474" s="9"/>
      <c r="D474" s="9"/>
      <c r="E474" s="9"/>
      <c r="F474" s="10"/>
      <c r="G474" s="10"/>
      <c r="H474" s="27"/>
      <c r="I474" s="9"/>
      <c r="J474" s="9"/>
      <c r="K474" s="9"/>
      <c r="L474" s="9"/>
      <c r="M474" s="25"/>
      <c r="N474" s="25"/>
      <c r="O474" s="27"/>
      <c r="P474" s="27"/>
      <c r="Q474" s="27"/>
      <c r="R474" s="25"/>
      <c r="S474" s="25"/>
      <c r="T474" s="10"/>
      <c r="U474" s="9"/>
      <c r="V474" s="9"/>
      <c r="W474" s="9"/>
      <c r="X474" s="9"/>
      <c r="Y474" s="9"/>
      <c r="Z474" s="9"/>
      <c r="AA474" s="9"/>
      <c r="AB474" s="9"/>
      <c r="AC474" s="9"/>
      <c r="AD474" s="27"/>
      <c r="AE474" s="42"/>
      <c r="AF474" s="27"/>
      <c r="AG474" s="42"/>
      <c r="AH474" s="27"/>
      <c r="AI474" s="9"/>
      <c r="AJ474" s="9"/>
      <c r="AK474" s="9"/>
      <c r="AM474" s="43"/>
      <c r="AN474" s="43"/>
      <c r="AQ474" s="34"/>
      <c r="AR474" s="34"/>
      <c r="AS474" s="34"/>
      <c r="AT474" s="34"/>
    </row>
    <row r="475" spans="1:46" s="11" customFormat="1" x14ac:dyDescent="0.25">
      <c r="A475" s="23"/>
      <c r="B475" s="9"/>
      <c r="C475" s="9"/>
      <c r="D475" s="9"/>
      <c r="E475" s="9"/>
      <c r="F475" s="10"/>
      <c r="G475" s="10"/>
      <c r="H475" s="27"/>
      <c r="I475" s="9"/>
      <c r="J475" s="9"/>
      <c r="K475" s="9"/>
      <c r="L475" s="9"/>
      <c r="M475" s="25"/>
      <c r="N475" s="25"/>
      <c r="O475" s="27"/>
      <c r="P475" s="27"/>
      <c r="Q475" s="27"/>
      <c r="R475" s="25"/>
      <c r="S475" s="25"/>
      <c r="T475" s="10"/>
      <c r="U475" s="9"/>
      <c r="V475" s="9"/>
      <c r="W475" s="9"/>
      <c r="X475" s="9"/>
      <c r="Y475" s="9"/>
      <c r="Z475" s="9"/>
      <c r="AA475" s="9"/>
      <c r="AB475" s="9"/>
      <c r="AC475" s="9"/>
      <c r="AD475" s="27"/>
      <c r="AE475" s="42"/>
      <c r="AF475" s="27"/>
      <c r="AG475" s="42"/>
      <c r="AH475" s="27"/>
      <c r="AI475" s="9"/>
      <c r="AJ475" s="9"/>
      <c r="AK475" s="9"/>
      <c r="AM475" s="43"/>
      <c r="AN475" s="43"/>
      <c r="AQ475" s="34"/>
      <c r="AR475" s="34"/>
      <c r="AS475" s="34"/>
      <c r="AT475" s="34"/>
    </row>
    <row r="476" spans="1:46" s="11" customFormat="1" x14ac:dyDescent="0.25">
      <c r="A476" s="23"/>
      <c r="B476" s="9"/>
      <c r="C476" s="9"/>
      <c r="D476" s="9"/>
      <c r="E476" s="9"/>
      <c r="F476" s="10"/>
      <c r="G476" s="10"/>
      <c r="H476" s="27"/>
      <c r="I476" s="9"/>
      <c r="J476" s="9"/>
      <c r="K476" s="9"/>
      <c r="L476" s="9"/>
      <c r="M476" s="25"/>
      <c r="N476" s="25"/>
      <c r="O476" s="27"/>
      <c r="P476" s="27"/>
      <c r="Q476" s="27"/>
      <c r="R476" s="25"/>
      <c r="S476" s="25"/>
      <c r="T476" s="10"/>
      <c r="U476" s="9"/>
      <c r="V476" s="9"/>
      <c r="W476" s="9"/>
      <c r="X476" s="9"/>
      <c r="Y476" s="9"/>
      <c r="Z476" s="9"/>
      <c r="AA476" s="9"/>
      <c r="AB476" s="9"/>
      <c r="AC476" s="9"/>
      <c r="AD476" s="27"/>
      <c r="AE476" s="42"/>
      <c r="AF476" s="27"/>
      <c r="AG476" s="42"/>
      <c r="AH476" s="27"/>
      <c r="AI476" s="9"/>
      <c r="AJ476" s="9"/>
      <c r="AK476" s="9"/>
      <c r="AM476" s="43"/>
      <c r="AN476" s="43"/>
      <c r="AQ476" s="34"/>
      <c r="AR476" s="34"/>
      <c r="AS476" s="34"/>
      <c r="AT476" s="34"/>
    </row>
    <row r="477" spans="1:46" s="11" customFormat="1" x14ac:dyDescent="0.25">
      <c r="A477" s="23"/>
      <c r="B477" s="9"/>
      <c r="C477" s="9"/>
      <c r="D477" s="9"/>
      <c r="E477" s="9"/>
      <c r="F477" s="10"/>
      <c r="G477" s="10"/>
      <c r="H477" s="27"/>
      <c r="I477" s="9"/>
      <c r="J477" s="9"/>
      <c r="K477" s="9"/>
      <c r="L477" s="9"/>
      <c r="M477" s="25"/>
      <c r="N477" s="25"/>
      <c r="O477" s="27"/>
      <c r="P477" s="27"/>
      <c r="Q477" s="27"/>
      <c r="R477" s="25"/>
      <c r="S477" s="25"/>
      <c r="T477" s="10"/>
      <c r="U477" s="9"/>
      <c r="V477" s="9"/>
      <c r="W477" s="9"/>
      <c r="X477" s="9"/>
      <c r="Y477" s="9"/>
      <c r="Z477" s="9"/>
      <c r="AA477" s="9"/>
      <c r="AB477" s="9"/>
      <c r="AC477" s="9"/>
      <c r="AD477" s="27"/>
      <c r="AE477" s="42"/>
      <c r="AF477" s="27"/>
      <c r="AG477" s="42"/>
      <c r="AH477" s="27"/>
      <c r="AI477" s="9"/>
      <c r="AJ477" s="9"/>
      <c r="AK477" s="9"/>
      <c r="AM477" s="43"/>
      <c r="AN477" s="43"/>
      <c r="AQ477" s="34"/>
      <c r="AR477" s="34"/>
      <c r="AS477" s="34"/>
      <c r="AT477" s="34"/>
    </row>
    <row r="478" spans="1:46" s="11" customFormat="1" x14ac:dyDescent="0.25">
      <c r="A478" s="23"/>
      <c r="B478" s="9"/>
      <c r="C478" s="9"/>
      <c r="D478" s="9"/>
      <c r="E478" s="9"/>
      <c r="F478" s="10"/>
      <c r="G478" s="10"/>
      <c r="H478" s="27"/>
      <c r="I478" s="9"/>
      <c r="J478" s="9"/>
      <c r="K478" s="9"/>
      <c r="L478" s="9"/>
      <c r="M478" s="25"/>
      <c r="N478" s="25"/>
      <c r="O478" s="27"/>
      <c r="P478" s="27"/>
      <c r="Q478" s="27"/>
      <c r="R478" s="25"/>
      <c r="S478" s="25"/>
      <c r="T478" s="10"/>
      <c r="U478" s="9"/>
      <c r="V478" s="9"/>
      <c r="W478" s="9"/>
      <c r="X478" s="9"/>
      <c r="Y478" s="9"/>
      <c r="Z478" s="9"/>
      <c r="AA478" s="9"/>
      <c r="AB478" s="9"/>
      <c r="AC478" s="9"/>
      <c r="AD478" s="27"/>
      <c r="AE478" s="42"/>
      <c r="AF478" s="27"/>
      <c r="AG478" s="42"/>
      <c r="AH478" s="27"/>
      <c r="AI478" s="9"/>
      <c r="AJ478" s="9"/>
      <c r="AK478" s="9"/>
      <c r="AM478" s="43"/>
      <c r="AN478" s="43"/>
      <c r="AQ478" s="34"/>
      <c r="AR478" s="34"/>
      <c r="AS478" s="34"/>
      <c r="AT478" s="34"/>
    </row>
    <row r="479" spans="1:46" s="11" customFormat="1" x14ac:dyDescent="0.25">
      <c r="A479" s="23"/>
      <c r="B479" s="9"/>
      <c r="C479" s="9"/>
      <c r="D479" s="9"/>
      <c r="E479" s="9"/>
      <c r="F479" s="10"/>
      <c r="G479" s="10"/>
      <c r="H479" s="27"/>
      <c r="I479" s="9"/>
      <c r="J479" s="9"/>
      <c r="K479" s="9"/>
      <c r="L479" s="9"/>
      <c r="M479" s="25"/>
      <c r="N479" s="25"/>
      <c r="O479" s="27"/>
      <c r="P479" s="27"/>
      <c r="Q479" s="27"/>
      <c r="R479" s="25"/>
      <c r="S479" s="25"/>
      <c r="T479" s="10"/>
      <c r="U479" s="9"/>
      <c r="V479" s="9"/>
      <c r="W479" s="9"/>
      <c r="X479" s="9"/>
      <c r="Y479" s="9"/>
      <c r="Z479" s="9"/>
      <c r="AA479" s="9"/>
      <c r="AB479" s="9"/>
      <c r="AC479" s="9"/>
      <c r="AD479" s="27"/>
      <c r="AE479" s="42"/>
      <c r="AF479" s="27"/>
      <c r="AG479" s="42"/>
      <c r="AH479" s="27"/>
      <c r="AI479" s="9"/>
      <c r="AJ479" s="9"/>
      <c r="AK479" s="9"/>
      <c r="AM479" s="43"/>
      <c r="AN479" s="43"/>
      <c r="AQ479" s="34"/>
      <c r="AR479" s="34"/>
      <c r="AS479" s="34"/>
      <c r="AT479" s="34"/>
    </row>
    <row r="480" spans="1:46" s="11" customFormat="1" x14ac:dyDescent="0.25">
      <c r="A480" s="23"/>
      <c r="B480" s="9"/>
      <c r="C480" s="9"/>
      <c r="D480" s="9"/>
      <c r="E480" s="9"/>
      <c r="F480" s="10"/>
      <c r="G480" s="10"/>
      <c r="H480" s="27"/>
      <c r="I480" s="9"/>
      <c r="J480" s="9"/>
      <c r="K480" s="9"/>
      <c r="L480" s="9"/>
      <c r="M480" s="25"/>
      <c r="N480" s="25"/>
      <c r="O480" s="27"/>
      <c r="P480" s="27"/>
      <c r="Q480" s="27"/>
      <c r="R480" s="25"/>
      <c r="S480" s="25"/>
      <c r="T480" s="10"/>
      <c r="U480" s="9"/>
      <c r="V480" s="9"/>
      <c r="W480" s="9"/>
      <c r="X480" s="9"/>
      <c r="Y480" s="9"/>
      <c r="Z480" s="9"/>
      <c r="AA480" s="9"/>
      <c r="AB480" s="9"/>
      <c r="AC480" s="9"/>
      <c r="AD480" s="27"/>
      <c r="AE480" s="42"/>
      <c r="AF480" s="27"/>
      <c r="AG480" s="42"/>
      <c r="AH480" s="27"/>
      <c r="AI480" s="9"/>
      <c r="AJ480" s="9"/>
      <c r="AK480" s="9"/>
      <c r="AM480" s="43"/>
      <c r="AN480" s="43"/>
      <c r="AQ480" s="34"/>
      <c r="AR480" s="34"/>
      <c r="AS480" s="34"/>
      <c r="AT480" s="34"/>
    </row>
    <row r="481" spans="1:46" s="11" customFormat="1" x14ac:dyDescent="0.25">
      <c r="A481" s="23"/>
      <c r="B481" s="9"/>
      <c r="C481" s="9"/>
      <c r="D481" s="9"/>
      <c r="E481" s="9"/>
      <c r="F481" s="10"/>
      <c r="G481" s="10"/>
      <c r="H481" s="27"/>
      <c r="I481" s="9"/>
      <c r="J481" s="9"/>
      <c r="K481" s="9"/>
      <c r="L481" s="9"/>
      <c r="M481" s="25"/>
      <c r="N481" s="25"/>
      <c r="O481" s="27"/>
      <c r="P481" s="27"/>
      <c r="Q481" s="27"/>
      <c r="R481" s="25"/>
      <c r="S481" s="25"/>
      <c r="T481" s="10"/>
      <c r="U481" s="9"/>
      <c r="V481" s="9"/>
      <c r="W481" s="9"/>
      <c r="X481" s="9"/>
      <c r="Y481" s="9"/>
      <c r="Z481" s="9"/>
      <c r="AA481" s="9"/>
      <c r="AB481" s="9"/>
      <c r="AC481" s="9"/>
      <c r="AD481" s="27"/>
      <c r="AE481" s="42"/>
      <c r="AF481" s="27"/>
      <c r="AG481" s="42"/>
      <c r="AH481" s="27"/>
      <c r="AI481" s="9"/>
      <c r="AJ481" s="9"/>
      <c r="AK481" s="9"/>
      <c r="AM481" s="43"/>
      <c r="AN481" s="43"/>
      <c r="AQ481" s="34"/>
      <c r="AR481" s="34"/>
      <c r="AS481" s="34"/>
      <c r="AT481" s="34"/>
    </row>
    <row r="482" spans="1:46" s="11" customFormat="1" x14ac:dyDescent="0.25">
      <c r="A482" s="23"/>
      <c r="B482" s="9"/>
      <c r="C482" s="9"/>
      <c r="D482" s="9"/>
      <c r="E482" s="9"/>
      <c r="F482" s="10"/>
      <c r="G482" s="10"/>
      <c r="H482" s="27"/>
      <c r="I482" s="9"/>
      <c r="J482" s="9"/>
      <c r="K482" s="9"/>
      <c r="L482" s="9"/>
      <c r="M482" s="25"/>
      <c r="N482" s="25"/>
      <c r="O482" s="27"/>
      <c r="P482" s="27"/>
      <c r="Q482" s="27"/>
      <c r="R482" s="25"/>
      <c r="S482" s="25"/>
      <c r="T482" s="10"/>
      <c r="U482" s="9"/>
      <c r="V482" s="9"/>
      <c r="W482" s="9"/>
      <c r="X482" s="9"/>
      <c r="Y482" s="9"/>
      <c r="Z482" s="9"/>
      <c r="AA482" s="9"/>
      <c r="AB482" s="9"/>
      <c r="AC482" s="9"/>
      <c r="AD482" s="27"/>
      <c r="AE482" s="42"/>
      <c r="AF482" s="27"/>
      <c r="AG482" s="42"/>
      <c r="AH482" s="27"/>
      <c r="AI482" s="9"/>
      <c r="AJ482" s="9"/>
      <c r="AK482" s="9"/>
      <c r="AM482" s="43"/>
      <c r="AN482" s="43"/>
      <c r="AQ482" s="34"/>
      <c r="AR482" s="34"/>
      <c r="AS482" s="34"/>
      <c r="AT482" s="34"/>
    </row>
    <row r="483" spans="1:46" s="11" customFormat="1" x14ac:dyDescent="0.25">
      <c r="A483" s="23"/>
      <c r="B483" s="9"/>
      <c r="C483" s="9"/>
      <c r="D483" s="9"/>
      <c r="E483" s="9"/>
      <c r="F483" s="10"/>
      <c r="G483" s="10"/>
      <c r="H483" s="27"/>
      <c r="I483" s="9"/>
      <c r="J483" s="9"/>
      <c r="K483" s="9"/>
      <c r="L483" s="9"/>
      <c r="M483" s="25"/>
      <c r="N483" s="25"/>
      <c r="O483" s="27"/>
      <c r="P483" s="27"/>
      <c r="Q483" s="27"/>
      <c r="R483" s="25"/>
      <c r="S483" s="25"/>
      <c r="T483" s="10"/>
      <c r="U483" s="9"/>
      <c r="V483" s="9"/>
      <c r="W483" s="9"/>
      <c r="X483" s="9"/>
      <c r="Y483" s="9"/>
      <c r="Z483" s="9"/>
      <c r="AA483" s="9"/>
      <c r="AB483" s="9"/>
      <c r="AC483" s="9"/>
      <c r="AD483" s="27"/>
      <c r="AE483" s="42"/>
      <c r="AF483" s="27"/>
      <c r="AG483" s="42"/>
      <c r="AH483" s="27"/>
      <c r="AI483" s="9"/>
      <c r="AJ483" s="9"/>
      <c r="AK483" s="9"/>
      <c r="AM483" s="43"/>
      <c r="AN483" s="43"/>
      <c r="AQ483" s="34"/>
      <c r="AR483" s="34"/>
      <c r="AS483" s="34"/>
      <c r="AT483" s="34"/>
    </row>
    <row r="484" spans="1:46" s="11" customFormat="1" x14ac:dyDescent="0.25">
      <c r="A484" s="23"/>
      <c r="B484" s="9"/>
      <c r="C484" s="9"/>
      <c r="D484" s="9"/>
      <c r="E484" s="9"/>
      <c r="F484" s="10"/>
      <c r="G484" s="10"/>
      <c r="H484" s="27"/>
      <c r="I484" s="9"/>
      <c r="J484" s="9"/>
      <c r="K484" s="9"/>
      <c r="L484" s="9"/>
      <c r="M484" s="25"/>
      <c r="N484" s="25"/>
      <c r="O484" s="27"/>
      <c r="P484" s="27"/>
      <c r="Q484" s="27"/>
      <c r="R484" s="25"/>
      <c r="S484" s="25"/>
      <c r="T484" s="10"/>
      <c r="U484" s="9"/>
      <c r="V484" s="9"/>
      <c r="W484" s="9"/>
      <c r="X484" s="9"/>
      <c r="Y484" s="9"/>
      <c r="Z484" s="9"/>
      <c r="AA484" s="9"/>
      <c r="AB484" s="9"/>
      <c r="AC484" s="9"/>
      <c r="AD484" s="27"/>
      <c r="AE484" s="42"/>
      <c r="AF484" s="27"/>
      <c r="AG484" s="42"/>
      <c r="AH484" s="27"/>
      <c r="AI484" s="9"/>
      <c r="AJ484" s="9"/>
      <c r="AK484" s="9"/>
      <c r="AM484" s="43"/>
      <c r="AN484" s="43"/>
      <c r="AQ484" s="34"/>
      <c r="AR484" s="34"/>
      <c r="AS484" s="34"/>
      <c r="AT484" s="34"/>
    </row>
    <row r="485" spans="1:46" s="11" customFormat="1" x14ac:dyDescent="0.25">
      <c r="A485" s="23"/>
      <c r="B485" s="9"/>
      <c r="C485" s="9"/>
      <c r="D485" s="9"/>
      <c r="E485" s="9"/>
      <c r="F485" s="10"/>
      <c r="G485" s="10"/>
      <c r="H485" s="27"/>
      <c r="I485" s="9"/>
      <c r="J485" s="9"/>
      <c r="K485" s="9"/>
      <c r="L485" s="9"/>
      <c r="M485" s="25"/>
      <c r="N485" s="25"/>
      <c r="O485" s="27"/>
      <c r="P485" s="27"/>
      <c r="Q485" s="27"/>
      <c r="R485" s="25"/>
      <c r="S485" s="25"/>
      <c r="T485" s="10"/>
      <c r="U485" s="9"/>
      <c r="V485" s="9"/>
      <c r="W485" s="9"/>
      <c r="X485" s="9"/>
      <c r="Y485" s="9"/>
      <c r="Z485" s="9"/>
      <c r="AA485" s="9"/>
      <c r="AB485" s="9"/>
      <c r="AC485" s="9"/>
      <c r="AD485" s="27"/>
      <c r="AE485" s="42"/>
      <c r="AF485" s="27"/>
      <c r="AG485" s="42"/>
      <c r="AH485" s="27"/>
      <c r="AI485" s="9"/>
      <c r="AJ485" s="9"/>
      <c r="AK485" s="9"/>
      <c r="AM485" s="43"/>
      <c r="AN485" s="43"/>
      <c r="AQ485" s="34"/>
      <c r="AR485" s="34"/>
      <c r="AS485" s="34"/>
      <c r="AT485" s="34"/>
    </row>
    <row r="486" spans="1:46" s="11" customFormat="1" x14ac:dyDescent="0.25">
      <c r="A486" s="23"/>
      <c r="B486" s="9"/>
      <c r="C486" s="9"/>
      <c r="D486" s="9"/>
      <c r="E486" s="9"/>
      <c r="F486" s="10"/>
      <c r="G486" s="10"/>
      <c r="H486" s="27"/>
      <c r="I486" s="9"/>
      <c r="J486" s="9"/>
      <c r="K486" s="9"/>
      <c r="L486" s="9"/>
      <c r="M486" s="25"/>
      <c r="N486" s="25"/>
      <c r="O486" s="27"/>
      <c r="P486" s="27"/>
      <c r="Q486" s="27"/>
      <c r="R486" s="25"/>
      <c r="S486" s="25"/>
      <c r="T486" s="10"/>
      <c r="U486" s="9"/>
      <c r="V486" s="9"/>
      <c r="W486" s="9"/>
      <c r="X486" s="9"/>
      <c r="Y486" s="9"/>
      <c r="Z486" s="9"/>
      <c r="AA486" s="9"/>
      <c r="AB486" s="9"/>
      <c r="AC486" s="9"/>
      <c r="AD486" s="27"/>
      <c r="AE486" s="42"/>
      <c r="AF486" s="27"/>
      <c r="AG486" s="42"/>
      <c r="AH486" s="27"/>
      <c r="AI486" s="9"/>
      <c r="AJ486" s="9"/>
      <c r="AK486" s="9"/>
      <c r="AM486" s="43"/>
      <c r="AN486" s="43"/>
      <c r="AQ486" s="34"/>
      <c r="AR486" s="34"/>
      <c r="AS486" s="34"/>
      <c r="AT486" s="34"/>
    </row>
    <row r="487" spans="1:46" s="11" customFormat="1" x14ac:dyDescent="0.25">
      <c r="A487" s="23"/>
      <c r="B487" s="9"/>
      <c r="C487" s="9"/>
      <c r="D487" s="9"/>
      <c r="E487" s="9"/>
      <c r="F487" s="10"/>
      <c r="G487" s="10"/>
      <c r="H487" s="27"/>
      <c r="I487" s="9"/>
      <c r="J487" s="9"/>
      <c r="K487" s="9"/>
      <c r="L487" s="9"/>
      <c r="M487" s="25"/>
      <c r="N487" s="25"/>
      <c r="O487" s="27"/>
      <c r="P487" s="27"/>
      <c r="Q487" s="27"/>
      <c r="R487" s="25"/>
      <c r="S487" s="25"/>
      <c r="T487" s="10"/>
      <c r="U487" s="9"/>
      <c r="V487" s="9"/>
      <c r="W487" s="9"/>
      <c r="X487" s="9"/>
      <c r="Y487" s="9"/>
      <c r="Z487" s="9"/>
      <c r="AA487" s="9"/>
      <c r="AB487" s="9"/>
      <c r="AC487" s="9"/>
      <c r="AD487" s="27"/>
      <c r="AE487" s="42"/>
      <c r="AF487" s="27"/>
      <c r="AG487" s="42"/>
      <c r="AH487" s="27"/>
      <c r="AI487" s="9"/>
      <c r="AJ487" s="9"/>
      <c r="AK487" s="9"/>
      <c r="AM487" s="43"/>
      <c r="AN487" s="43"/>
      <c r="AQ487" s="34"/>
      <c r="AR487" s="34"/>
      <c r="AS487" s="34"/>
      <c r="AT487" s="34"/>
    </row>
    <row r="488" spans="1:46" s="11" customFormat="1" x14ac:dyDescent="0.25">
      <c r="A488" s="23"/>
      <c r="B488" s="9"/>
      <c r="C488" s="9"/>
      <c r="D488" s="9"/>
      <c r="E488" s="9"/>
      <c r="F488" s="10"/>
      <c r="G488" s="10"/>
      <c r="H488" s="27"/>
      <c r="I488" s="9"/>
      <c r="J488" s="9"/>
      <c r="K488" s="9"/>
      <c r="L488" s="9"/>
      <c r="M488" s="25"/>
      <c r="N488" s="25"/>
      <c r="O488" s="27"/>
      <c r="P488" s="27"/>
      <c r="Q488" s="27"/>
      <c r="R488" s="25"/>
      <c r="S488" s="25"/>
      <c r="T488" s="10"/>
      <c r="U488" s="9"/>
      <c r="V488" s="9"/>
      <c r="W488" s="9"/>
      <c r="X488" s="9"/>
      <c r="Y488" s="9"/>
      <c r="Z488" s="9"/>
      <c r="AA488" s="9"/>
      <c r="AB488" s="9"/>
      <c r="AC488" s="9"/>
      <c r="AD488" s="27"/>
      <c r="AE488" s="42"/>
      <c r="AF488" s="27"/>
      <c r="AG488" s="42"/>
      <c r="AH488" s="27"/>
      <c r="AI488" s="9"/>
      <c r="AJ488" s="9"/>
      <c r="AK488" s="9"/>
      <c r="AM488" s="43"/>
      <c r="AN488" s="43"/>
      <c r="AQ488" s="34"/>
      <c r="AR488" s="34"/>
      <c r="AS488" s="34"/>
      <c r="AT488" s="34"/>
    </row>
    <row r="489" spans="1:46" s="11" customFormat="1" x14ac:dyDescent="0.25">
      <c r="A489" s="23"/>
      <c r="B489" s="9"/>
      <c r="C489" s="9"/>
      <c r="D489" s="9"/>
      <c r="E489" s="9"/>
      <c r="F489" s="10"/>
      <c r="G489" s="10"/>
      <c r="H489" s="27"/>
      <c r="I489" s="9"/>
      <c r="J489" s="9"/>
      <c r="K489" s="9"/>
      <c r="L489" s="9"/>
      <c r="M489" s="25"/>
      <c r="N489" s="25"/>
      <c r="O489" s="27"/>
      <c r="P489" s="27"/>
      <c r="Q489" s="27"/>
      <c r="R489" s="25"/>
      <c r="S489" s="25"/>
      <c r="T489" s="10"/>
      <c r="U489" s="9"/>
      <c r="V489" s="9"/>
      <c r="W489" s="9"/>
      <c r="X489" s="9"/>
      <c r="Y489" s="9"/>
      <c r="Z489" s="9"/>
      <c r="AA489" s="9"/>
      <c r="AB489" s="9"/>
      <c r="AC489" s="9"/>
      <c r="AD489" s="27"/>
      <c r="AE489" s="42"/>
      <c r="AF489" s="27"/>
      <c r="AG489" s="42"/>
      <c r="AH489" s="27"/>
      <c r="AI489" s="9"/>
      <c r="AJ489" s="9"/>
      <c r="AK489" s="9"/>
      <c r="AM489" s="43"/>
      <c r="AN489" s="43"/>
      <c r="AQ489" s="34"/>
      <c r="AR489" s="34"/>
      <c r="AS489" s="34"/>
      <c r="AT489" s="34"/>
    </row>
    <row r="490" spans="1:46" s="11" customFormat="1" x14ac:dyDescent="0.25">
      <c r="A490" s="23"/>
      <c r="B490" s="9"/>
      <c r="C490" s="9"/>
      <c r="D490" s="9"/>
      <c r="E490" s="9"/>
      <c r="F490" s="10"/>
      <c r="G490" s="10"/>
      <c r="H490" s="27"/>
      <c r="I490" s="9"/>
      <c r="J490" s="9"/>
      <c r="K490" s="9"/>
      <c r="L490" s="9"/>
      <c r="M490" s="25"/>
      <c r="N490" s="25"/>
      <c r="O490" s="27"/>
      <c r="P490" s="27"/>
      <c r="Q490" s="27"/>
      <c r="R490" s="25"/>
      <c r="S490" s="25"/>
      <c r="T490" s="10"/>
      <c r="U490" s="9"/>
      <c r="V490" s="9"/>
      <c r="W490" s="9"/>
      <c r="X490" s="9"/>
      <c r="Y490" s="9"/>
      <c r="Z490" s="9"/>
      <c r="AA490" s="9"/>
      <c r="AB490" s="9"/>
      <c r="AC490" s="9"/>
      <c r="AD490" s="27"/>
      <c r="AE490" s="42"/>
      <c r="AF490" s="27"/>
      <c r="AG490" s="42"/>
      <c r="AH490" s="27"/>
      <c r="AI490" s="9"/>
      <c r="AJ490" s="9"/>
      <c r="AK490" s="9"/>
      <c r="AM490" s="43"/>
      <c r="AN490" s="43"/>
      <c r="AQ490" s="34"/>
      <c r="AR490" s="34"/>
      <c r="AS490" s="34"/>
      <c r="AT490" s="34"/>
    </row>
    <row r="491" spans="1:46" s="11" customFormat="1" x14ac:dyDescent="0.25">
      <c r="A491" s="23"/>
      <c r="B491" s="9"/>
      <c r="C491" s="9"/>
      <c r="D491" s="9"/>
      <c r="E491" s="9"/>
      <c r="F491" s="10"/>
      <c r="G491" s="10"/>
      <c r="H491" s="27"/>
      <c r="I491" s="9"/>
      <c r="J491" s="9"/>
      <c r="K491" s="9"/>
      <c r="L491" s="9"/>
      <c r="M491" s="25"/>
      <c r="N491" s="25"/>
      <c r="O491" s="27"/>
      <c r="P491" s="27"/>
      <c r="Q491" s="27"/>
      <c r="R491" s="25"/>
      <c r="S491" s="25"/>
      <c r="T491" s="10"/>
      <c r="U491" s="9"/>
      <c r="V491" s="9"/>
      <c r="W491" s="9"/>
      <c r="X491" s="9"/>
      <c r="Y491" s="9"/>
      <c r="Z491" s="9"/>
      <c r="AA491" s="9"/>
      <c r="AB491" s="9"/>
      <c r="AC491" s="9"/>
      <c r="AD491" s="27"/>
      <c r="AE491" s="42"/>
      <c r="AF491" s="27"/>
      <c r="AG491" s="42"/>
      <c r="AH491" s="27"/>
      <c r="AI491" s="9"/>
      <c r="AJ491" s="9"/>
      <c r="AK491" s="9"/>
      <c r="AM491" s="43"/>
      <c r="AN491" s="43"/>
      <c r="AQ491" s="34"/>
      <c r="AR491" s="34"/>
      <c r="AS491" s="34"/>
      <c r="AT491" s="34"/>
    </row>
    <row r="492" spans="1:46" s="11" customFormat="1" x14ac:dyDescent="0.25">
      <c r="A492" s="23"/>
      <c r="B492" s="9"/>
      <c r="C492" s="9"/>
      <c r="D492" s="9"/>
      <c r="E492" s="9"/>
      <c r="F492" s="10"/>
      <c r="G492" s="10"/>
      <c r="H492" s="27"/>
      <c r="I492" s="9"/>
      <c r="J492" s="9"/>
      <c r="K492" s="9"/>
      <c r="L492" s="9"/>
      <c r="M492" s="25"/>
      <c r="N492" s="25"/>
      <c r="O492" s="27"/>
      <c r="P492" s="27"/>
      <c r="Q492" s="27"/>
      <c r="R492" s="25"/>
      <c r="S492" s="25"/>
      <c r="T492" s="10"/>
      <c r="U492" s="9"/>
      <c r="V492" s="9"/>
      <c r="W492" s="9"/>
      <c r="X492" s="9"/>
      <c r="Y492" s="9"/>
      <c r="Z492" s="9"/>
      <c r="AA492" s="9"/>
      <c r="AB492" s="9"/>
      <c r="AC492" s="9"/>
      <c r="AD492" s="27"/>
      <c r="AE492" s="42"/>
      <c r="AF492" s="27"/>
      <c r="AG492" s="42"/>
      <c r="AH492" s="27"/>
      <c r="AI492" s="9"/>
      <c r="AJ492" s="9"/>
      <c r="AK492" s="9"/>
      <c r="AM492" s="43"/>
      <c r="AN492" s="43"/>
      <c r="AQ492" s="34"/>
      <c r="AR492" s="34"/>
      <c r="AS492" s="34"/>
      <c r="AT492" s="34"/>
    </row>
    <row r="493" spans="1:46" s="11" customFormat="1" x14ac:dyDescent="0.25">
      <c r="A493" s="23"/>
      <c r="B493" s="9"/>
      <c r="C493" s="9"/>
      <c r="D493" s="9"/>
      <c r="E493" s="9"/>
      <c r="F493" s="10"/>
      <c r="G493" s="10"/>
      <c r="H493" s="27"/>
      <c r="I493" s="9"/>
      <c r="J493" s="9"/>
      <c r="K493" s="9"/>
      <c r="L493" s="9"/>
      <c r="M493" s="25"/>
      <c r="N493" s="25"/>
      <c r="O493" s="27"/>
      <c r="P493" s="27"/>
      <c r="Q493" s="27"/>
      <c r="R493" s="25"/>
      <c r="S493" s="25"/>
      <c r="T493" s="10"/>
      <c r="U493" s="9"/>
      <c r="V493" s="9"/>
      <c r="W493" s="9"/>
      <c r="X493" s="9"/>
      <c r="Y493" s="9"/>
      <c r="Z493" s="9"/>
      <c r="AA493" s="9"/>
      <c r="AB493" s="9"/>
      <c r="AC493" s="9"/>
      <c r="AD493" s="27"/>
      <c r="AE493" s="42"/>
      <c r="AF493" s="27"/>
      <c r="AG493" s="42"/>
      <c r="AH493" s="27"/>
      <c r="AI493" s="9"/>
      <c r="AJ493" s="9"/>
      <c r="AK493" s="9"/>
      <c r="AM493" s="43"/>
      <c r="AN493" s="43"/>
      <c r="AQ493" s="34"/>
      <c r="AR493" s="34"/>
      <c r="AS493" s="34"/>
      <c r="AT493" s="34"/>
    </row>
    <row r="494" spans="1:46" s="11" customFormat="1" x14ac:dyDescent="0.25">
      <c r="A494" s="23"/>
      <c r="B494" s="9"/>
      <c r="C494" s="9"/>
      <c r="D494" s="9"/>
      <c r="E494" s="9"/>
      <c r="F494" s="10"/>
      <c r="G494" s="10"/>
      <c r="H494" s="27"/>
      <c r="I494" s="9"/>
      <c r="J494" s="9"/>
      <c r="K494" s="9"/>
      <c r="L494" s="9"/>
      <c r="M494" s="25"/>
      <c r="N494" s="25"/>
      <c r="O494" s="27"/>
      <c r="P494" s="27"/>
      <c r="Q494" s="27"/>
      <c r="R494" s="25"/>
      <c r="S494" s="25"/>
      <c r="T494" s="10"/>
      <c r="U494" s="9"/>
      <c r="V494" s="9"/>
      <c r="W494" s="9"/>
      <c r="X494" s="9"/>
      <c r="Y494" s="9"/>
      <c r="Z494" s="9"/>
      <c r="AA494" s="9"/>
      <c r="AB494" s="9"/>
      <c r="AC494" s="9"/>
      <c r="AD494" s="27"/>
      <c r="AE494" s="42"/>
      <c r="AF494" s="27"/>
      <c r="AG494" s="42"/>
      <c r="AH494" s="27"/>
      <c r="AI494" s="9"/>
      <c r="AJ494" s="9"/>
      <c r="AK494" s="9"/>
      <c r="AM494" s="43"/>
      <c r="AN494" s="43"/>
      <c r="AQ494" s="34"/>
      <c r="AR494" s="34"/>
      <c r="AS494" s="34"/>
      <c r="AT494" s="34"/>
    </row>
    <row r="495" spans="1:46" s="11" customFormat="1" x14ac:dyDescent="0.25">
      <c r="A495" s="23"/>
      <c r="B495" s="9"/>
      <c r="C495" s="9"/>
      <c r="D495" s="9"/>
      <c r="E495" s="9"/>
      <c r="F495" s="10"/>
      <c r="G495" s="10"/>
      <c r="H495" s="27"/>
      <c r="I495" s="9"/>
      <c r="J495" s="9"/>
      <c r="K495" s="9"/>
      <c r="L495" s="9"/>
      <c r="M495" s="25"/>
      <c r="N495" s="25"/>
      <c r="O495" s="27"/>
      <c r="P495" s="27"/>
      <c r="Q495" s="27"/>
      <c r="R495" s="25"/>
      <c r="S495" s="25"/>
      <c r="T495" s="10"/>
      <c r="U495" s="9"/>
      <c r="V495" s="9"/>
      <c r="W495" s="9"/>
      <c r="X495" s="9"/>
      <c r="Y495" s="9"/>
      <c r="Z495" s="9"/>
      <c r="AA495" s="9"/>
      <c r="AB495" s="9"/>
      <c r="AC495" s="9"/>
      <c r="AD495" s="27"/>
      <c r="AE495" s="42"/>
      <c r="AF495" s="27"/>
      <c r="AG495" s="42"/>
      <c r="AH495" s="27"/>
      <c r="AI495" s="9"/>
      <c r="AJ495" s="9"/>
      <c r="AK495" s="9"/>
      <c r="AM495" s="43"/>
      <c r="AN495" s="43"/>
      <c r="AQ495" s="34"/>
      <c r="AR495" s="34"/>
      <c r="AS495" s="34"/>
      <c r="AT495" s="34"/>
    </row>
    <row r="496" spans="1:46" s="11" customFormat="1" x14ac:dyDescent="0.25">
      <c r="A496" s="23"/>
      <c r="B496" s="9"/>
      <c r="C496" s="9"/>
      <c r="D496" s="9"/>
      <c r="E496" s="9"/>
      <c r="F496" s="10"/>
      <c r="G496" s="10"/>
      <c r="H496" s="27"/>
      <c r="I496" s="9"/>
      <c r="J496" s="9"/>
      <c r="K496" s="9"/>
      <c r="L496" s="9"/>
      <c r="M496" s="25"/>
      <c r="N496" s="25"/>
      <c r="O496" s="27"/>
      <c r="P496" s="27"/>
      <c r="Q496" s="27"/>
      <c r="R496" s="25"/>
      <c r="S496" s="25"/>
      <c r="T496" s="10"/>
      <c r="U496" s="9"/>
      <c r="V496" s="9"/>
      <c r="W496" s="9"/>
      <c r="X496" s="9"/>
      <c r="Y496" s="9"/>
      <c r="Z496" s="9"/>
      <c r="AA496" s="9"/>
      <c r="AB496" s="9"/>
      <c r="AC496" s="9"/>
      <c r="AD496" s="27"/>
      <c r="AE496" s="42"/>
      <c r="AF496" s="27"/>
      <c r="AG496" s="42"/>
      <c r="AH496" s="27"/>
      <c r="AI496" s="9"/>
      <c r="AJ496" s="9"/>
      <c r="AK496" s="9"/>
      <c r="AM496" s="43"/>
      <c r="AN496" s="43"/>
      <c r="AQ496" s="34"/>
      <c r="AR496" s="34"/>
      <c r="AS496" s="34"/>
      <c r="AT496" s="34"/>
    </row>
    <row r="497" spans="1:46" s="11" customFormat="1" x14ac:dyDescent="0.25">
      <c r="A497" s="23"/>
      <c r="B497" s="9"/>
      <c r="C497" s="9"/>
      <c r="D497" s="9"/>
      <c r="E497" s="9"/>
      <c r="F497" s="10"/>
      <c r="G497" s="10"/>
      <c r="H497" s="27"/>
      <c r="I497" s="9"/>
      <c r="J497" s="9"/>
      <c r="K497" s="9"/>
      <c r="L497" s="9"/>
      <c r="M497" s="25"/>
      <c r="N497" s="25"/>
      <c r="O497" s="27"/>
      <c r="P497" s="27"/>
      <c r="Q497" s="27"/>
      <c r="R497" s="25"/>
      <c r="S497" s="25"/>
      <c r="T497" s="10"/>
      <c r="U497" s="9"/>
      <c r="V497" s="9"/>
      <c r="W497" s="9"/>
      <c r="X497" s="9"/>
      <c r="Y497" s="9"/>
      <c r="Z497" s="9"/>
      <c r="AA497" s="9"/>
      <c r="AB497" s="9"/>
      <c r="AC497" s="9"/>
      <c r="AD497" s="27"/>
      <c r="AE497" s="42"/>
      <c r="AF497" s="27"/>
      <c r="AG497" s="42"/>
      <c r="AH497" s="27"/>
      <c r="AI497" s="9"/>
      <c r="AJ497" s="9"/>
      <c r="AK497" s="9"/>
      <c r="AM497" s="43"/>
      <c r="AN497" s="43"/>
      <c r="AQ497" s="34"/>
      <c r="AR497" s="34"/>
      <c r="AS497" s="34"/>
      <c r="AT497" s="34"/>
    </row>
    <row r="498" spans="1:46" s="11" customFormat="1" x14ac:dyDescent="0.25">
      <c r="A498" s="23"/>
      <c r="B498" s="9"/>
      <c r="C498" s="9"/>
      <c r="D498" s="9"/>
      <c r="E498" s="9"/>
      <c r="F498" s="10"/>
      <c r="G498" s="10"/>
      <c r="H498" s="27"/>
      <c r="I498" s="9"/>
      <c r="J498" s="9"/>
      <c r="K498" s="9"/>
      <c r="L498" s="9"/>
      <c r="M498" s="25"/>
      <c r="N498" s="25"/>
      <c r="O498" s="27"/>
      <c r="P498" s="27"/>
      <c r="Q498" s="27"/>
      <c r="R498" s="25"/>
      <c r="S498" s="25"/>
      <c r="T498" s="10"/>
      <c r="U498" s="9"/>
      <c r="V498" s="9"/>
      <c r="W498" s="9"/>
      <c r="X498" s="9"/>
      <c r="Y498" s="9"/>
      <c r="Z498" s="9"/>
      <c r="AA498" s="9"/>
      <c r="AB498" s="9"/>
      <c r="AC498" s="9"/>
      <c r="AD498" s="27"/>
      <c r="AE498" s="42"/>
      <c r="AF498" s="27"/>
      <c r="AG498" s="42"/>
      <c r="AH498" s="27"/>
      <c r="AI498" s="9"/>
      <c r="AJ498" s="9"/>
      <c r="AK498" s="9"/>
      <c r="AM498" s="43"/>
      <c r="AN498" s="43"/>
      <c r="AQ498" s="34"/>
      <c r="AR498" s="34"/>
      <c r="AS498" s="34"/>
      <c r="AT498" s="34"/>
    </row>
    <row r="499" spans="1:46" s="11" customFormat="1" x14ac:dyDescent="0.25">
      <c r="A499" s="23"/>
      <c r="B499" s="9"/>
      <c r="C499" s="9"/>
      <c r="D499" s="9"/>
      <c r="E499" s="9"/>
      <c r="F499" s="10"/>
      <c r="G499" s="10"/>
      <c r="H499" s="27"/>
      <c r="I499" s="9"/>
      <c r="J499" s="9"/>
      <c r="K499" s="9"/>
      <c r="L499" s="9"/>
      <c r="M499" s="25"/>
      <c r="N499" s="25"/>
      <c r="O499" s="27"/>
      <c r="P499" s="27"/>
      <c r="Q499" s="27"/>
      <c r="R499" s="25"/>
      <c r="S499" s="25"/>
      <c r="T499" s="10"/>
      <c r="U499" s="9"/>
      <c r="V499" s="9"/>
      <c r="W499" s="9"/>
      <c r="X499" s="9"/>
      <c r="Y499" s="9"/>
      <c r="Z499" s="9"/>
      <c r="AA499" s="9"/>
      <c r="AB499" s="9"/>
      <c r="AC499" s="9"/>
      <c r="AD499" s="27"/>
      <c r="AE499" s="42"/>
      <c r="AF499" s="27"/>
      <c r="AG499" s="42"/>
      <c r="AH499" s="27"/>
      <c r="AI499" s="9"/>
      <c r="AJ499" s="9"/>
      <c r="AK499" s="9"/>
      <c r="AM499" s="43"/>
      <c r="AN499" s="43"/>
      <c r="AQ499" s="34"/>
      <c r="AR499" s="34"/>
      <c r="AS499" s="34"/>
      <c r="AT499" s="34"/>
    </row>
    <row r="500" spans="1:46" s="11" customFormat="1" x14ac:dyDescent="0.25">
      <c r="A500" s="23"/>
      <c r="B500" s="9"/>
      <c r="C500" s="9"/>
      <c r="D500" s="9"/>
      <c r="E500" s="9"/>
      <c r="F500" s="10"/>
      <c r="G500" s="10"/>
      <c r="H500" s="27"/>
      <c r="I500" s="9"/>
      <c r="J500" s="9"/>
      <c r="K500" s="9"/>
      <c r="L500" s="9"/>
      <c r="M500" s="25"/>
      <c r="N500" s="25"/>
      <c r="O500" s="27"/>
      <c r="P500" s="27"/>
      <c r="Q500" s="27"/>
      <c r="R500" s="25"/>
      <c r="S500" s="25"/>
      <c r="T500" s="10"/>
      <c r="U500" s="9"/>
      <c r="V500" s="9"/>
      <c r="W500" s="9"/>
      <c r="X500" s="9"/>
      <c r="Y500" s="9"/>
      <c r="Z500" s="9"/>
      <c r="AA500" s="9"/>
      <c r="AB500" s="9"/>
      <c r="AC500" s="9"/>
      <c r="AD500" s="27"/>
      <c r="AE500" s="42"/>
      <c r="AF500" s="27"/>
      <c r="AG500" s="42"/>
      <c r="AH500" s="27"/>
      <c r="AI500" s="9"/>
      <c r="AJ500" s="9"/>
      <c r="AK500" s="9"/>
      <c r="AM500" s="43"/>
      <c r="AN500" s="43"/>
      <c r="AQ500" s="34"/>
      <c r="AR500" s="34"/>
      <c r="AS500" s="34"/>
      <c r="AT500" s="34"/>
    </row>
    <row r="501" spans="1:46" s="11" customFormat="1" x14ac:dyDescent="0.25">
      <c r="A501" s="23"/>
      <c r="B501" s="9"/>
      <c r="C501" s="9"/>
      <c r="D501" s="9"/>
      <c r="E501" s="9"/>
      <c r="F501" s="10"/>
      <c r="G501" s="10"/>
      <c r="H501" s="27"/>
      <c r="I501" s="9"/>
      <c r="J501" s="9"/>
      <c r="K501" s="9"/>
      <c r="L501" s="9"/>
      <c r="M501" s="25"/>
      <c r="N501" s="25"/>
      <c r="O501" s="27"/>
      <c r="P501" s="27"/>
      <c r="Q501" s="27"/>
      <c r="R501" s="25"/>
      <c r="S501" s="25"/>
      <c r="T501" s="10"/>
      <c r="U501" s="9"/>
      <c r="V501" s="9"/>
      <c r="W501" s="9"/>
      <c r="X501" s="9"/>
      <c r="Y501" s="9"/>
      <c r="Z501" s="9"/>
      <c r="AA501" s="9"/>
      <c r="AB501" s="9"/>
      <c r="AC501" s="9"/>
      <c r="AD501" s="27"/>
      <c r="AE501" s="42"/>
      <c r="AF501" s="27"/>
      <c r="AG501" s="42"/>
      <c r="AH501" s="27"/>
      <c r="AI501" s="9"/>
      <c r="AJ501" s="9"/>
      <c r="AK501" s="9"/>
      <c r="AM501" s="43"/>
      <c r="AN501" s="43"/>
      <c r="AQ501" s="34"/>
      <c r="AR501" s="34"/>
      <c r="AS501" s="34"/>
      <c r="AT501" s="34"/>
    </row>
    <row r="502" spans="1:46" s="11" customFormat="1" x14ac:dyDescent="0.25">
      <c r="A502" s="23"/>
      <c r="B502" s="9"/>
      <c r="C502" s="9"/>
      <c r="D502" s="9"/>
      <c r="E502" s="9"/>
      <c r="F502" s="10"/>
      <c r="G502" s="10"/>
      <c r="H502" s="27"/>
      <c r="I502" s="9"/>
      <c r="J502" s="9"/>
      <c r="K502" s="9"/>
      <c r="L502" s="9"/>
      <c r="M502" s="25"/>
      <c r="N502" s="25"/>
      <c r="O502" s="27"/>
      <c r="P502" s="27"/>
      <c r="Q502" s="27"/>
      <c r="R502" s="25"/>
      <c r="S502" s="25"/>
      <c r="T502" s="10"/>
      <c r="U502" s="9"/>
      <c r="V502" s="9"/>
      <c r="W502" s="9"/>
      <c r="X502" s="9"/>
      <c r="Y502" s="9"/>
      <c r="Z502" s="9"/>
      <c r="AA502" s="9"/>
      <c r="AB502" s="9"/>
      <c r="AC502" s="9"/>
      <c r="AD502" s="27"/>
      <c r="AE502" s="42"/>
      <c r="AF502" s="27"/>
      <c r="AG502" s="42"/>
      <c r="AH502" s="27"/>
      <c r="AI502" s="9"/>
      <c r="AJ502" s="9"/>
      <c r="AK502" s="9"/>
      <c r="AM502" s="43"/>
      <c r="AN502" s="43"/>
      <c r="AQ502" s="34"/>
      <c r="AR502" s="34"/>
      <c r="AS502" s="34"/>
      <c r="AT502" s="34"/>
    </row>
    <row r="503" spans="1:46" s="11" customFormat="1" x14ac:dyDescent="0.25">
      <c r="A503" s="23"/>
      <c r="B503" s="9"/>
      <c r="C503" s="9"/>
      <c r="D503" s="9"/>
      <c r="E503" s="9"/>
      <c r="F503" s="10"/>
      <c r="G503" s="10"/>
      <c r="H503" s="27"/>
      <c r="I503" s="9"/>
      <c r="J503" s="9"/>
      <c r="K503" s="9"/>
      <c r="L503" s="9"/>
      <c r="M503" s="25"/>
      <c r="N503" s="25"/>
      <c r="O503" s="27"/>
      <c r="P503" s="27"/>
      <c r="Q503" s="27"/>
      <c r="R503" s="25"/>
      <c r="S503" s="25"/>
      <c r="T503" s="10"/>
      <c r="U503" s="9"/>
      <c r="V503" s="9"/>
      <c r="W503" s="9"/>
      <c r="X503" s="9"/>
      <c r="Y503" s="9"/>
      <c r="Z503" s="9"/>
      <c r="AA503" s="9"/>
      <c r="AB503" s="9"/>
      <c r="AC503" s="9"/>
      <c r="AD503" s="27"/>
      <c r="AE503" s="42"/>
      <c r="AF503" s="27"/>
      <c r="AG503" s="42"/>
      <c r="AH503" s="27"/>
      <c r="AI503" s="9"/>
      <c r="AJ503" s="9"/>
      <c r="AK503" s="9"/>
      <c r="AM503" s="43"/>
      <c r="AN503" s="43"/>
      <c r="AQ503" s="34"/>
      <c r="AR503" s="34"/>
      <c r="AS503" s="34"/>
      <c r="AT503" s="34"/>
    </row>
    <row r="504" spans="1:46" s="11" customFormat="1" x14ac:dyDescent="0.25">
      <c r="A504" s="23"/>
      <c r="B504" s="9"/>
      <c r="C504" s="9"/>
      <c r="D504" s="9"/>
      <c r="E504" s="9"/>
      <c r="F504" s="10"/>
      <c r="G504" s="10"/>
      <c r="H504" s="27"/>
      <c r="I504" s="9"/>
      <c r="J504" s="9"/>
      <c r="K504" s="9"/>
      <c r="L504" s="9"/>
      <c r="M504" s="25"/>
      <c r="N504" s="25"/>
      <c r="O504" s="27"/>
      <c r="P504" s="27"/>
      <c r="Q504" s="27"/>
      <c r="R504" s="25"/>
      <c r="S504" s="25"/>
      <c r="T504" s="10"/>
      <c r="U504" s="9"/>
      <c r="V504" s="9"/>
      <c r="W504" s="9"/>
      <c r="X504" s="9"/>
      <c r="Y504" s="9"/>
      <c r="Z504" s="9"/>
      <c r="AA504" s="9"/>
      <c r="AB504" s="9"/>
      <c r="AC504" s="9"/>
      <c r="AD504" s="27"/>
      <c r="AE504" s="42"/>
      <c r="AF504" s="27"/>
      <c r="AG504" s="42"/>
      <c r="AH504" s="27"/>
      <c r="AI504" s="9"/>
      <c r="AJ504" s="9"/>
      <c r="AK504" s="9"/>
      <c r="AM504" s="43"/>
      <c r="AN504" s="43"/>
      <c r="AQ504" s="34"/>
      <c r="AR504" s="34"/>
      <c r="AS504" s="34"/>
      <c r="AT504" s="34"/>
    </row>
    <row r="505" spans="1:46" s="11" customFormat="1" x14ac:dyDescent="0.25">
      <c r="A505" s="23"/>
      <c r="B505" s="9"/>
      <c r="C505" s="9"/>
      <c r="D505" s="9"/>
      <c r="E505" s="9"/>
      <c r="F505" s="10"/>
      <c r="G505" s="10"/>
      <c r="H505" s="27"/>
      <c r="I505" s="9"/>
      <c r="J505" s="9"/>
      <c r="K505" s="9"/>
      <c r="L505" s="9"/>
      <c r="M505" s="25"/>
      <c r="N505" s="25"/>
      <c r="O505" s="27"/>
      <c r="P505" s="27"/>
      <c r="Q505" s="27"/>
      <c r="R505" s="25"/>
      <c r="S505" s="25"/>
      <c r="T505" s="10"/>
      <c r="U505" s="9"/>
      <c r="V505" s="9"/>
      <c r="W505" s="9"/>
      <c r="X505" s="9"/>
      <c r="Y505" s="9"/>
      <c r="Z505" s="9"/>
      <c r="AA505" s="9"/>
      <c r="AB505" s="9"/>
      <c r="AC505" s="9"/>
      <c r="AD505" s="27"/>
      <c r="AE505" s="42"/>
      <c r="AF505" s="27"/>
      <c r="AG505" s="42"/>
      <c r="AH505" s="27"/>
      <c r="AI505" s="9"/>
      <c r="AJ505" s="9"/>
      <c r="AK505" s="9"/>
      <c r="AM505" s="43"/>
      <c r="AN505" s="43"/>
      <c r="AQ505" s="34"/>
      <c r="AR505" s="34"/>
      <c r="AS505" s="34"/>
      <c r="AT505" s="34"/>
    </row>
    <row r="506" spans="1:46" s="11" customFormat="1" x14ac:dyDescent="0.25">
      <c r="A506" s="23"/>
      <c r="B506" s="9"/>
      <c r="C506" s="9"/>
      <c r="D506" s="9"/>
      <c r="E506" s="9"/>
      <c r="F506" s="10"/>
      <c r="G506" s="10"/>
      <c r="H506" s="27"/>
      <c r="I506" s="9"/>
      <c r="J506" s="9"/>
      <c r="K506" s="9"/>
      <c r="L506" s="9"/>
      <c r="M506" s="25"/>
      <c r="N506" s="25"/>
      <c r="O506" s="27"/>
      <c r="P506" s="27"/>
      <c r="Q506" s="27"/>
      <c r="R506" s="25"/>
      <c r="S506" s="25"/>
      <c r="T506" s="10"/>
      <c r="U506" s="9"/>
      <c r="V506" s="9"/>
      <c r="W506" s="9"/>
      <c r="X506" s="9"/>
      <c r="Y506" s="9"/>
      <c r="Z506" s="9"/>
      <c r="AA506" s="9"/>
      <c r="AB506" s="9"/>
      <c r="AC506" s="9"/>
      <c r="AD506" s="27"/>
      <c r="AE506" s="42"/>
      <c r="AF506" s="27"/>
      <c r="AG506" s="42"/>
      <c r="AH506" s="27"/>
      <c r="AI506" s="9"/>
      <c r="AJ506" s="9"/>
      <c r="AK506" s="9"/>
      <c r="AM506" s="43"/>
      <c r="AN506" s="43"/>
      <c r="AQ506" s="34"/>
      <c r="AR506" s="34"/>
      <c r="AS506" s="34"/>
      <c r="AT506" s="34"/>
    </row>
    <row r="507" spans="1:46" s="11" customFormat="1" x14ac:dyDescent="0.25">
      <c r="A507" s="23"/>
      <c r="B507" s="9"/>
      <c r="C507" s="9"/>
      <c r="D507" s="9"/>
      <c r="E507" s="9"/>
      <c r="F507" s="10"/>
      <c r="G507" s="10"/>
      <c r="H507" s="27"/>
      <c r="I507" s="9"/>
      <c r="J507" s="9"/>
      <c r="K507" s="9"/>
      <c r="L507" s="9"/>
      <c r="M507" s="25"/>
      <c r="N507" s="25"/>
      <c r="O507" s="27"/>
      <c r="P507" s="27"/>
      <c r="Q507" s="27"/>
      <c r="R507" s="25"/>
      <c r="S507" s="25"/>
      <c r="T507" s="10"/>
      <c r="U507" s="9"/>
      <c r="V507" s="9"/>
      <c r="W507" s="9"/>
      <c r="X507" s="9"/>
      <c r="Y507" s="9"/>
      <c r="Z507" s="9"/>
      <c r="AA507" s="9"/>
      <c r="AB507" s="9"/>
      <c r="AC507" s="9"/>
      <c r="AD507" s="27"/>
      <c r="AE507" s="42"/>
      <c r="AF507" s="27"/>
      <c r="AG507" s="42"/>
      <c r="AH507" s="27"/>
      <c r="AI507" s="9"/>
      <c r="AJ507" s="9"/>
      <c r="AK507" s="9"/>
      <c r="AM507" s="43"/>
      <c r="AN507" s="43"/>
      <c r="AQ507" s="34"/>
      <c r="AR507" s="34"/>
      <c r="AS507" s="34"/>
      <c r="AT507" s="34"/>
    </row>
    <row r="508" spans="1:46" s="11" customFormat="1" x14ac:dyDescent="0.25">
      <c r="A508" s="23"/>
      <c r="B508" s="9"/>
      <c r="C508" s="9"/>
      <c r="D508" s="9"/>
      <c r="E508" s="9"/>
      <c r="F508" s="10"/>
      <c r="G508" s="10"/>
      <c r="H508" s="27"/>
      <c r="I508" s="9"/>
      <c r="J508" s="9"/>
      <c r="K508" s="9"/>
      <c r="L508" s="9"/>
      <c r="M508" s="25"/>
      <c r="N508" s="25"/>
      <c r="O508" s="27"/>
      <c r="P508" s="27"/>
      <c r="Q508" s="27"/>
      <c r="R508" s="25"/>
      <c r="S508" s="25"/>
      <c r="T508" s="10"/>
      <c r="U508" s="9"/>
      <c r="V508" s="9"/>
      <c r="W508" s="9"/>
      <c r="X508" s="9"/>
      <c r="Y508" s="9"/>
      <c r="Z508" s="9"/>
      <c r="AA508" s="9"/>
      <c r="AB508" s="9"/>
      <c r="AC508" s="9"/>
      <c r="AD508" s="27"/>
      <c r="AE508" s="42"/>
      <c r="AF508" s="27"/>
      <c r="AG508" s="42"/>
      <c r="AH508" s="27"/>
      <c r="AI508" s="9"/>
      <c r="AJ508" s="9"/>
      <c r="AK508" s="9"/>
      <c r="AM508" s="43"/>
      <c r="AN508" s="43"/>
      <c r="AQ508" s="34"/>
      <c r="AR508" s="34"/>
      <c r="AS508" s="34"/>
      <c r="AT508" s="34"/>
    </row>
    <row r="509" spans="1:46" s="11" customFormat="1" x14ac:dyDescent="0.25">
      <c r="A509" s="23"/>
      <c r="B509" s="9"/>
      <c r="C509" s="9"/>
      <c r="D509" s="9"/>
      <c r="E509" s="9"/>
      <c r="F509" s="10"/>
      <c r="G509" s="10"/>
      <c r="H509" s="27"/>
      <c r="I509" s="9"/>
      <c r="J509" s="9"/>
      <c r="K509" s="9"/>
      <c r="L509" s="9"/>
      <c r="M509" s="25"/>
      <c r="N509" s="25"/>
      <c r="O509" s="27"/>
      <c r="P509" s="27"/>
      <c r="Q509" s="27"/>
      <c r="R509" s="25"/>
      <c r="S509" s="25"/>
      <c r="T509" s="10"/>
      <c r="U509" s="9"/>
      <c r="V509" s="9"/>
      <c r="W509" s="9"/>
      <c r="X509" s="9"/>
      <c r="Y509" s="9"/>
      <c r="Z509" s="9"/>
      <c r="AA509" s="9"/>
      <c r="AB509" s="9"/>
      <c r="AC509" s="9"/>
      <c r="AD509" s="27"/>
      <c r="AE509" s="42"/>
      <c r="AF509" s="27"/>
      <c r="AG509" s="42"/>
      <c r="AH509" s="27"/>
      <c r="AI509" s="9"/>
      <c r="AJ509" s="9"/>
      <c r="AK509" s="9"/>
      <c r="AM509" s="43"/>
      <c r="AN509" s="43"/>
      <c r="AQ509" s="34"/>
      <c r="AR509" s="34"/>
      <c r="AS509" s="34"/>
      <c r="AT509" s="34"/>
    </row>
    <row r="510" spans="1:46" s="11" customFormat="1" x14ac:dyDescent="0.25">
      <c r="A510" s="23"/>
      <c r="B510" s="9"/>
      <c r="C510" s="9"/>
      <c r="D510" s="9"/>
      <c r="E510" s="9"/>
      <c r="F510" s="10"/>
      <c r="G510" s="10"/>
      <c r="H510" s="27"/>
      <c r="I510" s="9"/>
      <c r="J510" s="9"/>
      <c r="K510" s="9"/>
      <c r="L510" s="9"/>
      <c r="M510" s="25"/>
      <c r="N510" s="25"/>
      <c r="O510" s="27"/>
      <c r="P510" s="27"/>
      <c r="Q510" s="27"/>
      <c r="R510" s="25"/>
      <c r="S510" s="25"/>
      <c r="T510" s="10"/>
      <c r="U510" s="9"/>
      <c r="V510" s="9"/>
      <c r="W510" s="9"/>
      <c r="X510" s="9"/>
      <c r="Y510" s="9"/>
      <c r="Z510" s="9"/>
      <c r="AA510" s="9"/>
      <c r="AB510" s="9"/>
      <c r="AC510" s="9"/>
      <c r="AD510" s="27"/>
      <c r="AE510" s="42"/>
      <c r="AF510" s="27"/>
      <c r="AG510" s="42"/>
      <c r="AH510" s="27"/>
      <c r="AI510" s="9"/>
      <c r="AJ510" s="9"/>
      <c r="AK510" s="9"/>
      <c r="AM510" s="43"/>
      <c r="AN510" s="43"/>
      <c r="AQ510" s="34"/>
      <c r="AR510" s="34"/>
      <c r="AS510" s="34"/>
      <c r="AT510" s="34"/>
    </row>
    <row r="511" spans="1:46" s="11" customFormat="1" x14ac:dyDescent="0.25">
      <c r="A511" s="23"/>
      <c r="B511" s="9"/>
      <c r="C511" s="9"/>
      <c r="D511" s="9"/>
      <c r="E511" s="9"/>
      <c r="F511" s="10"/>
      <c r="G511" s="10"/>
      <c r="H511" s="27"/>
      <c r="I511" s="9"/>
      <c r="J511" s="9"/>
      <c r="K511" s="9"/>
      <c r="L511" s="9"/>
      <c r="M511" s="25"/>
      <c r="N511" s="25"/>
      <c r="O511" s="27"/>
      <c r="P511" s="27"/>
      <c r="Q511" s="27"/>
      <c r="R511" s="25"/>
      <c r="S511" s="25"/>
      <c r="T511" s="10"/>
      <c r="U511" s="9"/>
      <c r="V511" s="9"/>
      <c r="W511" s="9"/>
      <c r="X511" s="9"/>
      <c r="Y511" s="9"/>
      <c r="Z511" s="9"/>
      <c r="AA511" s="9"/>
      <c r="AB511" s="9"/>
      <c r="AC511" s="9"/>
      <c r="AD511" s="27"/>
      <c r="AE511" s="42"/>
      <c r="AF511" s="27"/>
      <c r="AG511" s="42"/>
      <c r="AH511" s="27"/>
      <c r="AI511" s="9"/>
      <c r="AJ511" s="9"/>
      <c r="AK511" s="9"/>
      <c r="AM511" s="43"/>
      <c r="AN511" s="43"/>
      <c r="AQ511" s="34"/>
      <c r="AR511" s="34"/>
      <c r="AS511" s="34"/>
      <c r="AT511" s="34"/>
    </row>
    <row r="512" spans="1:46" s="11" customFormat="1" x14ac:dyDescent="0.25">
      <c r="A512" s="23"/>
      <c r="B512" s="9"/>
      <c r="C512" s="9"/>
      <c r="D512" s="9"/>
      <c r="E512" s="9"/>
      <c r="F512" s="10"/>
      <c r="G512" s="10"/>
      <c r="H512" s="27"/>
      <c r="I512" s="9"/>
      <c r="J512" s="9"/>
      <c r="K512" s="9"/>
      <c r="L512" s="9"/>
      <c r="M512" s="25"/>
      <c r="N512" s="25"/>
      <c r="O512" s="27"/>
      <c r="P512" s="27"/>
      <c r="Q512" s="27"/>
      <c r="R512" s="25"/>
      <c r="S512" s="25"/>
      <c r="T512" s="10"/>
      <c r="U512" s="9"/>
      <c r="V512" s="9"/>
      <c r="W512" s="9"/>
      <c r="X512" s="9"/>
      <c r="Y512" s="9"/>
      <c r="Z512" s="9"/>
      <c r="AA512" s="9"/>
      <c r="AB512" s="9"/>
      <c r="AC512" s="9"/>
      <c r="AD512" s="27"/>
      <c r="AE512" s="42"/>
      <c r="AF512" s="27"/>
      <c r="AG512" s="42"/>
      <c r="AH512" s="27"/>
      <c r="AI512" s="9"/>
      <c r="AJ512" s="9"/>
      <c r="AK512" s="9"/>
      <c r="AM512" s="43"/>
      <c r="AN512" s="43"/>
      <c r="AQ512" s="34"/>
      <c r="AR512" s="34"/>
      <c r="AS512" s="34"/>
      <c r="AT512" s="34"/>
    </row>
    <row r="513" spans="1:46" s="11" customFormat="1" x14ac:dyDescent="0.25">
      <c r="A513" s="23"/>
      <c r="B513" s="9"/>
      <c r="C513" s="9"/>
      <c r="D513" s="9"/>
      <c r="E513" s="9"/>
      <c r="F513" s="10"/>
      <c r="G513" s="10"/>
      <c r="H513" s="27"/>
      <c r="I513" s="9"/>
      <c r="J513" s="9"/>
      <c r="K513" s="9"/>
      <c r="L513" s="9"/>
      <c r="M513" s="25"/>
      <c r="N513" s="25"/>
      <c r="O513" s="27"/>
      <c r="P513" s="27"/>
      <c r="Q513" s="27"/>
      <c r="R513" s="25"/>
      <c r="S513" s="25"/>
      <c r="T513" s="10"/>
      <c r="U513" s="9"/>
      <c r="V513" s="9"/>
      <c r="W513" s="9"/>
      <c r="X513" s="9"/>
      <c r="Y513" s="9"/>
      <c r="Z513" s="9"/>
      <c r="AA513" s="9"/>
      <c r="AB513" s="9"/>
      <c r="AC513" s="9"/>
      <c r="AD513" s="27"/>
      <c r="AE513" s="42"/>
      <c r="AF513" s="27"/>
      <c r="AG513" s="42"/>
      <c r="AH513" s="27"/>
      <c r="AI513" s="9"/>
      <c r="AJ513" s="9"/>
      <c r="AK513" s="9"/>
      <c r="AM513" s="43"/>
      <c r="AN513" s="43"/>
      <c r="AQ513" s="34"/>
      <c r="AR513" s="34"/>
      <c r="AS513" s="34"/>
      <c r="AT513" s="34"/>
    </row>
    <row r="514" spans="1:46" s="11" customFormat="1" x14ac:dyDescent="0.25">
      <c r="A514" s="23"/>
      <c r="B514" s="9"/>
      <c r="C514" s="9"/>
      <c r="D514" s="9"/>
      <c r="E514" s="9"/>
      <c r="F514" s="10"/>
      <c r="G514" s="10"/>
      <c r="H514" s="27"/>
      <c r="I514" s="9"/>
      <c r="J514" s="9"/>
      <c r="K514" s="9"/>
      <c r="L514" s="9"/>
      <c r="M514" s="25"/>
      <c r="N514" s="25"/>
      <c r="O514" s="27"/>
      <c r="P514" s="27"/>
      <c r="Q514" s="27"/>
      <c r="R514" s="25"/>
      <c r="S514" s="25"/>
      <c r="T514" s="10"/>
      <c r="U514" s="9"/>
      <c r="V514" s="9"/>
      <c r="W514" s="9"/>
      <c r="X514" s="9"/>
      <c r="Y514" s="9"/>
      <c r="Z514" s="9"/>
      <c r="AA514" s="9"/>
      <c r="AB514" s="9"/>
      <c r="AC514" s="9"/>
      <c r="AD514" s="27"/>
      <c r="AE514" s="42"/>
      <c r="AF514" s="27"/>
      <c r="AG514" s="42"/>
      <c r="AH514" s="27"/>
      <c r="AI514" s="9"/>
      <c r="AJ514" s="9"/>
      <c r="AK514" s="9"/>
      <c r="AM514" s="43"/>
      <c r="AN514" s="43"/>
      <c r="AQ514" s="34"/>
      <c r="AR514" s="34"/>
      <c r="AS514" s="34"/>
      <c r="AT514" s="34"/>
    </row>
    <row r="515" spans="1:46" s="11" customFormat="1" x14ac:dyDescent="0.25">
      <c r="A515" s="23"/>
      <c r="B515" s="9"/>
      <c r="C515" s="9"/>
      <c r="D515" s="9"/>
      <c r="E515" s="9"/>
      <c r="F515" s="10"/>
      <c r="G515" s="10"/>
      <c r="H515" s="27"/>
      <c r="I515" s="9"/>
      <c r="J515" s="9"/>
      <c r="K515" s="9"/>
      <c r="L515" s="9"/>
      <c r="M515" s="25"/>
      <c r="N515" s="25"/>
      <c r="O515" s="27"/>
      <c r="P515" s="27"/>
      <c r="Q515" s="27"/>
      <c r="R515" s="25"/>
      <c r="S515" s="25"/>
      <c r="T515" s="10"/>
      <c r="U515" s="9"/>
      <c r="V515" s="9"/>
      <c r="W515" s="9"/>
      <c r="X515" s="9"/>
      <c r="Y515" s="9"/>
      <c r="Z515" s="9"/>
      <c r="AA515" s="9"/>
      <c r="AB515" s="9"/>
      <c r="AC515" s="9"/>
      <c r="AD515" s="27"/>
      <c r="AE515" s="42"/>
      <c r="AF515" s="27"/>
      <c r="AG515" s="42"/>
      <c r="AH515" s="27"/>
      <c r="AI515" s="9"/>
      <c r="AJ515" s="9"/>
      <c r="AK515" s="9"/>
      <c r="AM515" s="43"/>
      <c r="AN515" s="43"/>
      <c r="AQ515" s="34"/>
      <c r="AR515" s="34"/>
      <c r="AS515" s="34"/>
      <c r="AT515" s="34"/>
    </row>
    <row r="516" spans="1:46" s="11" customFormat="1" x14ac:dyDescent="0.25">
      <c r="A516" s="23"/>
      <c r="B516" s="9"/>
      <c r="C516" s="9"/>
      <c r="D516" s="9"/>
      <c r="E516" s="9"/>
      <c r="F516" s="10"/>
      <c r="G516" s="10"/>
      <c r="H516" s="27"/>
      <c r="I516" s="9"/>
      <c r="J516" s="9"/>
      <c r="K516" s="9"/>
      <c r="L516" s="9"/>
      <c r="M516" s="25"/>
      <c r="N516" s="25"/>
      <c r="O516" s="27"/>
      <c r="P516" s="27"/>
      <c r="Q516" s="27"/>
      <c r="R516" s="25"/>
      <c r="S516" s="25"/>
      <c r="T516" s="10"/>
      <c r="U516" s="9"/>
      <c r="V516" s="9"/>
      <c r="W516" s="9"/>
      <c r="X516" s="9"/>
      <c r="Y516" s="9"/>
      <c r="Z516" s="9"/>
      <c r="AA516" s="9"/>
      <c r="AB516" s="9"/>
      <c r="AC516" s="9"/>
      <c r="AD516" s="27"/>
      <c r="AE516" s="42"/>
      <c r="AF516" s="27"/>
      <c r="AG516" s="42"/>
      <c r="AH516" s="27"/>
      <c r="AI516" s="9"/>
      <c r="AJ516" s="9"/>
      <c r="AK516" s="9"/>
      <c r="AM516" s="43"/>
      <c r="AN516" s="43"/>
      <c r="AQ516" s="34"/>
      <c r="AR516" s="34"/>
      <c r="AS516" s="34"/>
      <c r="AT516" s="34"/>
    </row>
    <row r="517" spans="1:46" s="11" customFormat="1" x14ac:dyDescent="0.25">
      <c r="A517" s="23"/>
      <c r="B517" s="9"/>
      <c r="C517" s="9"/>
      <c r="D517" s="9"/>
      <c r="E517" s="9"/>
      <c r="F517" s="10"/>
      <c r="G517" s="10"/>
      <c r="H517" s="27"/>
      <c r="I517" s="9"/>
      <c r="J517" s="9"/>
      <c r="K517" s="9"/>
      <c r="L517" s="9"/>
      <c r="M517" s="25"/>
      <c r="N517" s="25"/>
      <c r="O517" s="27"/>
      <c r="P517" s="27"/>
      <c r="Q517" s="27"/>
      <c r="R517" s="25"/>
      <c r="S517" s="25"/>
      <c r="T517" s="10"/>
      <c r="U517" s="9"/>
      <c r="V517" s="9"/>
      <c r="W517" s="9"/>
      <c r="X517" s="9"/>
      <c r="Y517" s="9"/>
      <c r="Z517" s="9"/>
      <c r="AA517" s="9"/>
      <c r="AB517" s="9"/>
      <c r="AC517" s="9"/>
      <c r="AD517" s="27"/>
      <c r="AE517" s="42"/>
      <c r="AF517" s="27"/>
      <c r="AG517" s="42"/>
      <c r="AH517" s="27"/>
      <c r="AI517" s="9"/>
      <c r="AJ517" s="9"/>
      <c r="AK517" s="9"/>
      <c r="AM517" s="43"/>
      <c r="AN517" s="43"/>
      <c r="AQ517" s="34"/>
      <c r="AR517" s="34"/>
      <c r="AS517" s="34"/>
      <c r="AT517" s="34"/>
    </row>
    <row r="518" spans="1:46" s="11" customFormat="1" x14ac:dyDescent="0.25">
      <c r="A518" s="23"/>
      <c r="B518" s="9"/>
      <c r="C518" s="9"/>
      <c r="D518" s="9"/>
      <c r="E518" s="9"/>
      <c r="F518" s="10"/>
      <c r="G518" s="10"/>
      <c r="H518" s="27"/>
      <c r="I518" s="9"/>
      <c r="J518" s="9"/>
      <c r="K518" s="9"/>
      <c r="L518" s="9"/>
      <c r="M518" s="25"/>
      <c r="N518" s="25"/>
      <c r="O518" s="27"/>
      <c r="P518" s="27"/>
      <c r="Q518" s="27"/>
      <c r="R518" s="25"/>
      <c r="S518" s="25"/>
      <c r="T518" s="10"/>
      <c r="U518" s="9"/>
      <c r="V518" s="9"/>
      <c r="W518" s="9"/>
      <c r="X518" s="9"/>
      <c r="Y518" s="9"/>
      <c r="Z518" s="9"/>
      <c r="AA518" s="9"/>
      <c r="AB518" s="9"/>
      <c r="AC518" s="9"/>
      <c r="AD518" s="27"/>
      <c r="AE518" s="42"/>
      <c r="AF518" s="27"/>
      <c r="AG518" s="42"/>
      <c r="AH518" s="27"/>
      <c r="AI518" s="9"/>
      <c r="AJ518" s="9"/>
      <c r="AK518" s="9"/>
      <c r="AM518" s="43"/>
      <c r="AN518" s="43"/>
      <c r="AQ518" s="34"/>
      <c r="AR518" s="34"/>
      <c r="AS518" s="34"/>
      <c r="AT518" s="34"/>
    </row>
    <row r="519" spans="1:46" s="11" customFormat="1" x14ac:dyDescent="0.25">
      <c r="A519" s="23"/>
      <c r="B519" s="9"/>
      <c r="C519" s="9"/>
      <c r="D519" s="9"/>
      <c r="E519" s="9"/>
      <c r="F519" s="10"/>
      <c r="G519" s="10"/>
      <c r="H519" s="27"/>
      <c r="I519" s="9"/>
      <c r="J519" s="9"/>
      <c r="K519" s="9"/>
      <c r="L519" s="9"/>
      <c r="M519" s="25"/>
      <c r="N519" s="25"/>
      <c r="O519" s="27"/>
      <c r="P519" s="27"/>
      <c r="Q519" s="27"/>
      <c r="R519" s="25"/>
      <c r="S519" s="25"/>
      <c r="T519" s="10"/>
      <c r="U519" s="9"/>
      <c r="V519" s="9"/>
      <c r="W519" s="9"/>
      <c r="X519" s="9"/>
      <c r="Y519" s="9"/>
      <c r="Z519" s="9"/>
      <c r="AA519" s="9"/>
      <c r="AB519" s="9"/>
      <c r="AC519" s="9"/>
      <c r="AD519" s="27"/>
      <c r="AE519" s="42"/>
      <c r="AF519" s="27"/>
      <c r="AG519" s="42"/>
      <c r="AH519" s="27"/>
      <c r="AI519" s="9"/>
      <c r="AJ519" s="9"/>
      <c r="AK519" s="9"/>
      <c r="AM519" s="43"/>
      <c r="AN519" s="43"/>
      <c r="AQ519" s="34"/>
      <c r="AR519" s="34"/>
      <c r="AS519" s="34"/>
      <c r="AT519" s="34"/>
    </row>
    <row r="520" spans="1:46" s="11" customFormat="1" x14ac:dyDescent="0.25">
      <c r="A520" s="23"/>
      <c r="B520" s="9"/>
      <c r="C520" s="9"/>
      <c r="D520" s="9"/>
      <c r="E520" s="9"/>
      <c r="F520" s="10"/>
      <c r="G520" s="10"/>
      <c r="H520" s="27"/>
      <c r="I520" s="9"/>
      <c r="J520" s="9"/>
      <c r="K520" s="9"/>
      <c r="L520" s="9"/>
      <c r="M520" s="25"/>
      <c r="N520" s="25"/>
      <c r="O520" s="27"/>
      <c r="P520" s="27"/>
      <c r="Q520" s="27"/>
      <c r="R520" s="25"/>
      <c r="S520" s="25"/>
      <c r="T520" s="10"/>
      <c r="U520" s="9"/>
      <c r="V520" s="9"/>
      <c r="W520" s="9"/>
      <c r="X520" s="9"/>
      <c r="Y520" s="9"/>
      <c r="Z520" s="9"/>
      <c r="AA520" s="9"/>
      <c r="AB520" s="9"/>
      <c r="AC520" s="9"/>
      <c r="AD520" s="27"/>
      <c r="AE520" s="42"/>
      <c r="AF520" s="27"/>
      <c r="AG520" s="42"/>
      <c r="AH520" s="27"/>
      <c r="AI520" s="9"/>
      <c r="AJ520" s="9"/>
      <c r="AK520" s="9"/>
      <c r="AM520" s="43"/>
      <c r="AN520" s="43"/>
      <c r="AQ520" s="34"/>
      <c r="AR520" s="34"/>
      <c r="AS520" s="34"/>
      <c r="AT520" s="34"/>
    </row>
    <row r="521" spans="1:46" s="11" customFormat="1" x14ac:dyDescent="0.25">
      <c r="A521" s="23"/>
      <c r="B521" s="9"/>
      <c r="C521" s="9"/>
      <c r="D521" s="9"/>
      <c r="E521" s="9"/>
      <c r="F521" s="10"/>
      <c r="G521" s="10"/>
      <c r="H521" s="27"/>
      <c r="I521" s="9"/>
      <c r="J521" s="9"/>
      <c r="K521" s="9"/>
      <c r="L521" s="9"/>
      <c r="M521" s="25"/>
      <c r="N521" s="25"/>
      <c r="O521" s="27"/>
      <c r="P521" s="27"/>
      <c r="Q521" s="27"/>
      <c r="R521" s="25"/>
      <c r="S521" s="25"/>
      <c r="T521" s="10"/>
      <c r="U521" s="9"/>
      <c r="V521" s="9"/>
      <c r="W521" s="9"/>
      <c r="X521" s="9"/>
      <c r="Y521" s="9"/>
      <c r="Z521" s="9"/>
      <c r="AA521" s="9"/>
      <c r="AB521" s="9"/>
      <c r="AC521" s="9"/>
      <c r="AD521" s="27"/>
      <c r="AE521" s="42"/>
      <c r="AF521" s="27"/>
      <c r="AG521" s="42"/>
      <c r="AH521" s="27"/>
      <c r="AI521" s="9"/>
      <c r="AJ521" s="9"/>
      <c r="AK521" s="9"/>
      <c r="AM521" s="43"/>
      <c r="AN521" s="43"/>
      <c r="AQ521" s="34"/>
      <c r="AR521" s="34"/>
      <c r="AS521" s="34"/>
      <c r="AT521" s="34"/>
    </row>
    <row r="522" spans="1:46" s="11" customFormat="1" x14ac:dyDescent="0.25">
      <c r="A522" s="23"/>
      <c r="B522" s="9"/>
      <c r="C522" s="9"/>
      <c r="D522" s="9"/>
      <c r="E522" s="9"/>
      <c r="F522" s="10"/>
      <c r="G522" s="10"/>
      <c r="H522" s="27"/>
      <c r="I522" s="9"/>
      <c r="J522" s="9"/>
      <c r="K522" s="9"/>
      <c r="L522" s="9"/>
      <c r="M522" s="25"/>
      <c r="N522" s="25"/>
      <c r="O522" s="27"/>
      <c r="P522" s="27"/>
      <c r="Q522" s="27"/>
      <c r="R522" s="25"/>
      <c r="S522" s="25"/>
      <c r="T522" s="10"/>
      <c r="U522" s="9"/>
      <c r="V522" s="9"/>
      <c r="W522" s="9"/>
      <c r="X522" s="9"/>
      <c r="Y522" s="9"/>
      <c r="Z522" s="9"/>
      <c r="AA522" s="9"/>
      <c r="AB522" s="9"/>
      <c r="AC522" s="9"/>
      <c r="AD522" s="27"/>
      <c r="AE522" s="42"/>
      <c r="AF522" s="27"/>
      <c r="AG522" s="42"/>
      <c r="AH522" s="27"/>
      <c r="AI522" s="9"/>
      <c r="AJ522" s="9"/>
      <c r="AK522" s="9"/>
      <c r="AM522" s="43"/>
      <c r="AN522" s="43"/>
      <c r="AQ522" s="34"/>
      <c r="AR522" s="34"/>
      <c r="AS522" s="34"/>
      <c r="AT522" s="34"/>
    </row>
    <row r="523" spans="1:46" s="11" customFormat="1" x14ac:dyDescent="0.25">
      <c r="A523" s="23"/>
      <c r="B523" s="9"/>
      <c r="C523" s="9"/>
      <c r="D523" s="9"/>
      <c r="E523" s="9"/>
      <c r="F523" s="10"/>
      <c r="G523" s="10"/>
      <c r="H523" s="27"/>
      <c r="I523" s="9"/>
      <c r="J523" s="9"/>
      <c r="K523" s="9"/>
      <c r="L523" s="9"/>
      <c r="M523" s="25"/>
      <c r="N523" s="25"/>
      <c r="O523" s="27"/>
      <c r="P523" s="27"/>
      <c r="Q523" s="27"/>
      <c r="R523" s="25"/>
      <c r="S523" s="25"/>
      <c r="T523" s="10"/>
      <c r="U523" s="9"/>
      <c r="V523" s="9"/>
      <c r="W523" s="9"/>
      <c r="X523" s="9"/>
      <c r="Y523" s="9"/>
      <c r="Z523" s="9"/>
      <c r="AA523" s="9"/>
      <c r="AB523" s="9"/>
      <c r="AC523" s="9"/>
      <c r="AD523" s="27"/>
      <c r="AE523" s="42"/>
      <c r="AF523" s="27"/>
      <c r="AG523" s="42"/>
      <c r="AH523" s="27"/>
      <c r="AI523" s="9"/>
      <c r="AJ523" s="9"/>
      <c r="AK523" s="9"/>
      <c r="AM523" s="43"/>
      <c r="AN523" s="43"/>
      <c r="AQ523" s="34"/>
      <c r="AR523" s="34"/>
      <c r="AS523" s="34"/>
      <c r="AT523" s="34"/>
    </row>
    <row r="524" spans="1:46" s="11" customFormat="1" x14ac:dyDescent="0.25">
      <c r="A524" s="23"/>
      <c r="B524" s="9"/>
      <c r="C524" s="9"/>
      <c r="D524" s="9"/>
      <c r="E524" s="9"/>
      <c r="F524" s="10"/>
      <c r="G524" s="10"/>
      <c r="H524" s="27"/>
      <c r="I524" s="9"/>
      <c r="J524" s="9"/>
      <c r="K524" s="9"/>
      <c r="L524" s="9"/>
      <c r="M524" s="25"/>
      <c r="N524" s="25"/>
      <c r="O524" s="27"/>
      <c r="P524" s="27"/>
      <c r="Q524" s="27"/>
      <c r="R524" s="25"/>
      <c r="S524" s="25"/>
      <c r="T524" s="10"/>
      <c r="U524" s="9"/>
      <c r="V524" s="9"/>
      <c r="W524" s="9"/>
      <c r="X524" s="9"/>
      <c r="Y524" s="9"/>
      <c r="Z524" s="9"/>
      <c r="AA524" s="9"/>
      <c r="AB524" s="9"/>
      <c r="AC524" s="9"/>
      <c r="AD524" s="27"/>
      <c r="AE524" s="42"/>
      <c r="AF524" s="27"/>
      <c r="AG524" s="42"/>
      <c r="AH524" s="27"/>
      <c r="AI524" s="9"/>
      <c r="AJ524" s="9"/>
      <c r="AK524" s="9"/>
      <c r="AM524" s="43"/>
      <c r="AN524" s="43"/>
      <c r="AQ524" s="34"/>
      <c r="AR524" s="34"/>
      <c r="AS524" s="34"/>
      <c r="AT524" s="34"/>
    </row>
    <row r="525" spans="1:46" s="11" customFormat="1" x14ac:dyDescent="0.25">
      <c r="A525" s="23"/>
      <c r="B525" s="9"/>
      <c r="C525" s="9"/>
      <c r="D525" s="9"/>
      <c r="E525" s="9"/>
      <c r="F525" s="10"/>
      <c r="G525" s="10"/>
      <c r="H525" s="27"/>
      <c r="I525" s="9"/>
      <c r="J525" s="9"/>
      <c r="K525" s="9"/>
      <c r="L525" s="9"/>
      <c r="M525" s="25"/>
      <c r="N525" s="25"/>
      <c r="O525" s="27"/>
      <c r="P525" s="27"/>
      <c r="Q525" s="27"/>
      <c r="R525" s="25"/>
      <c r="S525" s="25"/>
      <c r="T525" s="10"/>
      <c r="U525" s="9"/>
      <c r="V525" s="9"/>
      <c r="W525" s="9"/>
      <c r="X525" s="9"/>
      <c r="Y525" s="9"/>
      <c r="Z525" s="9"/>
      <c r="AA525" s="9"/>
      <c r="AB525" s="9"/>
      <c r="AC525" s="9"/>
      <c r="AD525" s="27"/>
      <c r="AE525" s="42"/>
      <c r="AF525" s="27"/>
      <c r="AG525" s="42"/>
      <c r="AH525" s="27"/>
      <c r="AI525" s="9"/>
      <c r="AJ525" s="9"/>
      <c r="AK525" s="9"/>
      <c r="AM525" s="43"/>
      <c r="AN525" s="43"/>
      <c r="AQ525" s="34"/>
      <c r="AR525" s="34"/>
      <c r="AS525" s="34"/>
      <c r="AT525" s="34"/>
    </row>
    <row r="526" spans="1:46" s="11" customFormat="1" x14ac:dyDescent="0.25">
      <c r="A526" s="23"/>
      <c r="B526" s="9"/>
      <c r="C526" s="9"/>
      <c r="D526" s="9"/>
      <c r="E526" s="9"/>
      <c r="F526" s="10"/>
      <c r="G526" s="10"/>
      <c r="H526" s="27"/>
      <c r="I526" s="9"/>
      <c r="J526" s="9"/>
      <c r="K526" s="9"/>
      <c r="L526" s="9"/>
      <c r="M526" s="25"/>
      <c r="N526" s="25"/>
      <c r="O526" s="27"/>
      <c r="P526" s="27"/>
      <c r="Q526" s="27"/>
      <c r="R526" s="25"/>
      <c r="S526" s="25"/>
      <c r="T526" s="10"/>
      <c r="U526" s="9"/>
      <c r="V526" s="9"/>
      <c r="W526" s="9"/>
      <c r="X526" s="9"/>
      <c r="Y526" s="9"/>
      <c r="Z526" s="9"/>
      <c r="AA526" s="9"/>
      <c r="AB526" s="9"/>
      <c r="AC526" s="9"/>
      <c r="AD526" s="27"/>
      <c r="AE526" s="42"/>
      <c r="AF526" s="27"/>
      <c r="AG526" s="42"/>
      <c r="AH526" s="27"/>
      <c r="AI526" s="9"/>
      <c r="AJ526" s="9"/>
      <c r="AK526" s="9"/>
      <c r="AM526" s="43"/>
      <c r="AN526" s="43"/>
      <c r="AQ526" s="34"/>
      <c r="AR526" s="34"/>
      <c r="AS526" s="34"/>
      <c r="AT526" s="34"/>
    </row>
    <row r="527" spans="1:46" s="11" customFormat="1" x14ac:dyDescent="0.25">
      <c r="A527" s="23"/>
      <c r="B527" s="9"/>
      <c r="C527" s="9"/>
      <c r="D527" s="9"/>
      <c r="E527" s="9"/>
      <c r="F527" s="10"/>
      <c r="G527" s="10"/>
      <c r="H527" s="27"/>
      <c r="I527" s="9"/>
      <c r="J527" s="9"/>
      <c r="K527" s="9"/>
      <c r="L527" s="9"/>
      <c r="M527" s="25"/>
      <c r="N527" s="25"/>
      <c r="O527" s="27"/>
      <c r="P527" s="27"/>
      <c r="Q527" s="27"/>
      <c r="R527" s="25"/>
      <c r="S527" s="25"/>
      <c r="T527" s="10"/>
      <c r="U527" s="9"/>
      <c r="V527" s="9"/>
      <c r="W527" s="9"/>
      <c r="X527" s="9"/>
      <c r="Y527" s="9"/>
      <c r="Z527" s="9"/>
      <c r="AA527" s="9"/>
      <c r="AB527" s="9"/>
      <c r="AC527" s="9"/>
      <c r="AD527" s="27"/>
      <c r="AE527" s="42"/>
      <c r="AF527" s="27"/>
      <c r="AG527" s="42"/>
      <c r="AH527" s="27"/>
      <c r="AI527" s="9"/>
      <c r="AJ527" s="9"/>
      <c r="AK527" s="9"/>
      <c r="AM527" s="43"/>
      <c r="AN527" s="43"/>
      <c r="AQ527" s="34"/>
      <c r="AR527" s="34"/>
      <c r="AS527" s="34"/>
      <c r="AT527" s="34"/>
    </row>
    <row r="528" spans="1:46" s="11" customFormat="1" x14ac:dyDescent="0.25">
      <c r="A528" s="23"/>
      <c r="B528" s="9"/>
      <c r="C528" s="9"/>
      <c r="D528" s="9"/>
      <c r="E528" s="9"/>
      <c r="F528" s="10"/>
      <c r="G528" s="10"/>
      <c r="H528" s="27"/>
      <c r="I528" s="9"/>
      <c r="J528" s="9"/>
      <c r="K528" s="9"/>
      <c r="L528" s="9"/>
      <c r="M528" s="25"/>
      <c r="N528" s="25"/>
      <c r="O528" s="27"/>
      <c r="P528" s="27"/>
      <c r="Q528" s="27"/>
      <c r="R528" s="25"/>
      <c r="S528" s="25"/>
      <c r="T528" s="10"/>
      <c r="U528" s="9"/>
      <c r="V528" s="9"/>
      <c r="W528" s="9"/>
      <c r="X528" s="9"/>
      <c r="Y528" s="9"/>
      <c r="Z528" s="9"/>
      <c r="AA528" s="9"/>
      <c r="AB528" s="9"/>
      <c r="AC528" s="9"/>
      <c r="AD528" s="27"/>
      <c r="AE528" s="42"/>
      <c r="AF528" s="27"/>
      <c r="AG528" s="42"/>
      <c r="AH528" s="27"/>
      <c r="AI528" s="9"/>
      <c r="AJ528" s="9"/>
      <c r="AK528" s="9"/>
      <c r="AM528" s="43"/>
      <c r="AN528" s="43"/>
      <c r="AQ528" s="34"/>
      <c r="AR528" s="34"/>
      <c r="AS528" s="34"/>
      <c r="AT528" s="34"/>
    </row>
    <row r="529" spans="1:46" s="11" customFormat="1" x14ac:dyDescent="0.25">
      <c r="A529" s="23"/>
      <c r="B529" s="9"/>
      <c r="C529" s="9"/>
      <c r="D529" s="9"/>
      <c r="E529" s="9"/>
      <c r="F529" s="10"/>
      <c r="G529" s="10"/>
      <c r="H529" s="27"/>
      <c r="I529" s="9"/>
      <c r="J529" s="9"/>
      <c r="K529" s="9"/>
      <c r="L529" s="9"/>
      <c r="M529" s="25"/>
      <c r="N529" s="25"/>
      <c r="O529" s="27"/>
      <c r="P529" s="27"/>
      <c r="Q529" s="27"/>
      <c r="R529" s="25"/>
      <c r="S529" s="25"/>
      <c r="T529" s="10"/>
      <c r="U529" s="9"/>
      <c r="V529" s="9"/>
      <c r="W529" s="9"/>
      <c r="X529" s="9"/>
      <c r="Y529" s="9"/>
      <c r="Z529" s="9"/>
      <c r="AA529" s="9"/>
      <c r="AB529" s="9"/>
      <c r="AC529" s="9"/>
      <c r="AD529" s="27"/>
      <c r="AE529" s="42"/>
      <c r="AF529" s="27"/>
      <c r="AG529" s="42"/>
      <c r="AH529" s="27"/>
      <c r="AI529" s="9"/>
      <c r="AJ529" s="9"/>
      <c r="AK529" s="9"/>
      <c r="AM529" s="43"/>
      <c r="AN529" s="43"/>
      <c r="AQ529" s="34"/>
      <c r="AR529" s="34"/>
      <c r="AS529" s="34"/>
      <c r="AT529" s="34"/>
    </row>
    <row r="530" spans="1:46" s="11" customFormat="1" x14ac:dyDescent="0.25">
      <c r="A530" s="23"/>
      <c r="B530" s="9"/>
      <c r="C530" s="9"/>
      <c r="D530" s="9"/>
      <c r="E530" s="9"/>
      <c r="F530" s="10"/>
      <c r="G530" s="10"/>
      <c r="H530" s="27"/>
      <c r="I530" s="9"/>
      <c r="J530" s="9"/>
      <c r="K530" s="9"/>
      <c r="L530" s="9"/>
      <c r="M530" s="25"/>
      <c r="N530" s="25"/>
      <c r="O530" s="27"/>
      <c r="P530" s="27"/>
      <c r="Q530" s="27"/>
      <c r="R530" s="25"/>
      <c r="S530" s="25"/>
      <c r="T530" s="10"/>
      <c r="U530" s="9"/>
      <c r="V530" s="9"/>
      <c r="W530" s="9"/>
      <c r="X530" s="9"/>
      <c r="Y530" s="9"/>
      <c r="Z530" s="9"/>
      <c r="AA530" s="9"/>
      <c r="AB530" s="9"/>
      <c r="AC530" s="9"/>
      <c r="AD530" s="27"/>
      <c r="AE530" s="42"/>
      <c r="AF530" s="27"/>
      <c r="AG530" s="42"/>
      <c r="AH530" s="27"/>
      <c r="AI530" s="9"/>
      <c r="AJ530" s="9"/>
      <c r="AK530" s="9"/>
      <c r="AM530" s="43"/>
      <c r="AN530" s="43"/>
      <c r="AQ530" s="34"/>
      <c r="AR530" s="34"/>
      <c r="AS530" s="34"/>
      <c r="AT530" s="34"/>
    </row>
    <row r="531" spans="1:46" s="11" customFormat="1" x14ac:dyDescent="0.25">
      <c r="A531" s="23"/>
      <c r="B531" s="9"/>
      <c r="C531" s="9"/>
      <c r="D531" s="9"/>
      <c r="E531" s="9"/>
      <c r="F531" s="10"/>
      <c r="G531" s="10"/>
      <c r="H531" s="27"/>
      <c r="I531" s="9"/>
      <c r="J531" s="9"/>
      <c r="K531" s="9"/>
      <c r="L531" s="9"/>
      <c r="M531" s="25"/>
      <c r="N531" s="25"/>
      <c r="O531" s="27"/>
      <c r="P531" s="27"/>
      <c r="Q531" s="27"/>
      <c r="R531" s="25"/>
      <c r="S531" s="25"/>
      <c r="T531" s="10"/>
      <c r="U531" s="9"/>
      <c r="V531" s="9"/>
      <c r="W531" s="9"/>
      <c r="X531" s="9"/>
      <c r="Y531" s="9"/>
      <c r="Z531" s="9"/>
      <c r="AA531" s="9"/>
      <c r="AB531" s="9"/>
      <c r="AC531" s="9"/>
      <c r="AD531" s="27"/>
      <c r="AE531" s="42"/>
      <c r="AF531" s="27"/>
      <c r="AG531" s="42"/>
      <c r="AH531" s="27"/>
      <c r="AI531" s="9"/>
      <c r="AJ531" s="9"/>
      <c r="AK531" s="9"/>
      <c r="AM531" s="43"/>
      <c r="AN531" s="43"/>
      <c r="AQ531" s="34"/>
      <c r="AR531" s="34"/>
      <c r="AS531" s="34"/>
      <c r="AT531" s="34"/>
    </row>
    <row r="532" spans="1:46" s="11" customFormat="1" x14ac:dyDescent="0.25">
      <c r="A532" s="23"/>
      <c r="B532" s="9"/>
      <c r="C532" s="9"/>
      <c r="D532" s="9"/>
      <c r="E532" s="9"/>
      <c r="F532" s="10"/>
      <c r="G532" s="10"/>
      <c r="H532" s="27"/>
      <c r="I532" s="9"/>
      <c r="J532" s="9"/>
      <c r="K532" s="9"/>
      <c r="L532" s="9"/>
      <c r="M532" s="25"/>
      <c r="N532" s="25"/>
      <c r="O532" s="27"/>
      <c r="P532" s="27"/>
      <c r="Q532" s="27"/>
      <c r="R532" s="25"/>
      <c r="S532" s="25"/>
      <c r="T532" s="10"/>
      <c r="U532" s="9"/>
      <c r="V532" s="9"/>
      <c r="W532" s="9"/>
      <c r="X532" s="9"/>
      <c r="Y532" s="9"/>
      <c r="Z532" s="9"/>
      <c r="AA532" s="9"/>
      <c r="AB532" s="9"/>
      <c r="AC532" s="9"/>
      <c r="AD532" s="27"/>
      <c r="AE532" s="42"/>
      <c r="AF532" s="27"/>
      <c r="AG532" s="42"/>
      <c r="AH532" s="27"/>
      <c r="AI532" s="9"/>
      <c r="AJ532" s="9"/>
      <c r="AK532" s="9"/>
      <c r="AM532" s="43"/>
      <c r="AN532" s="43"/>
      <c r="AQ532" s="34"/>
      <c r="AR532" s="34"/>
      <c r="AS532" s="34"/>
      <c r="AT532" s="34"/>
    </row>
    <row r="533" spans="1:46" s="11" customFormat="1" x14ac:dyDescent="0.25">
      <c r="A533" s="23"/>
      <c r="B533" s="9"/>
      <c r="C533" s="9"/>
      <c r="D533" s="9"/>
      <c r="E533" s="9"/>
      <c r="F533" s="10"/>
      <c r="G533" s="10"/>
      <c r="H533" s="27"/>
      <c r="I533" s="9"/>
      <c r="J533" s="9"/>
      <c r="K533" s="9"/>
      <c r="L533" s="9"/>
      <c r="M533" s="25"/>
      <c r="N533" s="25"/>
      <c r="O533" s="27"/>
      <c r="P533" s="27"/>
      <c r="Q533" s="27"/>
      <c r="R533" s="25"/>
      <c r="S533" s="25"/>
      <c r="T533" s="10"/>
      <c r="U533" s="9"/>
      <c r="V533" s="9"/>
      <c r="W533" s="9"/>
      <c r="X533" s="9"/>
      <c r="Y533" s="9"/>
      <c r="Z533" s="9"/>
      <c r="AA533" s="9"/>
      <c r="AB533" s="9"/>
      <c r="AC533" s="9"/>
      <c r="AD533" s="27"/>
      <c r="AE533" s="42"/>
      <c r="AF533" s="27"/>
      <c r="AG533" s="42"/>
      <c r="AH533" s="27"/>
      <c r="AI533" s="9"/>
      <c r="AJ533" s="9"/>
      <c r="AK533" s="9"/>
      <c r="AM533" s="43"/>
      <c r="AN533" s="43"/>
      <c r="AQ533" s="34"/>
      <c r="AR533" s="34"/>
      <c r="AS533" s="34"/>
      <c r="AT533" s="34"/>
    </row>
    <row r="534" spans="1:46" s="11" customFormat="1" x14ac:dyDescent="0.25">
      <c r="A534" s="23"/>
      <c r="B534" s="9"/>
      <c r="C534" s="9"/>
      <c r="D534" s="9"/>
      <c r="E534" s="9"/>
      <c r="F534" s="10"/>
      <c r="G534" s="10"/>
      <c r="H534" s="27"/>
      <c r="I534" s="9"/>
      <c r="J534" s="9"/>
      <c r="K534" s="9"/>
      <c r="L534" s="9"/>
      <c r="M534" s="25"/>
      <c r="N534" s="25"/>
      <c r="O534" s="27"/>
      <c r="P534" s="27"/>
      <c r="Q534" s="27"/>
      <c r="R534" s="25"/>
      <c r="S534" s="25"/>
      <c r="T534" s="10"/>
      <c r="U534" s="9"/>
      <c r="V534" s="9"/>
      <c r="W534" s="9"/>
      <c r="X534" s="9"/>
      <c r="Y534" s="9"/>
      <c r="Z534" s="9"/>
      <c r="AA534" s="9"/>
      <c r="AB534" s="9"/>
      <c r="AC534" s="9"/>
      <c r="AD534" s="27"/>
      <c r="AE534" s="42"/>
      <c r="AF534" s="27"/>
      <c r="AG534" s="42"/>
      <c r="AH534" s="27"/>
      <c r="AI534" s="9"/>
      <c r="AJ534" s="9"/>
      <c r="AK534" s="9"/>
      <c r="AM534" s="43"/>
      <c r="AN534" s="43"/>
      <c r="AQ534" s="34"/>
      <c r="AR534" s="34"/>
      <c r="AS534" s="34"/>
      <c r="AT534" s="34"/>
    </row>
    <row r="535" spans="1:46" s="11" customFormat="1" x14ac:dyDescent="0.25">
      <c r="A535" s="23"/>
      <c r="B535" s="9"/>
      <c r="C535" s="9"/>
      <c r="D535" s="9"/>
      <c r="E535" s="9"/>
      <c r="F535" s="10"/>
      <c r="G535" s="10"/>
      <c r="H535" s="27"/>
      <c r="I535" s="9"/>
      <c r="J535" s="9"/>
      <c r="K535" s="9"/>
      <c r="L535" s="9"/>
      <c r="M535" s="25"/>
      <c r="N535" s="25"/>
      <c r="O535" s="27"/>
      <c r="P535" s="27"/>
      <c r="Q535" s="27"/>
      <c r="R535" s="25"/>
      <c r="S535" s="25"/>
      <c r="T535" s="10"/>
      <c r="U535" s="9"/>
      <c r="V535" s="9"/>
      <c r="W535" s="9"/>
      <c r="X535" s="9"/>
      <c r="Y535" s="9"/>
      <c r="Z535" s="9"/>
      <c r="AA535" s="9"/>
      <c r="AB535" s="9"/>
      <c r="AC535" s="9"/>
      <c r="AD535" s="27"/>
      <c r="AE535" s="42"/>
      <c r="AF535" s="27"/>
      <c r="AG535" s="42"/>
      <c r="AH535" s="27"/>
      <c r="AI535" s="9"/>
      <c r="AJ535" s="9"/>
      <c r="AK535" s="9"/>
      <c r="AM535" s="43"/>
      <c r="AN535" s="43"/>
      <c r="AQ535" s="34"/>
      <c r="AR535" s="34"/>
      <c r="AS535" s="34"/>
      <c r="AT535" s="34"/>
    </row>
    <row r="536" spans="1:46" s="11" customFormat="1" x14ac:dyDescent="0.25">
      <c r="A536" s="23"/>
      <c r="B536" s="9"/>
      <c r="C536" s="9"/>
      <c r="D536" s="9"/>
      <c r="E536" s="9"/>
      <c r="F536" s="10"/>
      <c r="G536" s="10"/>
      <c r="H536" s="27"/>
      <c r="I536" s="9"/>
      <c r="J536" s="9"/>
      <c r="K536" s="9"/>
      <c r="L536" s="9"/>
      <c r="M536" s="25"/>
      <c r="N536" s="25"/>
      <c r="O536" s="27"/>
      <c r="P536" s="27"/>
      <c r="Q536" s="27"/>
      <c r="R536" s="25"/>
      <c r="S536" s="25"/>
      <c r="T536" s="10"/>
      <c r="U536" s="9"/>
      <c r="V536" s="9"/>
      <c r="W536" s="9"/>
      <c r="X536" s="9"/>
      <c r="Y536" s="9"/>
      <c r="Z536" s="9"/>
      <c r="AA536" s="9"/>
      <c r="AB536" s="9"/>
      <c r="AC536" s="9"/>
      <c r="AD536" s="27"/>
      <c r="AE536" s="42"/>
      <c r="AF536" s="27"/>
      <c r="AG536" s="42"/>
      <c r="AH536" s="27"/>
      <c r="AI536" s="9"/>
      <c r="AJ536" s="9"/>
      <c r="AK536" s="9"/>
      <c r="AM536" s="43"/>
      <c r="AN536" s="43"/>
      <c r="AQ536" s="34"/>
      <c r="AR536" s="34"/>
      <c r="AS536" s="34"/>
      <c r="AT536" s="34"/>
    </row>
    <row r="537" spans="1:46" s="11" customFormat="1" x14ac:dyDescent="0.25">
      <c r="A537" s="23"/>
      <c r="B537" s="9"/>
      <c r="C537" s="9"/>
      <c r="D537" s="9"/>
      <c r="E537" s="9"/>
      <c r="F537" s="10"/>
      <c r="G537" s="10"/>
      <c r="H537" s="27"/>
      <c r="I537" s="9"/>
      <c r="J537" s="9"/>
      <c r="K537" s="9"/>
      <c r="L537" s="9"/>
      <c r="M537" s="25"/>
      <c r="N537" s="25"/>
      <c r="O537" s="27"/>
      <c r="P537" s="27"/>
      <c r="Q537" s="27"/>
      <c r="R537" s="25"/>
      <c r="S537" s="25"/>
      <c r="T537" s="10"/>
      <c r="U537" s="9"/>
      <c r="V537" s="9"/>
      <c r="W537" s="9"/>
      <c r="X537" s="9"/>
      <c r="Y537" s="9"/>
      <c r="Z537" s="9"/>
      <c r="AA537" s="9"/>
      <c r="AB537" s="9"/>
      <c r="AC537" s="9"/>
      <c r="AD537" s="27"/>
      <c r="AE537" s="42"/>
      <c r="AF537" s="27"/>
      <c r="AG537" s="42"/>
      <c r="AH537" s="27"/>
      <c r="AI537" s="9"/>
      <c r="AJ537" s="9"/>
      <c r="AK537" s="9"/>
      <c r="AM537" s="43"/>
      <c r="AN537" s="43"/>
      <c r="AQ537" s="34"/>
      <c r="AR537" s="34"/>
      <c r="AS537" s="34"/>
      <c r="AT537" s="34"/>
    </row>
    <row r="538" spans="1:46" s="11" customFormat="1" x14ac:dyDescent="0.25">
      <c r="A538" s="23"/>
      <c r="B538" s="9"/>
      <c r="C538" s="9"/>
      <c r="D538" s="9"/>
      <c r="E538" s="9"/>
      <c r="F538" s="10"/>
      <c r="G538" s="10"/>
      <c r="H538" s="27"/>
      <c r="I538" s="9"/>
      <c r="J538" s="9"/>
      <c r="K538" s="9"/>
      <c r="L538" s="9"/>
      <c r="M538" s="25"/>
      <c r="N538" s="25"/>
      <c r="O538" s="27"/>
      <c r="P538" s="27"/>
      <c r="Q538" s="27"/>
      <c r="R538" s="25"/>
      <c r="S538" s="25"/>
      <c r="T538" s="10"/>
      <c r="U538" s="9"/>
      <c r="V538" s="9"/>
      <c r="W538" s="9"/>
      <c r="X538" s="9"/>
      <c r="Y538" s="9"/>
      <c r="Z538" s="9"/>
      <c r="AA538" s="9"/>
      <c r="AB538" s="9"/>
      <c r="AC538" s="9"/>
      <c r="AD538" s="27"/>
      <c r="AE538" s="42"/>
      <c r="AF538" s="27"/>
      <c r="AG538" s="42"/>
      <c r="AH538" s="27"/>
      <c r="AI538" s="9"/>
      <c r="AJ538" s="9"/>
      <c r="AK538" s="9"/>
      <c r="AM538" s="43"/>
      <c r="AN538" s="43"/>
      <c r="AQ538" s="34"/>
      <c r="AR538" s="34"/>
      <c r="AS538" s="34"/>
      <c r="AT538" s="34"/>
    </row>
    <row r="539" spans="1:46" s="11" customFormat="1" x14ac:dyDescent="0.25">
      <c r="A539" s="23"/>
      <c r="B539" s="9"/>
      <c r="C539" s="9"/>
      <c r="D539" s="9"/>
      <c r="E539" s="9"/>
      <c r="F539" s="10"/>
      <c r="G539" s="10"/>
      <c r="H539" s="27"/>
      <c r="I539" s="9"/>
      <c r="J539" s="9"/>
      <c r="K539" s="9"/>
      <c r="L539" s="9"/>
      <c r="M539" s="25"/>
      <c r="N539" s="25"/>
      <c r="O539" s="27"/>
      <c r="P539" s="27"/>
      <c r="Q539" s="27"/>
      <c r="R539" s="25"/>
      <c r="S539" s="25"/>
      <c r="T539" s="10"/>
      <c r="U539" s="9"/>
      <c r="V539" s="9"/>
      <c r="W539" s="9"/>
      <c r="X539" s="9"/>
      <c r="Y539" s="9"/>
      <c r="Z539" s="9"/>
      <c r="AA539" s="9"/>
      <c r="AB539" s="9"/>
      <c r="AC539" s="9"/>
      <c r="AD539" s="27"/>
      <c r="AE539" s="42"/>
      <c r="AF539" s="27"/>
      <c r="AG539" s="42"/>
      <c r="AH539" s="27"/>
      <c r="AI539" s="9"/>
      <c r="AJ539" s="9"/>
      <c r="AK539" s="9"/>
      <c r="AM539" s="43"/>
      <c r="AN539" s="43"/>
      <c r="AQ539" s="34"/>
      <c r="AR539" s="34"/>
      <c r="AS539" s="34"/>
      <c r="AT539" s="34"/>
    </row>
    <row r="540" spans="1:46" s="11" customFormat="1" x14ac:dyDescent="0.25">
      <c r="A540" s="23"/>
      <c r="B540" s="9"/>
      <c r="C540" s="9"/>
      <c r="D540" s="9"/>
      <c r="E540" s="9"/>
      <c r="F540" s="10"/>
      <c r="G540" s="10"/>
      <c r="H540" s="27"/>
      <c r="I540" s="9"/>
      <c r="J540" s="9"/>
      <c r="K540" s="9"/>
      <c r="L540" s="9"/>
      <c r="M540" s="25"/>
      <c r="N540" s="25"/>
      <c r="O540" s="27"/>
      <c r="P540" s="27"/>
      <c r="Q540" s="27"/>
      <c r="R540" s="25"/>
      <c r="S540" s="25"/>
      <c r="T540" s="10"/>
      <c r="U540" s="9"/>
      <c r="V540" s="9"/>
      <c r="W540" s="9"/>
      <c r="X540" s="9"/>
      <c r="Y540" s="9"/>
      <c r="Z540" s="9"/>
      <c r="AA540" s="9"/>
      <c r="AB540" s="9"/>
      <c r="AC540" s="9"/>
      <c r="AD540" s="27"/>
      <c r="AE540" s="42"/>
      <c r="AF540" s="27"/>
      <c r="AG540" s="42"/>
      <c r="AH540" s="27"/>
      <c r="AI540" s="9"/>
      <c r="AJ540" s="9"/>
      <c r="AK540" s="9"/>
      <c r="AM540" s="43"/>
      <c r="AN540" s="43"/>
      <c r="AQ540" s="34"/>
      <c r="AR540" s="34"/>
      <c r="AS540" s="34"/>
      <c r="AT540" s="34"/>
    </row>
    <row r="541" spans="1:46" s="11" customFormat="1" x14ac:dyDescent="0.25">
      <c r="A541" s="23"/>
      <c r="B541" s="9"/>
      <c r="C541" s="9"/>
      <c r="D541" s="9"/>
      <c r="E541" s="9"/>
      <c r="F541" s="10"/>
      <c r="G541" s="10"/>
      <c r="H541" s="27"/>
      <c r="I541" s="9"/>
      <c r="J541" s="9"/>
      <c r="K541" s="9"/>
      <c r="L541" s="9"/>
      <c r="M541" s="25"/>
      <c r="N541" s="25"/>
      <c r="O541" s="27"/>
      <c r="P541" s="27"/>
      <c r="Q541" s="27"/>
      <c r="R541" s="25"/>
      <c r="S541" s="25"/>
      <c r="T541" s="10"/>
      <c r="U541" s="9"/>
      <c r="V541" s="9"/>
      <c r="W541" s="9"/>
      <c r="X541" s="9"/>
      <c r="Y541" s="9"/>
      <c r="Z541" s="9"/>
      <c r="AA541" s="9"/>
      <c r="AB541" s="9"/>
      <c r="AC541" s="9"/>
      <c r="AD541" s="27"/>
      <c r="AE541" s="42"/>
      <c r="AF541" s="27"/>
      <c r="AG541" s="42"/>
      <c r="AH541" s="27"/>
      <c r="AI541" s="9"/>
      <c r="AJ541" s="9"/>
      <c r="AK541" s="9"/>
      <c r="AM541" s="43"/>
      <c r="AN541" s="43"/>
      <c r="AQ541" s="34"/>
      <c r="AR541" s="34"/>
      <c r="AS541" s="34"/>
      <c r="AT541" s="34"/>
    </row>
    <row r="542" spans="1:46" s="11" customFormat="1" x14ac:dyDescent="0.25">
      <c r="A542" s="23"/>
      <c r="B542" s="9"/>
      <c r="C542" s="9"/>
      <c r="D542" s="9"/>
      <c r="E542" s="9"/>
      <c r="F542" s="10"/>
      <c r="G542" s="10"/>
      <c r="H542" s="27"/>
      <c r="I542" s="9"/>
      <c r="J542" s="9"/>
      <c r="K542" s="9"/>
      <c r="L542" s="9"/>
      <c r="M542" s="25"/>
      <c r="N542" s="25"/>
      <c r="O542" s="27"/>
      <c r="P542" s="27"/>
      <c r="Q542" s="27"/>
      <c r="R542" s="25"/>
      <c r="S542" s="25"/>
      <c r="T542" s="10"/>
      <c r="U542" s="9"/>
      <c r="V542" s="9"/>
      <c r="W542" s="9"/>
      <c r="X542" s="9"/>
      <c r="Y542" s="9"/>
      <c r="Z542" s="9"/>
      <c r="AA542" s="9"/>
      <c r="AB542" s="9"/>
      <c r="AC542" s="9"/>
      <c r="AD542" s="27"/>
      <c r="AE542" s="42"/>
      <c r="AF542" s="27"/>
      <c r="AG542" s="42"/>
      <c r="AH542" s="27"/>
      <c r="AI542" s="9"/>
      <c r="AJ542" s="9"/>
      <c r="AK542" s="9"/>
      <c r="AM542" s="43"/>
      <c r="AN542" s="43"/>
      <c r="AQ542" s="34"/>
      <c r="AR542" s="34"/>
      <c r="AS542" s="34"/>
      <c r="AT542" s="34"/>
    </row>
    <row r="543" spans="1:46" s="11" customFormat="1" x14ac:dyDescent="0.25">
      <c r="A543" s="23"/>
      <c r="B543" s="9"/>
      <c r="C543" s="9"/>
      <c r="D543" s="9"/>
      <c r="E543" s="9"/>
      <c r="F543" s="10"/>
      <c r="G543" s="10"/>
      <c r="H543" s="27"/>
      <c r="I543" s="9"/>
      <c r="J543" s="9"/>
      <c r="K543" s="9"/>
      <c r="L543" s="9"/>
      <c r="M543" s="25"/>
      <c r="N543" s="25"/>
      <c r="O543" s="27"/>
      <c r="P543" s="27"/>
      <c r="Q543" s="27"/>
      <c r="R543" s="25"/>
      <c r="S543" s="25"/>
      <c r="T543" s="10"/>
      <c r="U543" s="9"/>
      <c r="V543" s="9"/>
      <c r="W543" s="9"/>
      <c r="X543" s="9"/>
      <c r="Y543" s="9"/>
      <c r="Z543" s="9"/>
      <c r="AA543" s="9"/>
      <c r="AB543" s="9"/>
      <c r="AC543" s="9"/>
      <c r="AD543" s="27"/>
      <c r="AE543" s="42"/>
      <c r="AF543" s="27"/>
      <c r="AG543" s="42"/>
      <c r="AH543" s="27"/>
      <c r="AI543" s="9"/>
      <c r="AJ543" s="9"/>
      <c r="AK543" s="9"/>
      <c r="AM543" s="43"/>
      <c r="AN543" s="43"/>
      <c r="AQ543" s="34"/>
      <c r="AR543" s="34"/>
      <c r="AS543" s="34"/>
      <c r="AT543" s="34"/>
    </row>
    <row r="544" spans="1:46" s="11" customFormat="1" x14ac:dyDescent="0.25">
      <c r="A544" s="23"/>
      <c r="B544" s="9"/>
      <c r="C544" s="9"/>
      <c r="D544" s="9"/>
      <c r="E544" s="9"/>
      <c r="F544" s="10"/>
      <c r="G544" s="10"/>
      <c r="H544" s="27"/>
      <c r="I544" s="9"/>
      <c r="J544" s="9"/>
      <c r="K544" s="9"/>
      <c r="L544" s="9"/>
      <c r="M544" s="25"/>
      <c r="N544" s="25"/>
      <c r="O544" s="27"/>
      <c r="P544" s="27"/>
      <c r="Q544" s="27"/>
      <c r="R544" s="25"/>
      <c r="S544" s="25"/>
      <c r="T544" s="10"/>
      <c r="U544" s="9"/>
      <c r="V544" s="9"/>
      <c r="W544" s="9"/>
      <c r="X544" s="9"/>
      <c r="Y544" s="9"/>
      <c r="Z544" s="9"/>
      <c r="AA544" s="9"/>
      <c r="AB544" s="9"/>
      <c r="AC544" s="9"/>
      <c r="AD544" s="27"/>
      <c r="AE544" s="42"/>
      <c r="AF544" s="27"/>
      <c r="AG544" s="42"/>
      <c r="AH544" s="27"/>
      <c r="AI544" s="9"/>
      <c r="AJ544" s="9"/>
      <c r="AK544" s="9"/>
      <c r="AM544" s="43"/>
      <c r="AN544" s="43"/>
      <c r="AQ544" s="34"/>
      <c r="AR544" s="34"/>
      <c r="AS544" s="34"/>
      <c r="AT544" s="34"/>
    </row>
    <row r="545" spans="1:46" s="11" customFormat="1" x14ac:dyDescent="0.25">
      <c r="A545" s="23"/>
      <c r="B545" s="9"/>
      <c r="C545" s="9"/>
      <c r="D545" s="9"/>
      <c r="E545" s="9"/>
      <c r="F545" s="10"/>
      <c r="G545" s="10"/>
      <c r="H545" s="27"/>
      <c r="I545" s="9"/>
      <c r="J545" s="9"/>
      <c r="K545" s="9"/>
      <c r="L545" s="9"/>
      <c r="M545" s="25"/>
      <c r="N545" s="25"/>
      <c r="O545" s="27"/>
      <c r="P545" s="27"/>
      <c r="Q545" s="27"/>
      <c r="R545" s="25"/>
      <c r="S545" s="25"/>
      <c r="T545" s="10"/>
      <c r="U545" s="9"/>
      <c r="V545" s="9"/>
      <c r="W545" s="9"/>
      <c r="X545" s="9"/>
      <c r="Y545" s="9"/>
      <c r="Z545" s="9"/>
      <c r="AA545" s="9"/>
      <c r="AB545" s="9"/>
      <c r="AC545" s="9"/>
      <c r="AD545" s="27"/>
      <c r="AE545" s="42"/>
      <c r="AF545" s="27"/>
      <c r="AG545" s="42"/>
      <c r="AH545" s="27"/>
      <c r="AI545" s="9"/>
      <c r="AJ545" s="9"/>
      <c r="AK545" s="9"/>
      <c r="AM545" s="43"/>
      <c r="AN545" s="43"/>
      <c r="AQ545" s="34"/>
      <c r="AR545" s="34"/>
      <c r="AS545" s="34"/>
      <c r="AT545" s="34"/>
    </row>
    <row r="546" spans="1:46" s="11" customFormat="1" x14ac:dyDescent="0.25">
      <c r="A546" s="23"/>
      <c r="B546" s="9"/>
      <c r="C546" s="9"/>
      <c r="D546" s="9"/>
      <c r="E546" s="9"/>
      <c r="F546" s="10"/>
      <c r="G546" s="10"/>
      <c r="H546" s="27"/>
      <c r="I546" s="9"/>
      <c r="J546" s="9"/>
      <c r="K546" s="9"/>
      <c r="L546" s="9"/>
      <c r="M546" s="25"/>
      <c r="N546" s="25"/>
      <c r="O546" s="27"/>
      <c r="P546" s="27"/>
      <c r="Q546" s="27"/>
      <c r="R546" s="25"/>
      <c r="S546" s="25"/>
      <c r="T546" s="10"/>
      <c r="U546" s="9"/>
      <c r="V546" s="9"/>
      <c r="W546" s="9"/>
      <c r="X546" s="9"/>
      <c r="Y546" s="9"/>
      <c r="Z546" s="9"/>
      <c r="AA546" s="9"/>
      <c r="AB546" s="9"/>
      <c r="AC546" s="9"/>
      <c r="AD546" s="27"/>
      <c r="AE546" s="42"/>
      <c r="AF546" s="27"/>
      <c r="AG546" s="42"/>
      <c r="AH546" s="27"/>
      <c r="AI546" s="9"/>
      <c r="AJ546" s="9"/>
      <c r="AK546" s="9"/>
      <c r="AM546" s="43"/>
      <c r="AN546" s="43"/>
      <c r="AQ546" s="34"/>
      <c r="AR546" s="34"/>
      <c r="AS546" s="34"/>
      <c r="AT546" s="34"/>
    </row>
    <row r="547" spans="1:46" s="11" customFormat="1" x14ac:dyDescent="0.25">
      <c r="A547" s="23"/>
      <c r="B547" s="9"/>
      <c r="C547" s="9"/>
      <c r="D547" s="9"/>
      <c r="E547" s="9"/>
      <c r="F547" s="10"/>
      <c r="G547" s="10"/>
      <c r="H547" s="27"/>
      <c r="I547" s="9"/>
      <c r="J547" s="9"/>
      <c r="K547" s="9"/>
      <c r="L547" s="9"/>
      <c r="M547" s="25"/>
      <c r="N547" s="25"/>
      <c r="O547" s="27"/>
      <c r="P547" s="27"/>
      <c r="Q547" s="27"/>
      <c r="R547" s="25"/>
      <c r="S547" s="25"/>
      <c r="T547" s="10"/>
      <c r="U547" s="9"/>
      <c r="V547" s="9"/>
      <c r="W547" s="9"/>
      <c r="X547" s="9"/>
      <c r="Y547" s="9"/>
      <c r="Z547" s="9"/>
      <c r="AA547" s="9"/>
      <c r="AB547" s="9"/>
      <c r="AC547" s="9"/>
      <c r="AD547" s="27"/>
      <c r="AE547" s="42"/>
      <c r="AF547" s="27"/>
      <c r="AG547" s="42"/>
      <c r="AH547" s="27"/>
      <c r="AI547" s="9"/>
      <c r="AJ547" s="9"/>
      <c r="AK547" s="9"/>
      <c r="AM547" s="43"/>
      <c r="AN547" s="43"/>
      <c r="AQ547" s="34"/>
      <c r="AR547" s="34"/>
      <c r="AS547" s="34"/>
      <c r="AT547" s="34"/>
    </row>
    <row r="548" spans="1:46" s="11" customFormat="1" x14ac:dyDescent="0.25">
      <c r="A548" s="23"/>
      <c r="B548" s="9"/>
      <c r="C548" s="9"/>
      <c r="D548" s="9"/>
      <c r="E548" s="9"/>
      <c r="F548" s="10"/>
      <c r="G548" s="10"/>
      <c r="H548" s="27"/>
      <c r="I548" s="9"/>
      <c r="J548" s="9"/>
      <c r="K548" s="9"/>
      <c r="L548" s="9"/>
      <c r="M548" s="25"/>
      <c r="N548" s="25"/>
      <c r="O548" s="27"/>
      <c r="P548" s="27"/>
      <c r="Q548" s="27"/>
      <c r="R548" s="25"/>
      <c r="S548" s="25"/>
      <c r="T548" s="10"/>
      <c r="U548" s="9"/>
      <c r="V548" s="9"/>
      <c r="W548" s="9"/>
      <c r="X548" s="9"/>
      <c r="Y548" s="9"/>
      <c r="Z548" s="9"/>
      <c r="AA548" s="9"/>
      <c r="AB548" s="9"/>
      <c r="AC548" s="9"/>
      <c r="AD548" s="27"/>
      <c r="AE548" s="42"/>
      <c r="AF548" s="27"/>
      <c r="AG548" s="42"/>
      <c r="AH548" s="27"/>
      <c r="AI548" s="9"/>
      <c r="AJ548" s="9"/>
      <c r="AK548" s="9"/>
      <c r="AM548" s="43"/>
      <c r="AN548" s="43"/>
      <c r="AQ548" s="34"/>
      <c r="AR548" s="34"/>
      <c r="AS548" s="34"/>
      <c r="AT548" s="34"/>
    </row>
    <row r="549" spans="1:46" s="11" customFormat="1" x14ac:dyDescent="0.25">
      <c r="A549" s="23"/>
      <c r="B549" s="9"/>
      <c r="C549" s="9"/>
      <c r="D549" s="9"/>
      <c r="E549" s="9"/>
      <c r="F549" s="10"/>
      <c r="G549" s="10"/>
      <c r="H549" s="27"/>
      <c r="I549" s="9"/>
      <c r="J549" s="9"/>
      <c r="K549" s="9"/>
      <c r="L549" s="9"/>
      <c r="M549" s="25"/>
      <c r="N549" s="25"/>
      <c r="O549" s="27"/>
      <c r="P549" s="27"/>
      <c r="Q549" s="27"/>
      <c r="R549" s="25"/>
      <c r="S549" s="25"/>
      <c r="T549" s="10"/>
      <c r="U549" s="9"/>
      <c r="V549" s="9"/>
      <c r="W549" s="9"/>
      <c r="X549" s="9"/>
      <c r="Y549" s="9"/>
      <c r="Z549" s="9"/>
      <c r="AA549" s="9"/>
      <c r="AB549" s="9"/>
      <c r="AC549" s="9"/>
      <c r="AD549" s="27"/>
      <c r="AE549" s="42"/>
      <c r="AF549" s="27"/>
      <c r="AG549" s="42"/>
      <c r="AH549" s="27"/>
      <c r="AI549" s="9"/>
      <c r="AJ549" s="9"/>
      <c r="AK549" s="9"/>
      <c r="AM549" s="43"/>
      <c r="AN549" s="43"/>
      <c r="AQ549" s="34"/>
      <c r="AR549" s="34"/>
      <c r="AS549" s="34"/>
      <c r="AT549" s="34"/>
    </row>
    <row r="550" spans="1:46" s="11" customFormat="1" x14ac:dyDescent="0.25">
      <c r="A550" s="23"/>
      <c r="B550" s="9"/>
      <c r="C550" s="9"/>
      <c r="D550" s="9"/>
      <c r="E550" s="9"/>
      <c r="F550" s="10"/>
      <c r="G550" s="10"/>
      <c r="H550" s="27"/>
      <c r="I550" s="9"/>
      <c r="J550" s="9"/>
      <c r="K550" s="9"/>
      <c r="L550" s="9"/>
      <c r="M550" s="25"/>
      <c r="N550" s="25"/>
      <c r="O550" s="27"/>
      <c r="P550" s="27"/>
      <c r="Q550" s="27"/>
      <c r="R550" s="25"/>
      <c r="S550" s="25"/>
      <c r="T550" s="10"/>
      <c r="U550" s="9"/>
      <c r="V550" s="9"/>
      <c r="W550" s="9"/>
      <c r="X550" s="9"/>
      <c r="Y550" s="9"/>
      <c r="Z550" s="9"/>
      <c r="AA550" s="9"/>
      <c r="AB550" s="9"/>
      <c r="AC550" s="9"/>
      <c r="AD550" s="27"/>
      <c r="AE550" s="42"/>
      <c r="AF550" s="27"/>
      <c r="AG550" s="42"/>
      <c r="AH550" s="27"/>
      <c r="AI550" s="9"/>
      <c r="AJ550" s="9"/>
      <c r="AK550" s="9"/>
      <c r="AM550" s="43"/>
      <c r="AN550" s="43"/>
      <c r="AQ550" s="34"/>
      <c r="AR550" s="34"/>
      <c r="AS550" s="34"/>
      <c r="AT550" s="34"/>
    </row>
    <row r="551" spans="1:46" s="11" customFormat="1" x14ac:dyDescent="0.25">
      <c r="A551" s="23"/>
      <c r="B551" s="9"/>
      <c r="C551" s="9"/>
      <c r="D551" s="9"/>
      <c r="E551" s="9"/>
      <c r="F551" s="10"/>
      <c r="G551" s="10"/>
      <c r="H551" s="27"/>
      <c r="I551" s="9"/>
      <c r="J551" s="9"/>
      <c r="K551" s="9"/>
      <c r="L551" s="9"/>
      <c r="M551" s="25"/>
      <c r="N551" s="25"/>
      <c r="O551" s="27"/>
      <c r="P551" s="27"/>
      <c r="Q551" s="27"/>
      <c r="R551" s="25"/>
      <c r="S551" s="25"/>
      <c r="T551" s="10"/>
      <c r="U551" s="9"/>
      <c r="V551" s="9"/>
      <c r="W551" s="9"/>
      <c r="X551" s="9"/>
      <c r="Y551" s="9"/>
      <c r="Z551" s="9"/>
      <c r="AA551" s="9"/>
      <c r="AB551" s="9"/>
      <c r="AC551" s="9"/>
      <c r="AD551" s="27"/>
      <c r="AE551" s="42"/>
      <c r="AF551" s="27"/>
      <c r="AG551" s="42"/>
      <c r="AH551" s="27"/>
      <c r="AI551" s="9"/>
      <c r="AJ551" s="9"/>
      <c r="AK551" s="9"/>
      <c r="AM551" s="43"/>
      <c r="AN551" s="43"/>
      <c r="AQ551" s="34"/>
      <c r="AR551" s="34"/>
      <c r="AS551" s="34"/>
      <c r="AT551" s="34"/>
    </row>
    <row r="552" spans="1:46" s="11" customFormat="1" x14ac:dyDescent="0.25">
      <c r="A552" s="23"/>
      <c r="B552" s="9"/>
      <c r="C552" s="9"/>
      <c r="D552" s="9"/>
      <c r="E552" s="9"/>
      <c r="F552" s="10"/>
      <c r="G552" s="10"/>
      <c r="H552" s="27"/>
      <c r="I552" s="9"/>
      <c r="J552" s="9"/>
      <c r="K552" s="9"/>
      <c r="L552" s="9"/>
      <c r="M552" s="25"/>
      <c r="N552" s="25"/>
      <c r="O552" s="27"/>
      <c r="P552" s="27"/>
      <c r="Q552" s="27"/>
      <c r="R552" s="25"/>
      <c r="S552" s="25"/>
      <c r="T552" s="10"/>
      <c r="U552" s="9"/>
      <c r="V552" s="9"/>
      <c r="W552" s="9"/>
      <c r="X552" s="9"/>
      <c r="Y552" s="9"/>
      <c r="Z552" s="9"/>
      <c r="AA552" s="9"/>
      <c r="AB552" s="9"/>
      <c r="AC552" s="9"/>
      <c r="AD552" s="27"/>
      <c r="AE552" s="42"/>
      <c r="AF552" s="27"/>
      <c r="AG552" s="42"/>
      <c r="AH552" s="27"/>
      <c r="AI552" s="9"/>
      <c r="AJ552" s="9"/>
      <c r="AK552" s="9"/>
      <c r="AM552" s="43"/>
      <c r="AN552" s="43"/>
      <c r="AQ552" s="34"/>
      <c r="AR552" s="34"/>
      <c r="AS552" s="34"/>
      <c r="AT552" s="34"/>
    </row>
    <row r="553" spans="1:46" s="11" customFormat="1" x14ac:dyDescent="0.25">
      <c r="A553" s="23"/>
      <c r="B553" s="9"/>
      <c r="C553" s="9"/>
      <c r="D553" s="9"/>
      <c r="E553" s="9"/>
      <c r="F553" s="10"/>
      <c r="G553" s="10"/>
      <c r="H553" s="27"/>
      <c r="I553" s="9"/>
      <c r="J553" s="9"/>
      <c r="K553" s="9"/>
      <c r="L553" s="9"/>
      <c r="M553" s="25"/>
      <c r="N553" s="25"/>
      <c r="O553" s="27"/>
      <c r="P553" s="27"/>
      <c r="Q553" s="27"/>
      <c r="R553" s="25"/>
      <c r="S553" s="25"/>
      <c r="T553" s="10"/>
      <c r="U553" s="9"/>
      <c r="V553" s="9"/>
      <c r="W553" s="9"/>
      <c r="X553" s="9"/>
      <c r="Y553" s="9"/>
      <c r="Z553" s="9"/>
      <c r="AA553" s="9"/>
      <c r="AB553" s="9"/>
      <c r="AC553" s="9"/>
      <c r="AD553" s="27"/>
      <c r="AE553" s="42"/>
      <c r="AF553" s="27"/>
      <c r="AG553" s="42"/>
      <c r="AH553" s="27"/>
      <c r="AI553" s="9"/>
      <c r="AJ553" s="9"/>
      <c r="AK553" s="9"/>
      <c r="AM553" s="43"/>
      <c r="AN553" s="43"/>
      <c r="AQ553" s="34"/>
      <c r="AR553" s="34"/>
      <c r="AS553" s="34"/>
      <c r="AT553" s="34"/>
    </row>
    <row r="554" spans="1:46" s="11" customFormat="1" x14ac:dyDescent="0.25">
      <c r="A554" s="23"/>
      <c r="B554" s="9"/>
      <c r="C554" s="9"/>
      <c r="D554" s="9"/>
      <c r="E554" s="9"/>
      <c r="F554" s="10"/>
      <c r="G554" s="10"/>
      <c r="H554" s="27"/>
      <c r="I554" s="9"/>
      <c r="J554" s="9"/>
      <c r="K554" s="9"/>
      <c r="L554" s="9"/>
      <c r="M554" s="25"/>
      <c r="N554" s="25"/>
      <c r="O554" s="27"/>
      <c r="P554" s="27"/>
      <c r="Q554" s="27"/>
      <c r="R554" s="25"/>
      <c r="S554" s="25"/>
      <c r="T554" s="10"/>
      <c r="U554" s="9"/>
      <c r="V554" s="9"/>
      <c r="W554" s="9"/>
      <c r="X554" s="9"/>
      <c r="Y554" s="9"/>
      <c r="Z554" s="9"/>
      <c r="AA554" s="9"/>
      <c r="AB554" s="9"/>
      <c r="AC554" s="9"/>
      <c r="AD554" s="27"/>
      <c r="AE554" s="42"/>
      <c r="AF554" s="27"/>
      <c r="AG554" s="42"/>
      <c r="AH554" s="27"/>
      <c r="AI554" s="9"/>
      <c r="AJ554" s="9"/>
      <c r="AK554" s="9"/>
      <c r="AM554" s="43"/>
      <c r="AN554" s="43"/>
      <c r="AQ554" s="34"/>
      <c r="AR554" s="34"/>
      <c r="AS554" s="34"/>
      <c r="AT554" s="34"/>
    </row>
    <row r="555" spans="1:46" s="11" customFormat="1" x14ac:dyDescent="0.25">
      <c r="A555" s="23"/>
      <c r="B555" s="9"/>
      <c r="C555" s="9"/>
      <c r="D555" s="9"/>
      <c r="E555" s="9"/>
      <c r="F555" s="10"/>
      <c r="G555" s="10"/>
      <c r="H555" s="27"/>
      <c r="I555" s="9"/>
      <c r="J555" s="9"/>
      <c r="K555" s="9"/>
      <c r="L555" s="9"/>
      <c r="M555" s="25"/>
      <c r="N555" s="25"/>
      <c r="O555" s="27"/>
      <c r="P555" s="27"/>
      <c r="Q555" s="27"/>
      <c r="R555" s="25"/>
      <c r="S555" s="25"/>
      <c r="T555" s="10"/>
      <c r="U555" s="9"/>
      <c r="V555" s="9"/>
      <c r="W555" s="9"/>
      <c r="X555" s="9"/>
      <c r="Y555" s="9"/>
      <c r="Z555" s="9"/>
      <c r="AA555" s="9"/>
      <c r="AB555" s="9"/>
      <c r="AC555" s="9"/>
      <c r="AD555" s="27"/>
      <c r="AE555" s="42"/>
      <c r="AF555" s="27"/>
      <c r="AG555" s="42"/>
      <c r="AH555" s="27"/>
      <c r="AI555" s="9"/>
      <c r="AJ555" s="9"/>
      <c r="AK555" s="9"/>
      <c r="AM555" s="43"/>
      <c r="AN555" s="43"/>
      <c r="AQ555" s="34"/>
      <c r="AR555" s="34"/>
      <c r="AS555" s="34"/>
      <c r="AT555" s="34"/>
    </row>
    <row r="556" spans="1:46" s="11" customFormat="1" x14ac:dyDescent="0.25">
      <c r="A556" s="23"/>
      <c r="B556" s="9"/>
      <c r="C556" s="9"/>
      <c r="D556" s="9"/>
      <c r="E556" s="9"/>
      <c r="F556" s="10"/>
      <c r="G556" s="10"/>
      <c r="H556" s="27"/>
      <c r="I556" s="9"/>
      <c r="J556" s="9"/>
      <c r="K556" s="9"/>
      <c r="L556" s="9"/>
      <c r="M556" s="25"/>
      <c r="N556" s="25"/>
      <c r="O556" s="27"/>
      <c r="P556" s="27"/>
      <c r="Q556" s="27"/>
      <c r="R556" s="25"/>
      <c r="S556" s="25"/>
      <c r="T556" s="10"/>
      <c r="U556" s="9"/>
      <c r="V556" s="9"/>
      <c r="W556" s="9"/>
      <c r="X556" s="9"/>
      <c r="Y556" s="9"/>
      <c r="Z556" s="9"/>
      <c r="AA556" s="9"/>
      <c r="AB556" s="9"/>
      <c r="AC556" s="9"/>
      <c r="AD556" s="27"/>
      <c r="AE556" s="42"/>
      <c r="AF556" s="27"/>
      <c r="AG556" s="42"/>
      <c r="AH556" s="27"/>
      <c r="AI556" s="9"/>
      <c r="AJ556" s="9"/>
      <c r="AK556" s="9"/>
      <c r="AM556" s="43"/>
      <c r="AN556" s="43"/>
      <c r="AQ556" s="34"/>
      <c r="AR556" s="34"/>
      <c r="AS556" s="34"/>
      <c r="AT556" s="34"/>
    </row>
    <row r="557" spans="1:46" s="11" customFormat="1" x14ac:dyDescent="0.25">
      <c r="A557" s="23"/>
      <c r="B557" s="9"/>
      <c r="C557" s="9"/>
      <c r="D557" s="9"/>
      <c r="E557" s="9"/>
      <c r="F557" s="10"/>
      <c r="G557" s="10"/>
      <c r="H557" s="27"/>
      <c r="I557" s="9"/>
      <c r="J557" s="9"/>
      <c r="K557" s="9"/>
      <c r="L557" s="9"/>
      <c r="M557" s="25"/>
      <c r="N557" s="25"/>
      <c r="O557" s="27"/>
      <c r="P557" s="27"/>
      <c r="Q557" s="27"/>
      <c r="R557" s="25"/>
      <c r="S557" s="25"/>
      <c r="T557" s="10"/>
      <c r="U557" s="9"/>
      <c r="V557" s="9"/>
      <c r="W557" s="9"/>
      <c r="X557" s="9"/>
      <c r="Y557" s="9"/>
      <c r="Z557" s="9"/>
      <c r="AA557" s="9"/>
      <c r="AB557" s="9"/>
      <c r="AC557" s="9"/>
      <c r="AD557" s="27"/>
      <c r="AE557" s="42"/>
      <c r="AF557" s="27"/>
      <c r="AG557" s="42"/>
      <c r="AH557" s="27"/>
      <c r="AI557" s="9"/>
      <c r="AJ557" s="9"/>
      <c r="AK557" s="9"/>
      <c r="AM557" s="43"/>
      <c r="AN557" s="43"/>
      <c r="AQ557" s="34"/>
      <c r="AR557" s="34"/>
      <c r="AS557" s="34"/>
      <c r="AT557" s="34"/>
    </row>
    <row r="558" spans="1:46" s="11" customFormat="1" x14ac:dyDescent="0.25">
      <c r="A558" s="23"/>
      <c r="B558" s="9"/>
      <c r="C558" s="9"/>
      <c r="D558" s="9"/>
      <c r="E558" s="9"/>
      <c r="F558" s="10"/>
      <c r="G558" s="10"/>
      <c r="H558" s="27"/>
      <c r="I558" s="9"/>
      <c r="J558" s="9"/>
      <c r="K558" s="9"/>
      <c r="L558" s="9"/>
      <c r="M558" s="25"/>
      <c r="N558" s="25"/>
      <c r="O558" s="27"/>
      <c r="P558" s="27"/>
      <c r="Q558" s="27"/>
      <c r="R558" s="25"/>
      <c r="S558" s="25"/>
      <c r="T558" s="10"/>
      <c r="U558" s="9"/>
      <c r="V558" s="9"/>
      <c r="W558" s="9"/>
      <c r="X558" s="9"/>
      <c r="Y558" s="9"/>
      <c r="Z558" s="9"/>
      <c r="AA558" s="9"/>
      <c r="AB558" s="9"/>
      <c r="AC558" s="9"/>
      <c r="AD558" s="27"/>
      <c r="AE558" s="42"/>
      <c r="AF558" s="27"/>
      <c r="AG558" s="42"/>
      <c r="AH558" s="27"/>
      <c r="AI558" s="9"/>
      <c r="AJ558" s="9"/>
      <c r="AK558" s="9"/>
      <c r="AM558" s="43"/>
      <c r="AN558" s="43"/>
      <c r="AQ558" s="34"/>
      <c r="AR558" s="34"/>
      <c r="AS558" s="34"/>
      <c r="AT558" s="34"/>
    </row>
    <row r="559" spans="1:46" s="11" customFormat="1" x14ac:dyDescent="0.25">
      <c r="A559" s="23"/>
      <c r="B559" s="9"/>
      <c r="C559" s="9"/>
      <c r="D559" s="9"/>
      <c r="E559" s="9"/>
      <c r="F559" s="10"/>
      <c r="G559" s="10"/>
      <c r="H559" s="27"/>
      <c r="I559" s="9"/>
      <c r="J559" s="9"/>
      <c r="K559" s="9"/>
      <c r="L559" s="9"/>
      <c r="M559" s="25"/>
      <c r="N559" s="25"/>
      <c r="O559" s="27"/>
      <c r="P559" s="27"/>
      <c r="Q559" s="27"/>
      <c r="R559" s="25"/>
      <c r="S559" s="25"/>
      <c r="T559" s="10"/>
      <c r="U559" s="9"/>
      <c r="V559" s="9"/>
      <c r="W559" s="9"/>
      <c r="X559" s="9"/>
      <c r="Y559" s="9"/>
      <c r="Z559" s="9"/>
      <c r="AA559" s="9"/>
      <c r="AB559" s="9"/>
      <c r="AC559" s="9"/>
      <c r="AD559" s="27"/>
      <c r="AE559" s="42"/>
      <c r="AF559" s="27"/>
      <c r="AG559" s="42"/>
      <c r="AH559" s="27"/>
      <c r="AI559" s="9"/>
      <c r="AJ559" s="9"/>
      <c r="AK559" s="9"/>
      <c r="AM559" s="43"/>
      <c r="AN559" s="43"/>
      <c r="AQ559" s="34"/>
      <c r="AR559" s="34"/>
      <c r="AS559" s="34"/>
      <c r="AT559" s="34"/>
    </row>
    <row r="560" spans="1:46" s="11" customFormat="1" x14ac:dyDescent="0.25">
      <c r="A560" s="23"/>
      <c r="B560" s="9"/>
      <c r="C560" s="9"/>
      <c r="D560" s="9"/>
      <c r="E560" s="9"/>
      <c r="F560" s="10"/>
      <c r="G560" s="10"/>
      <c r="H560" s="27"/>
      <c r="I560" s="9"/>
      <c r="J560" s="9"/>
      <c r="K560" s="9"/>
      <c r="L560" s="9"/>
      <c r="M560" s="25"/>
      <c r="N560" s="25"/>
      <c r="O560" s="27"/>
      <c r="P560" s="27"/>
      <c r="Q560" s="27"/>
      <c r="R560" s="25"/>
      <c r="S560" s="25"/>
      <c r="T560" s="10"/>
      <c r="U560" s="9"/>
      <c r="V560" s="9"/>
      <c r="W560" s="9"/>
      <c r="X560" s="9"/>
      <c r="Y560" s="9"/>
      <c r="Z560" s="9"/>
      <c r="AA560" s="9"/>
      <c r="AB560" s="9"/>
      <c r="AC560" s="9"/>
      <c r="AD560" s="27"/>
      <c r="AE560" s="42"/>
      <c r="AF560" s="27"/>
      <c r="AG560" s="42"/>
      <c r="AH560" s="27"/>
      <c r="AI560" s="9"/>
      <c r="AJ560" s="9"/>
      <c r="AK560" s="9"/>
      <c r="AM560" s="43"/>
      <c r="AN560" s="43"/>
      <c r="AQ560" s="34"/>
      <c r="AR560" s="34"/>
      <c r="AS560" s="34"/>
      <c r="AT560" s="34"/>
    </row>
    <row r="561" spans="1:46" s="11" customFormat="1" x14ac:dyDescent="0.25">
      <c r="A561" s="23"/>
      <c r="B561" s="9"/>
      <c r="C561" s="9"/>
      <c r="D561" s="9"/>
      <c r="E561" s="9"/>
      <c r="F561" s="10"/>
      <c r="G561" s="10"/>
      <c r="H561" s="27"/>
      <c r="I561" s="9"/>
      <c r="J561" s="9"/>
      <c r="K561" s="9"/>
      <c r="L561" s="9"/>
      <c r="M561" s="25"/>
      <c r="N561" s="25"/>
      <c r="O561" s="27"/>
      <c r="P561" s="27"/>
      <c r="Q561" s="27"/>
      <c r="R561" s="25"/>
      <c r="S561" s="25"/>
      <c r="T561" s="10"/>
      <c r="U561" s="9"/>
      <c r="V561" s="9"/>
      <c r="W561" s="9"/>
      <c r="X561" s="9"/>
      <c r="Y561" s="9"/>
      <c r="Z561" s="9"/>
      <c r="AA561" s="9"/>
      <c r="AB561" s="9"/>
      <c r="AC561" s="9"/>
      <c r="AD561" s="27"/>
      <c r="AE561" s="42"/>
      <c r="AF561" s="27"/>
      <c r="AG561" s="42"/>
      <c r="AH561" s="27"/>
      <c r="AI561" s="9"/>
      <c r="AJ561" s="9"/>
      <c r="AK561" s="9"/>
      <c r="AM561" s="43"/>
      <c r="AN561" s="43"/>
      <c r="AQ561" s="34"/>
      <c r="AR561" s="34"/>
      <c r="AS561" s="34"/>
      <c r="AT561" s="34"/>
    </row>
    <row r="562" spans="1:46" s="11" customFormat="1" x14ac:dyDescent="0.25">
      <c r="A562" s="23"/>
      <c r="B562" s="9"/>
      <c r="C562" s="9"/>
      <c r="D562" s="9"/>
      <c r="E562" s="9"/>
      <c r="F562" s="10"/>
      <c r="G562" s="10"/>
      <c r="H562" s="27"/>
      <c r="I562" s="9"/>
      <c r="J562" s="9"/>
      <c r="K562" s="9"/>
      <c r="L562" s="9"/>
      <c r="M562" s="25"/>
      <c r="N562" s="25"/>
      <c r="O562" s="27"/>
      <c r="P562" s="27"/>
      <c r="Q562" s="27"/>
      <c r="R562" s="25"/>
      <c r="S562" s="25"/>
      <c r="T562" s="10"/>
      <c r="U562" s="9"/>
      <c r="V562" s="9"/>
      <c r="W562" s="9"/>
      <c r="X562" s="9"/>
      <c r="Y562" s="9"/>
      <c r="Z562" s="9"/>
      <c r="AA562" s="9"/>
      <c r="AB562" s="9"/>
      <c r="AC562" s="9"/>
      <c r="AD562" s="27"/>
      <c r="AE562" s="42"/>
      <c r="AF562" s="27"/>
      <c r="AG562" s="42"/>
      <c r="AH562" s="27"/>
      <c r="AI562" s="9"/>
      <c r="AJ562" s="9"/>
      <c r="AK562" s="9"/>
      <c r="AM562" s="43"/>
      <c r="AN562" s="43"/>
      <c r="AQ562" s="34"/>
      <c r="AR562" s="34"/>
      <c r="AS562" s="34"/>
      <c r="AT562" s="34"/>
    </row>
    <row r="563" spans="1:46" s="11" customFormat="1" x14ac:dyDescent="0.25">
      <c r="A563" s="23"/>
      <c r="B563" s="9"/>
      <c r="C563" s="9"/>
      <c r="D563" s="9"/>
      <c r="E563" s="9"/>
      <c r="F563" s="10"/>
      <c r="G563" s="10"/>
      <c r="H563" s="27"/>
      <c r="I563" s="9"/>
      <c r="J563" s="9"/>
      <c r="K563" s="9"/>
      <c r="L563" s="9"/>
      <c r="M563" s="25"/>
      <c r="N563" s="25"/>
      <c r="O563" s="27"/>
      <c r="P563" s="27"/>
      <c r="Q563" s="27"/>
      <c r="R563" s="25"/>
      <c r="S563" s="25"/>
      <c r="T563" s="10"/>
      <c r="U563" s="9"/>
      <c r="V563" s="9"/>
      <c r="W563" s="9"/>
      <c r="X563" s="9"/>
      <c r="Y563" s="9"/>
      <c r="Z563" s="9"/>
      <c r="AA563" s="9"/>
      <c r="AB563" s="9"/>
      <c r="AC563" s="9"/>
      <c r="AD563" s="27"/>
      <c r="AE563" s="42"/>
      <c r="AF563" s="27"/>
      <c r="AG563" s="42"/>
      <c r="AH563" s="27"/>
      <c r="AI563" s="9"/>
      <c r="AJ563" s="9"/>
      <c r="AK563" s="9"/>
      <c r="AM563" s="43"/>
      <c r="AN563" s="43"/>
      <c r="AQ563" s="34"/>
      <c r="AR563" s="34"/>
      <c r="AS563" s="34"/>
      <c r="AT563" s="34"/>
    </row>
    <row r="564" spans="1:46" s="11" customFormat="1" x14ac:dyDescent="0.25">
      <c r="A564" s="23"/>
      <c r="B564" s="9"/>
      <c r="C564" s="9"/>
      <c r="D564" s="9"/>
      <c r="E564" s="9"/>
      <c r="F564" s="10"/>
      <c r="G564" s="10"/>
      <c r="H564" s="27"/>
      <c r="I564" s="9"/>
      <c r="J564" s="9"/>
      <c r="K564" s="9"/>
      <c r="L564" s="9"/>
      <c r="M564" s="25"/>
      <c r="N564" s="25"/>
      <c r="O564" s="27"/>
      <c r="P564" s="27"/>
      <c r="Q564" s="27"/>
      <c r="R564" s="25"/>
      <c r="S564" s="25"/>
      <c r="T564" s="10"/>
      <c r="U564" s="9"/>
      <c r="V564" s="9"/>
      <c r="W564" s="9"/>
      <c r="X564" s="9"/>
      <c r="Y564" s="9"/>
      <c r="Z564" s="9"/>
      <c r="AA564" s="9"/>
      <c r="AB564" s="9"/>
      <c r="AC564" s="9"/>
      <c r="AD564" s="27"/>
      <c r="AE564" s="42"/>
      <c r="AF564" s="27"/>
      <c r="AG564" s="42"/>
      <c r="AH564" s="27"/>
      <c r="AI564" s="9"/>
      <c r="AJ564" s="9"/>
      <c r="AK564" s="9"/>
      <c r="AM564" s="43"/>
      <c r="AN564" s="43"/>
      <c r="AQ564" s="34"/>
      <c r="AR564" s="34"/>
      <c r="AS564" s="34"/>
      <c r="AT564" s="34"/>
    </row>
    <row r="565" spans="1:46" s="11" customFormat="1" x14ac:dyDescent="0.25">
      <c r="A565" s="23"/>
      <c r="B565" s="9"/>
      <c r="C565" s="9"/>
      <c r="D565" s="9"/>
      <c r="E565" s="9"/>
      <c r="F565" s="10"/>
      <c r="G565" s="10"/>
      <c r="H565" s="27"/>
      <c r="I565" s="9"/>
      <c r="J565" s="9"/>
      <c r="K565" s="9"/>
      <c r="L565" s="9"/>
      <c r="M565" s="25"/>
      <c r="N565" s="25"/>
      <c r="O565" s="27"/>
      <c r="P565" s="27"/>
      <c r="Q565" s="27"/>
      <c r="R565" s="25"/>
      <c r="S565" s="25"/>
      <c r="T565" s="10"/>
      <c r="U565" s="9"/>
      <c r="V565" s="9"/>
      <c r="W565" s="9"/>
      <c r="X565" s="9"/>
      <c r="Y565" s="9"/>
      <c r="Z565" s="9"/>
      <c r="AA565" s="9"/>
      <c r="AB565" s="9"/>
      <c r="AC565" s="9"/>
      <c r="AD565" s="27"/>
      <c r="AE565" s="42"/>
      <c r="AF565" s="27"/>
      <c r="AG565" s="42"/>
      <c r="AH565" s="27"/>
      <c r="AI565" s="9"/>
      <c r="AJ565" s="9"/>
      <c r="AK565" s="9"/>
      <c r="AM565" s="43"/>
      <c r="AN565" s="43"/>
      <c r="AQ565" s="34"/>
      <c r="AR565" s="34"/>
      <c r="AS565" s="34"/>
      <c r="AT565" s="34"/>
    </row>
    <row r="566" spans="1:46" s="11" customFormat="1" x14ac:dyDescent="0.25">
      <c r="A566" s="23"/>
      <c r="B566" s="9"/>
      <c r="C566" s="9"/>
      <c r="D566" s="9"/>
      <c r="E566" s="9"/>
      <c r="F566" s="10"/>
      <c r="G566" s="10"/>
      <c r="H566" s="27"/>
      <c r="I566" s="9"/>
      <c r="J566" s="9"/>
      <c r="K566" s="9"/>
      <c r="L566" s="9"/>
      <c r="M566" s="25"/>
      <c r="N566" s="25"/>
      <c r="O566" s="27"/>
      <c r="P566" s="27"/>
      <c r="Q566" s="27"/>
      <c r="R566" s="25"/>
      <c r="S566" s="25"/>
      <c r="T566" s="10"/>
      <c r="U566" s="9"/>
      <c r="V566" s="9"/>
      <c r="W566" s="9"/>
      <c r="X566" s="9"/>
      <c r="Y566" s="9"/>
      <c r="Z566" s="9"/>
      <c r="AA566" s="9"/>
      <c r="AB566" s="9"/>
      <c r="AC566" s="9"/>
      <c r="AD566" s="27"/>
      <c r="AE566" s="42"/>
      <c r="AF566" s="27"/>
      <c r="AG566" s="42"/>
      <c r="AH566" s="27"/>
      <c r="AI566" s="9"/>
      <c r="AJ566" s="9"/>
      <c r="AK566" s="9"/>
      <c r="AM566" s="43"/>
      <c r="AN566" s="43"/>
      <c r="AQ566" s="34"/>
      <c r="AR566" s="34"/>
      <c r="AS566" s="34"/>
      <c r="AT566" s="34"/>
    </row>
    <row r="567" spans="1:46" s="11" customFormat="1" x14ac:dyDescent="0.25">
      <c r="A567" s="23"/>
      <c r="B567" s="9"/>
      <c r="C567" s="9"/>
      <c r="D567" s="9"/>
      <c r="E567" s="9"/>
      <c r="F567" s="10"/>
      <c r="G567" s="10"/>
      <c r="H567" s="27"/>
      <c r="I567" s="9"/>
      <c r="J567" s="9"/>
      <c r="K567" s="9"/>
      <c r="L567" s="9"/>
      <c r="M567" s="25"/>
      <c r="N567" s="25"/>
      <c r="O567" s="27"/>
      <c r="P567" s="27"/>
      <c r="Q567" s="27"/>
      <c r="R567" s="25"/>
      <c r="S567" s="25"/>
      <c r="T567" s="10"/>
      <c r="U567" s="9"/>
      <c r="V567" s="9"/>
      <c r="W567" s="9"/>
      <c r="X567" s="9"/>
      <c r="Y567" s="9"/>
      <c r="Z567" s="9"/>
      <c r="AA567" s="9"/>
      <c r="AB567" s="9"/>
      <c r="AC567" s="9"/>
      <c r="AD567" s="27"/>
      <c r="AE567" s="42"/>
      <c r="AF567" s="27"/>
      <c r="AG567" s="42"/>
      <c r="AH567" s="27"/>
      <c r="AI567" s="9"/>
      <c r="AJ567" s="9"/>
      <c r="AK567" s="9"/>
      <c r="AM567" s="43"/>
      <c r="AN567" s="43"/>
      <c r="AQ567" s="34"/>
      <c r="AR567" s="34"/>
      <c r="AS567" s="34"/>
      <c r="AT567" s="34"/>
    </row>
    <row r="568" spans="1:46" s="11" customFormat="1" x14ac:dyDescent="0.25">
      <c r="A568" s="23"/>
      <c r="B568" s="9"/>
      <c r="C568" s="9"/>
      <c r="D568" s="9"/>
      <c r="E568" s="9"/>
      <c r="F568" s="10"/>
      <c r="G568" s="10"/>
      <c r="H568" s="27"/>
      <c r="I568" s="9"/>
      <c r="J568" s="9"/>
      <c r="K568" s="9"/>
      <c r="L568" s="9"/>
      <c r="M568" s="25"/>
      <c r="N568" s="25"/>
      <c r="O568" s="27"/>
      <c r="P568" s="27"/>
      <c r="Q568" s="27"/>
      <c r="R568" s="25"/>
      <c r="S568" s="25"/>
      <c r="T568" s="10"/>
      <c r="U568" s="9"/>
      <c r="V568" s="9"/>
      <c r="W568" s="9"/>
      <c r="X568" s="9"/>
      <c r="Y568" s="9"/>
      <c r="Z568" s="9"/>
      <c r="AA568" s="9"/>
      <c r="AB568" s="9"/>
      <c r="AC568" s="9"/>
      <c r="AD568" s="27"/>
      <c r="AE568" s="42"/>
      <c r="AF568" s="27"/>
      <c r="AG568" s="42"/>
      <c r="AH568" s="27"/>
      <c r="AI568" s="9"/>
      <c r="AJ568" s="9"/>
      <c r="AK568" s="9"/>
      <c r="AM568" s="43"/>
      <c r="AN568" s="43"/>
      <c r="AQ568" s="34"/>
      <c r="AR568" s="34"/>
      <c r="AS568" s="34"/>
      <c r="AT568" s="34"/>
    </row>
    <row r="569" spans="1:46" s="11" customFormat="1" x14ac:dyDescent="0.25">
      <c r="A569" s="23"/>
      <c r="B569" s="9"/>
      <c r="C569" s="9"/>
      <c r="D569" s="9"/>
      <c r="E569" s="9"/>
      <c r="F569" s="10"/>
      <c r="G569" s="10"/>
      <c r="H569" s="27"/>
      <c r="I569" s="9"/>
      <c r="J569" s="9"/>
      <c r="K569" s="9"/>
      <c r="L569" s="9"/>
      <c r="M569" s="25"/>
      <c r="N569" s="25"/>
      <c r="O569" s="27"/>
      <c r="P569" s="27"/>
      <c r="Q569" s="27"/>
      <c r="R569" s="25"/>
      <c r="S569" s="25"/>
      <c r="T569" s="10"/>
      <c r="U569" s="9"/>
      <c r="V569" s="9"/>
      <c r="W569" s="9"/>
      <c r="X569" s="9"/>
      <c r="Y569" s="9"/>
      <c r="Z569" s="9"/>
      <c r="AA569" s="9"/>
      <c r="AB569" s="9"/>
      <c r="AC569" s="9"/>
      <c r="AD569" s="27"/>
      <c r="AE569" s="42"/>
      <c r="AF569" s="27"/>
      <c r="AG569" s="42"/>
      <c r="AH569" s="27"/>
      <c r="AI569" s="9"/>
      <c r="AJ569" s="9"/>
      <c r="AK569" s="9"/>
      <c r="AM569" s="43"/>
      <c r="AN569" s="43"/>
      <c r="AQ569" s="34"/>
      <c r="AR569" s="34"/>
      <c r="AS569" s="34"/>
      <c r="AT569" s="34"/>
    </row>
    <row r="570" spans="1:46" s="11" customFormat="1" x14ac:dyDescent="0.25">
      <c r="A570" s="23"/>
      <c r="B570" s="9"/>
      <c r="C570" s="9"/>
      <c r="D570" s="9"/>
      <c r="E570" s="9"/>
      <c r="F570" s="10"/>
      <c r="G570" s="10"/>
      <c r="H570" s="27"/>
      <c r="I570" s="9"/>
      <c r="J570" s="9"/>
      <c r="K570" s="9"/>
      <c r="L570" s="9"/>
      <c r="M570" s="25"/>
      <c r="N570" s="25"/>
      <c r="O570" s="27"/>
      <c r="P570" s="27"/>
      <c r="Q570" s="27"/>
      <c r="R570" s="25"/>
      <c r="S570" s="25"/>
      <c r="T570" s="10"/>
      <c r="U570" s="9"/>
      <c r="V570" s="9"/>
      <c r="W570" s="9"/>
      <c r="X570" s="9"/>
      <c r="Y570" s="9"/>
      <c r="Z570" s="9"/>
      <c r="AA570" s="9"/>
      <c r="AB570" s="9"/>
      <c r="AC570" s="9"/>
      <c r="AD570" s="27"/>
      <c r="AE570" s="42"/>
      <c r="AF570" s="27"/>
      <c r="AG570" s="42"/>
      <c r="AH570" s="27"/>
      <c r="AI570" s="9"/>
      <c r="AJ570" s="9"/>
      <c r="AK570" s="9"/>
      <c r="AM570" s="43"/>
      <c r="AN570" s="43"/>
      <c r="AQ570" s="34"/>
      <c r="AR570" s="34"/>
      <c r="AS570" s="34"/>
      <c r="AT570" s="34"/>
    </row>
    <row r="571" spans="1:46" s="11" customFormat="1" x14ac:dyDescent="0.25">
      <c r="A571" s="23"/>
      <c r="B571" s="9"/>
      <c r="C571" s="9"/>
      <c r="D571" s="9"/>
      <c r="E571" s="9"/>
      <c r="F571" s="10"/>
      <c r="G571" s="10"/>
      <c r="H571" s="27"/>
      <c r="I571" s="9"/>
      <c r="J571" s="9"/>
      <c r="K571" s="9"/>
      <c r="L571" s="9"/>
      <c r="M571" s="25"/>
      <c r="N571" s="25"/>
      <c r="O571" s="27"/>
      <c r="P571" s="27"/>
      <c r="Q571" s="27"/>
      <c r="R571" s="25"/>
      <c r="S571" s="25"/>
      <c r="T571" s="10"/>
      <c r="U571" s="9"/>
      <c r="V571" s="9"/>
      <c r="W571" s="9"/>
      <c r="X571" s="9"/>
      <c r="Y571" s="9"/>
      <c r="Z571" s="9"/>
      <c r="AA571" s="9"/>
      <c r="AB571" s="9"/>
      <c r="AC571" s="9"/>
      <c r="AD571" s="27"/>
      <c r="AE571" s="42"/>
      <c r="AF571" s="27"/>
      <c r="AG571" s="42"/>
      <c r="AH571" s="27"/>
      <c r="AI571" s="9"/>
      <c r="AJ571" s="9"/>
      <c r="AK571" s="9"/>
      <c r="AM571" s="43"/>
      <c r="AN571" s="43"/>
      <c r="AQ571" s="34"/>
      <c r="AR571" s="34"/>
      <c r="AS571" s="34"/>
      <c r="AT571" s="34"/>
    </row>
    <row r="572" spans="1:46" s="11" customFormat="1" x14ac:dyDescent="0.25">
      <c r="A572" s="23"/>
      <c r="B572" s="9"/>
      <c r="C572" s="9"/>
      <c r="D572" s="9"/>
      <c r="E572" s="9"/>
      <c r="F572" s="10"/>
      <c r="G572" s="10"/>
      <c r="H572" s="27"/>
      <c r="I572" s="9"/>
      <c r="J572" s="9"/>
      <c r="K572" s="9"/>
      <c r="L572" s="9"/>
      <c r="M572" s="25"/>
      <c r="N572" s="25"/>
      <c r="O572" s="27"/>
      <c r="P572" s="27"/>
      <c r="Q572" s="27"/>
      <c r="R572" s="25"/>
      <c r="S572" s="25"/>
      <c r="T572" s="10"/>
      <c r="U572" s="9"/>
      <c r="V572" s="9"/>
      <c r="W572" s="9"/>
      <c r="X572" s="9"/>
      <c r="Y572" s="9"/>
      <c r="Z572" s="9"/>
      <c r="AA572" s="9"/>
      <c r="AB572" s="9"/>
      <c r="AC572" s="9"/>
      <c r="AD572" s="27"/>
      <c r="AE572" s="42"/>
      <c r="AF572" s="27"/>
      <c r="AG572" s="42"/>
      <c r="AH572" s="27"/>
      <c r="AI572" s="9"/>
      <c r="AJ572" s="9"/>
      <c r="AK572" s="9"/>
      <c r="AM572" s="43"/>
      <c r="AN572" s="43"/>
      <c r="AQ572" s="34"/>
      <c r="AR572" s="34"/>
      <c r="AS572" s="34"/>
      <c r="AT572" s="34"/>
    </row>
    <row r="573" spans="1:46" s="11" customFormat="1" x14ac:dyDescent="0.25">
      <c r="A573" s="23"/>
      <c r="B573" s="9"/>
      <c r="C573" s="9"/>
      <c r="D573" s="9"/>
      <c r="E573" s="9"/>
      <c r="F573" s="10"/>
      <c r="G573" s="10"/>
      <c r="H573" s="27"/>
      <c r="I573" s="9"/>
      <c r="J573" s="9"/>
      <c r="K573" s="9"/>
      <c r="L573" s="9"/>
      <c r="M573" s="25"/>
      <c r="N573" s="25"/>
      <c r="O573" s="27"/>
      <c r="P573" s="27"/>
      <c r="Q573" s="27"/>
      <c r="R573" s="25"/>
      <c r="S573" s="25"/>
      <c r="T573" s="10"/>
      <c r="U573" s="9"/>
      <c r="V573" s="9"/>
      <c r="W573" s="9"/>
      <c r="X573" s="9"/>
      <c r="Y573" s="9"/>
      <c r="Z573" s="9"/>
      <c r="AA573" s="9"/>
      <c r="AB573" s="9"/>
      <c r="AC573" s="9"/>
      <c r="AD573" s="27"/>
      <c r="AE573" s="42"/>
      <c r="AF573" s="27"/>
      <c r="AG573" s="42"/>
      <c r="AH573" s="27"/>
      <c r="AI573" s="9"/>
      <c r="AJ573" s="9"/>
      <c r="AK573" s="9"/>
      <c r="AM573" s="43"/>
      <c r="AN573" s="43"/>
      <c r="AQ573" s="34"/>
      <c r="AR573" s="34"/>
      <c r="AS573" s="34"/>
      <c r="AT573" s="34"/>
    </row>
    <row r="574" spans="1:46" s="11" customFormat="1" x14ac:dyDescent="0.25">
      <c r="A574" s="23"/>
      <c r="B574" s="9"/>
      <c r="C574" s="9"/>
      <c r="D574" s="9"/>
      <c r="E574" s="9"/>
      <c r="F574" s="10"/>
      <c r="G574" s="10"/>
      <c r="H574" s="27"/>
      <c r="I574" s="9"/>
      <c r="J574" s="9"/>
      <c r="K574" s="9"/>
      <c r="L574" s="9"/>
      <c r="M574" s="25"/>
      <c r="N574" s="25"/>
      <c r="O574" s="27"/>
      <c r="P574" s="27"/>
      <c r="Q574" s="27"/>
      <c r="R574" s="25"/>
      <c r="S574" s="25"/>
      <c r="T574" s="10"/>
      <c r="U574" s="9"/>
      <c r="V574" s="9"/>
      <c r="W574" s="9"/>
      <c r="X574" s="9"/>
      <c r="Y574" s="9"/>
      <c r="Z574" s="9"/>
      <c r="AA574" s="9"/>
      <c r="AB574" s="9"/>
      <c r="AC574" s="9"/>
      <c r="AD574" s="27"/>
      <c r="AE574" s="42"/>
      <c r="AF574" s="27"/>
      <c r="AG574" s="42"/>
      <c r="AH574" s="27"/>
      <c r="AI574" s="9"/>
      <c r="AJ574" s="9"/>
      <c r="AK574" s="9"/>
      <c r="AM574" s="43"/>
      <c r="AN574" s="43"/>
      <c r="AQ574" s="34"/>
      <c r="AR574" s="34"/>
      <c r="AS574" s="34"/>
      <c r="AT574" s="34"/>
    </row>
    <row r="575" spans="1:46" s="11" customFormat="1" x14ac:dyDescent="0.25">
      <c r="A575" s="23"/>
      <c r="B575" s="9"/>
      <c r="C575" s="9"/>
      <c r="D575" s="9"/>
      <c r="E575" s="9"/>
      <c r="F575" s="10"/>
      <c r="G575" s="10"/>
      <c r="H575" s="27"/>
      <c r="I575" s="9"/>
      <c r="J575" s="9"/>
      <c r="K575" s="9"/>
      <c r="L575" s="9"/>
      <c r="M575" s="25"/>
      <c r="N575" s="25"/>
      <c r="O575" s="27"/>
      <c r="P575" s="27"/>
      <c r="Q575" s="27"/>
      <c r="R575" s="25"/>
      <c r="S575" s="25"/>
      <c r="T575" s="10"/>
      <c r="U575" s="9"/>
      <c r="V575" s="9"/>
      <c r="W575" s="9"/>
      <c r="X575" s="9"/>
      <c r="Y575" s="9"/>
      <c r="Z575" s="9"/>
      <c r="AA575" s="9"/>
      <c r="AB575" s="9"/>
      <c r="AC575" s="9"/>
      <c r="AD575" s="27"/>
      <c r="AE575" s="42"/>
      <c r="AF575" s="27"/>
      <c r="AG575" s="42"/>
      <c r="AH575" s="27"/>
      <c r="AI575" s="9"/>
      <c r="AJ575" s="9"/>
      <c r="AK575" s="9"/>
      <c r="AM575" s="43"/>
      <c r="AN575" s="43"/>
      <c r="AQ575" s="34"/>
      <c r="AR575" s="34"/>
      <c r="AS575" s="34"/>
      <c r="AT575" s="34"/>
    </row>
    <row r="576" spans="1:46" s="11" customFormat="1" x14ac:dyDescent="0.25">
      <c r="A576" s="23"/>
      <c r="B576" s="9"/>
      <c r="C576" s="9"/>
      <c r="D576" s="9"/>
      <c r="E576" s="9"/>
      <c r="F576" s="10"/>
      <c r="G576" s="10"/>
      <c r="H576" s="27"/>
      <c r="I576" s="9"/>
      <c r="J576" s="9"/>
      <c r="K576" s="9"/>
      <c r="L576" s="9"/>
      <c r="M576" s="25"/>
      <c r="N576" s="25"/>
      <c r="O576" s="27"/>
      <c r="P576" s="27"/>
      <c r="Q576" s="27"/>
      <c r="R576" s="25"/>
      <c r="S576" s="25"/>
      <c r="T576" s="10"/>
      <c r="U576" s="9"/>
      <c r="V576" s="9"/>
      <c r="W576" s="9"/>
      <c r="X576" s="9"/>
      <c r="Y576" s="9"/>
      <c r="Z576" s="9"/>
      <c r="AA576" s="9"/>
      <c r="AB576" s="9"/>
      <c r="AC576" s="9"/>
      <c r="AD576" s="27"/>
      <c r="AE576" s="42"/>
      <c r="AF576" s="27"/>
      <c r="AG576" s="42"/>
      <c r="AH576" s="27"/>
      <c r="AI576" s="9"/>
      <c r="AJ576" s="9"/>
      <c r="AK576" s="9"/>
      <c r="AM576" s="43"/>
      <c r="AN576" s="43"/>
      <c r="AQ576" s="34"/>
      <c r="AR576" s="34"/>
      <c r="AS576" s="34"/>
      <c r="AT576" s="34"/>
    </row>
    <row r="577" spans="1:46" s="11" customFormat="1" x14ac:dyDescent="0.25">
      <c r="A577" s="23"/>
      <c r="B577" s="9"/>
      <c r="C577" s="9"/>
      <c r="D577" s="9"/>
      <c r="E577" s="9"/>
      <c r="F577" s="10"/>
      <c r="G577" s="10"/>
      <c r="H577" s="27"/>
      <c r="I577" s="9"/>
      <c r="J577" s="9"/>
      <c r="K577" s="9"/>
      <c r="L577" s="9"/>
      <c r="M577" s="25"/>
      <c r="N577" s="25"/>
      <c r="O577" s="27"/>
      <c r="P577" s="27"/>
      <c r="Q577" s="27"/>
      <c r="R577" s="25"/>
      <c r="S577" s="25"/>
      <c r="T577" s="10"/>
      <c r="U577" s="9"/>
      <c r="V577" s="9"/>
      <c r="W577" s="9"/>
      <c r="X577" s="9"/>
      <c r="Y577" s="9"/>
      <c r="Z577" s="9"/>
      <c r="AA577" s="9"/>
      <c r="AB577" s="9"/>
      <c r="AC577" s="9"/>
      <c r="AD577" s="27"/>
      <c r="AE577" s="42"/>
      <c r="AF577" s="27"/>
      <c r="AG577" s="42"/>
      <c r="AH577" s="27"/>
      <c r="AI577" s="9"/>
      <c r="AJ577" s="9"/>
      <c r="AK577" s="9"/>
      <c r="AM577" s="43"/>
      <c r="AN577" s="43"/>
      <c r="AQ577" s="34"/>
      <c r="AR577" s="34"/>
      <c r="AS577" s="34"/>
      <c r="AT577" s="34"/>
    </row>
    <row r="578" spans="1:46" s="11" customFormat="1" x14ac:dyDescent="0.25">
      <c r="A578" s="23"/>
      <c r="B578" s="9"/>
      <c r="C578" s="9"/>
      <c r="D578" s="9"/>
      <c r="E578" s="9"/>
      <c r="F578" s="10"/>
      <c r="G578" s="10"/>
      <c r="H578" s="27"/>
      <c r="I578" s="9"/>
      <c r="J578" s="9"/>
      <c r="K578" s="9"/>
      <c r="L578" s="9"/>
      <c r="M578" s="25"/>
      <c r="N578" s="25"/>
      <c r="O578" s="27"/>
      <c r="P578" s="27"/>
      <c r="Q578" s="27"/>
      <c r="R578" s="25"/>
      <c r="S578" s="25"/>
      <c r="T578" s="10"/>
      <c r="U578" s="9"/>
      <c r="V578" s="9"/>
      <c r="W578" s="9"/>
      <c r="X578" s="9"/>
      <c r="Y578" s="9"/>
      <c r="Z578" s="9"/>
      <c r="AA578" s="9"/>
      <c r="AB578" s="9"/>
      <c r="AC578" s="9"/>
      <c r="AD578" s="27"/>
      <c r="AE578" s="42"/>
      <c r="AF578" s="27"/>
      <c r="AG578" s="42"/>
      <c r="AH578" s="27"/>
      <c r="AI578" s="9"/>
      <c r="AJ578" s="9"/>
      <c r="AK578" s="9"/>
      <c r="AM578" s="43"/>
      <c r="AN578" s="43"/>
      <c r="AQ578" s="34"/>
      <c r="AR578" s="34"/>
      <c r="AS578" s="34"/>
      <c r="AT578" s="34"/>
    </row>
    <row r="579" spans="1:46" s="11" customFormat="1" x14ac:dyDescent="0.25">
      <c r="A579" s="23"/>
      <c r="B579" s="9"/>
      <c r="C579" s="9"/>
      <c r="D579" s="9"/>
      <c r="E579" s="9"/>
      <c r="F579" s="10"/>
      <c r="G579" s="10"/>
      <c r="H579" s="27"/>
      <c r="I579" s="9"/>
      <c r="J579" s="9"/>
      <c r="K579" s="9"/>
      <c r="L579" s="9"/>
      <c r="M579" s="25"/>
      <c r="N579" s="25"/>
      <c r="O579" s="27"/>
      <c r="P579" s="27"/>
      <c r="Q579" s="27"/>
      <c r="R579" s="25"/>
      <c r="S579" s="25"/>
      <c r="T579" s="10"/>
      <c r="U579" s="9"/>
      <c r="V579" s="9"/>
      <c r="W579" s="9"/>
      <c r="X579" s="9"/>
      <c r="Y579" s="9"/>
      <c r="Z579" s="9"/>
      <c r="AA579" s="9"/>
      <c r="AB579" s="9"/>
      <c r="AC579" s="9"/>
      <c r="AD579" s="27"/>
      <c r="AE579" s="42"/>
      <c r="AF579" s="27"/>
      <c r="AG579" s="42"/>
      <c r="AH579" s="27"/>
      <c r="AI579" s="9"/>
      <c r="AJ579" s="9"/>
      <c r="AK579" s="9"/>
      <c r="AM579" s="43"/>
      <c r="AN579" s="43"/>
      <c r="AQ579" s="34"/>
      <c r="AR579" s="34"/>
      <c r="AS579" s="34"/>
      <c r="AT579" s="34"/>
    </row>
    <row r="580" spans="1:46" s="11" customFormat="1" x14ac:dyDescent="0.25">
      <c r="A580" s="23"/>
      <c r="B580" s="9"/>
      <c r="C580" s="9"/>
      <c r="D580" s="9"/>
      <c r="E580" s="9"/>
      <c r="F580" s="10"/>
      <c r="G580" s="10"/>
      <c r="H580" s="27"/>
      <c r="I580" s="9"/>
      <c r="J580" s="9"/>
      <c r="K580" s="9"/>
      <c r="L580" s="9"/>
      <c r="M580" s="25"/>
      <c r="N580" s="25"/>
      <c r="O580" s="27"/>
      <c r="P580" s="27"/>
      <c r="Q580" s="27"/>
      <c r="R580" s="25"/>
      <c r="S580" s="25"/>
      <c r="T580" s="10"/>
      <c r="U580" s="9"/>
      <c r="V580" s="9"/>
      <c r="W580" s="9"/>
      <c r="X580" s="9"/>
      <c r="Y580" s="9"/>
      <c r="Z580" s="9"/>
      <c r="AA580" s="9"/>
      <c r="AB580" s="9"/>
      <c r="AC580" s="9"/>
      <c r="AD580" s="27"/>
      <c r="AE580" s="42"/>
      <c r="AF580" s="27"/>
      <c r="AG580" s="42"/>
      <c r="AH580" s="27"/>
      <c r="AI580" s="9"/>
      <c r="AJ580" s="9"/>
      <c r="AK580" s="9"/>
      <c r="AM580" s="43"/>
      <c r="AN580" s="43"/>
      <c r="AQ580" s="34"/>
      <c r="AR580" s="34"/>
      <c r="AS580" s="34"/>
      <c r="AT580" s="34"/>
    </row>
    <row r="581" spans="1:46" s="11" customFormat="1" x14ac:dyDescent="0.25">
      <c r="A581" s="23"/>
      <c r="B581" s="9"/>
      <c r="C581" s="9"/>
      <c r="D581" s="9"/>
      <c r="E581" s="9"/>
      <c r="F581" s="10"/>
      <c r="G581" s="10"/>
      <c r="H581" s="27"/>
      <c r="I581" s="9"/>
      <c r="J581" s="9"/>
      <c r="K581" s="9"/>
      <c r="L581" s="9"/>
      <c r="M581" s="25"/>
      <c r="N581" s="25"/>
      <c r="O581" s="27"/>
      <c r="P581" s="27"/>
      <c r="Q581" s="27"/>
      <c r="R581" s="25"/>
      <c r="S581" s="25"/>
      <c r="T581" s="10"/>
      <c r="U581" s="9"/>
      <c r="V581" s="9"/>
      <c r="W581" s="9"/>
      <c r="X581" s="9"/>
      <c r="Y581" s="9"/>
      <c r="Z581" s="9"/>
      <c r="AA581" s="9"/>
      <c r="AB581" s="9"/>
      <c r="AC581" s="9"/>
      <c r="AD581" s="27"/>
      <c r="AE581" s="42"/>
      <c r="AF581" s="27"/>
      <c r="AG581" s="42"/>
      <c r="AH581" s="27"/>
      <c r="AI581" s="9"/>
      <c r="AJ581" s="9"/>
      <c r="AK581" s="9"/>
      <c r="AM581" s="43"/>
      <c r="AN581" s="43"/>
      <c r="AQ581" s="34"/>
      <c r="AR581" s="34"/>
      <c r="AS581" s="34"/>
      <c r="AT581" s="34"/>
    </row>
    <row r="582" spans="1:46" s="11" customFormat="1" x14ac:dyDescent="0.25">
      <c r="A582" s="23"/>
      <c r="B582" s="9"/>
      <c r="C582" s="9"/>
      <c r="D582" s="9"/>
      <c r="E582" s="9"/>
      <c r="F582" s="10"/>
      <c r="G582" s="10"/>
      <c r="H582" s="27"/>
      <c r="I582" s="9"/>
      <c r="J582" s="9"/>
      <c r="K582" s="9"/>
      <c r="L582" s="9"/>
      <c r="M582" s="25"/>
      <c r="N582" s="25"/>
      <c r="O582" s="27"/>
      <c r="P582" s="27"/>
      <c r="Q582" s="27"/>
      <c r="R582" s="25"/>
      <c r="S582" s="25"/>
      <c r="T582" s="10"/>
      <c r="U582" s="9"/>
      <c r="V582" s="9"/>
      <c r="W582" s="9"/>
      <c r="X582" s="9"/>
      <c r="Y582" s="9"/>
      <c r="Z582" s="9"/>
      <c r="AA582" s="9"/>
      <c r="AB582" s="9"/>
      <c r="AC582" s="9"/>
      <c r="AD582" s="27"/>
      <c r="AE582" s="42"/>
      <c r="AF582" s="27"/>
      <c r="AG582" s="42"/>
      <c r="AH582" s="27"/>
      <c r="AI582" s="9"/>
      <c r="AJ582" s="9"/>
      <c r="AK582" s="9"/>
      <c r="AM582" s="43"/>
      <c r="AN582" s="43"/>
      <c r="AQ582" s="34"/>
      <c r="AR582" s="34"/>
      <c r="AS582" s="34"/>
      <c r="AT582" s="34"/>
    </row>
    <row r="583" spans="1:46" s="11" customFormat="1" x14ac:dyDescent="0.25">
      <c r="A583" s="23"/>
      <c r="B583" s="9"/>
      <c r="C583" s="9"/>
      <c r="D583" s="9"/>
      <c r="E583" s="9"/>
      <c r="F583" s="10"/>
      <c r="G583" s="10"/>
      <c r="H583" s="27"/>
      <c r="I583" s="9"/>
      <c r="J583" s="9"/>
      <c r="K583" s="9"/>
      <c r="L583" s="9"/>
      <c r="M583" s="25"/>
      <c r="N583" s="25"/>
      <c r="O583" s="27"/>
      <c r="P583" s="27"/>
      <c r="Q583" s="27"/>
      <c r="R583" s="25"/>
      <c r="S583" s="25"/>
      <c r="T583" s="10"/>
      <c r="U583" s="9"/>
      <c r="V583" s="9"/>
      <c r="W583" s="9"/>
      <c r="X583" s="9"/>
      <c r="Y583" s="9"/>
      <c r="Z583" s="9"/>
      <c r="AA583" s="9"/>
      <c r="AB583" s="9"/>
      <c r="AC583" s="9"/>
      <c r="AD583" s="27"/>
      <c r="AE583" s="42"/>
      <c r="AF583" s="27"/>
      <c r="AG583" s="42"/>
      <c r="AH583" s="27"/>
      <c r="AI583" s="9"/>
      <c r="AJ583" s="9"/>
      <c r="AK583" s="9"/>
      <c r="AM583" s="43"/>
      <c r="AN583" s="43"/>
      <c r="AQ583" s="34"/>
      <c r="AR583" s="34"/>
      <c r="AS583" s="34"/>
      <c r="AT583" s="34"/>
    </row>
    <row r="584" spans="1:46" s="11" customFormat="1" x14ac:dyDescent="0.25">
      <c r="A584" s="23"/>
      <c r="B584" s="9"/>
      <c r="C584" s="9"/>
      <c r="D584" s="9"/>
      <c r="E584" s="9"/>
      <c r="F584" s="10"/>
      <c r="G584" s="10"/>
      <c r="H584" s="27"/>
      <c r="I584" s="9"/>
      <c r="J584" s="9"/>
      <c r="K584" s="9"/>
      <c r="L584" s="9"/>
      <c r="M584" s="25"/>
      <c r="N584" s="25"/>
      <c r="O584" s="27"/>
      <c r="P584" s="27"/>
      <c r="Q584" s="27"/>
      <c r="R584" s="25"/>
      <c r="S584" s="25"/>
      <c r="T584" s="10"/>
      <c r="U584" s="9"/>
      <c r="V584" s="9"/>
      <c r="W584" s="9"/>
      <c r="X584" s="9"/>
      <c r="Y584" s="9"/>
      <c r="Z584" s="9"/>
      <c r="AA584" s="9"/>
      <c r="AB584" s="9"/>
      <c r="AC584" s="9"/>
      <c r="AD584" s="27"/>
      <c r="AE584" s="42"/>
      <c r="AF584" s="27"/>
      <c r="AG584" s="42"/>
      <c r="AH584" s="27"/>
      <c r="AI584" s="9"/>
      <c r="AJ584" s="9"/>
      <c r="AK584" s="9"/>
      <c r="AM584" s="43"/>
      <c r="AN584" s="43"/>
      <c r="AQ584" s="34"/>
      <c r="AR584" s="34"/>
      <c r="AS584" s="34"/>
      <c r="AT584" s="34"/>
    </row>
    <row r="585" spans="1:46" s="11" customFormat="1" x14ac:dyDescent="0.25">
      <c r="A585" s="23"/>
      <c r="B585" s="9"/>
      <c r="C585" s="9"/>
      <c r="D585" s="9"/>
      <c r="E585" s="9"/>
      <c r="F585" s="10"/>
      <c r="G585" s="10"/>
      <c r="H585" s="27"/>
      <c r="I585" s="9"/>
      <c r="J585" s="9"/>
      <c r="K585" s="9"/>
      <c r="L585" s="9"/>
      <c r="M585" s="25"/>
      <c r="N585" s="25"/>
      <c r="O585" s="27"/>
      <c r="P585" s="27"/>
      <c r="Q585" s="27"/>
      <c r="R585" s="25"/>
      <c r="S585" s="25"/>
      <c r="T585" s="10"/>
      <c r="U585" s="9"/>
      <c r="V585" s="9"/>
      <c r="W585" s="9"/>
      <c r="X585" s="9"/>
      <c r="Y585" s="9"/>
      <c r="Z585" s="9"/>
      <c r="AA585" s="9"/>
      <c r="AB585" s="9"/>
      <c r="AC585" s="9"/>
      <c r="AD585" s="27"/>
      <c r="AE585" s="42"/>
      <c r="AF585" s="27"/>
      <c r="AG585" s="42"/>
      <c r="AH585" s="27"/>
      <c r="AI585" s="9"/>
      <c r="AJ585" s="9"/>
      <c r="AK585" s="9"/>
      <c r="AM585" s="43"/>
      <c r="AN585" s="43"/>
      <c r="AQ585" s="34"/>
      <c r="AR585" s="34"/>
      <c r="AS585" s="34"/>
      <c r="AT585" s="34"/>
    </row>
    <row r="586" spans="1:46" s="11" customFormat="1" x14ac:dyDescent="0.25">
      <c r="A586" s="23"/>
      <c r="B586" s="9"/>
      <c r="C586" s="9"/>
      <c r="D586" s="9"/>
      <c r="E586" s="9"/>
      <c r="F586" s="10"/>
      <c r="G586" s="10"/>
      <c r="H586" s="27"/>
      <c r="I586" s="9"/>
      <c r="J586" s="9"/>
      <c r="K586" s="9"/>
      <c r="L586" s="9"/>
      <c r="M586" s="25"/>
      <c r="N586" s="25"/>
      <c r="O586" s="27"/>
      <c r="P586" s="27"/>
      <c r="Q586" s="27"/>
      <c r="R586" s="25"/>
      <c r="S586" s="25"/>
      <c r="T586" s="10"/>
      <c r="U586" s="9"/>
      <c r="V586" s="9"/>
      <c r="W586" s="9"/>
      <c r="X586" s="9"/>
      <c r="Y586" s="9"/>
      <c r="Z586" s="9"/>
      <c r="AA586" s="9"/>
      <c r="AB586" s="9"/>
      <c r="AC586" s="9"/>
      <c r="AD586" s="27"/>
      <c r="AE586" s="42"/>
      <c r="AF586" s="27"/>
      <c r="AG586" s="42"/>
      <c r="AH586" s="27"/>
      <c r="AI586" s="9"/>
      <c r="AJ586" s="9"/>
      <c r="AK586" s="9"/>
      <c r="AM586" s="43"/>
      <c r="AN586" s="43"/>
      <c r="AQ586" s="34"/>
      <c r="AR586" s="34"/>
      <c r="AS586" s="34"/>
      <c r="AT586" s="34"/>
    </row>
    <row r="587" spans="1:46" s="11" customFormat="1" x14ac:dyDescent="0.25">
      <c r="A587" s="23"/>
      <c r="B587" s="9"/>
      <c r="C587" s="9"/>
      <c r="D587" s="9"/>
      <c r="E587" s="9"/>
      <c r="F587" s="10"/>
      <c r="G587" s="10"/>
      <c r="H587" s="27"/>
      <c r="I587" s="9"/>
      <c r="J587" s="9"/>
      <c r="K587" s="9"/>
      <c r="L587" s="9"/>
      <c r="M587" s="25"/>
      <c r="N587" s="25"/>
      <c r="O587" s="27"/>
      <c r="P587" s="27"/>
      <c r="Q587" s="27"/>
      <c r="R587" s="25"/>
      <c r="S587" s="25"/>
      <c r="T587" s="10"/>
      <c r="U587" s="9"/>
      <c r="V587" s="9"/>
      <c r="W587" s="9"/>
      <c r="X587" s="9"/>
      <c r="Y587" s="9"/>
      <c r="Z587" s="9"/>
      <c r="AA587" s="9"/>
      <c r="AB587" s="9"/>
      <c r="AC587" s="9"/>
      <c r="AD587" s="27"/>
      <c r="AE587" s="42"/>
      <c r="AF587" s="27"/>
      <c r="AG587" s="42"/>
      <c r="AH587" s="27"/>
      <c r="AI587" s="9"/>
      <c r="AJ587" s="9"/>
      <c r="AK587" s="9"/>
      <c r="AM587" s="43"/>
      <c r="AN587" s="43"/>
      <c r="AQ587" s="34"/>
      <c r="AR587" s="34"/>
      <c r="AS587" s="34"/>
      <c r="AT587" s="34"/>
    </row>
    <row r="588" spans="1:46" s="11" customFormat="1" x14ac:dyDescent="0.25">
      <c r="A588" s="23"/>
      <c r="B588" s="9"/>
      <c r="C588" s="9"/>
      <c r="D588" s="9"/>
      <c r="E588" s="9"/>
      <c r="F588" s="10"/>
      <c r="G588" s="10"/>
      <c r="H588" s="27"/>
      <c r="I588" s="9"/>
      <c r="J588" s="9"/>
      <c r="K588" s="9"/>
      <c r="L588" s="9"/>
      <c r="M588" s="25"/>
      <c r="N588" s="25"/>
      <c r="O588" s="27"/>
      <c r="P588" s="27"/>
      <c r="Q588" s="27"/>
      <c r="R588" s="25"/>
      <c r="S588" s="25"/>
      <c r="T588" s="10"/>
      <c r="U588" s="9"/>
      <c r="V588" s="9"/>
      <c r="W588" s="9"/>
      <c r="X588" s="9"/>
      <c r="Y588" s="9"/>
      <c r="Z588" s="9"/>
      <c r="AA588" s="9"/>
      <c r="AB588" s="9"/>
      <c r="AC588" s="9"/>
      <c r="AD588" s="27"/>
      <c r="AE588" s="42"/>
      <c r="AF588" s="27"/>
      <c r="AG588" s="42"/>
      <c r="AH588" s="27"/>
      <c r="AI588" s="9"/>
      <c r="AJ588" s="9"/>
      <c r="AK588" s="9"/>
      <c r="AM588" s="43"/>
      <c r="AN588" s="43"/>
      <c r="AQ588" s="34"/>
      <c r="AR588" s="34"/>
      <c r="AS588" s="34"/>
      <c r="AT588" s="34"/>
    </row>
    <row r="589" spans="1:46" s="11" customFormat="1" x14ac:dyDescent="0.25">
      <c r="A589" s="23"/>
      <c r="B589" s="9"/>
      <c r="C589" s="9"/>
      <c r="D589" s="9"/>
      <c r="E589" s="9"/>
      <c r="F589" s="10"/>
      <c r="G589" s="10"/>
      <c r="H589" s="27"/>
      <c r="I589" s="9"/>
      <c r="J589" s="9"/>
      <c r="K589" s="9"/>
      <c r="L589" s="9"/>
      <c r="M589" s="25"/>
      <c r="N589" s="25"/>
      <c r="O589" s="27"/>
      <c r="P589" s="27"/>
      <c r="Q589" s="27"/>
      <c r="R589" s="25"/>
      <c r="S589" s="25"/>
      <c r="T589" s="10"/>
      <c r="U589" s="9"/>
      <c r="V589" s="9"/>
      <c r="W589" s="9"/>
      <c r="X589" s="9"/>
      <c r="Y589" s="9"/>
      <c r="Z589" s="9"/>
      <c r="AA589" s="9"/>
      <c r="AB589" s="9"/>
      <c r="AC589" s="9"/>
      <c r="AD589" s="27"/>
      <c r="AE589" s="42"/>
      <c r="AF589" s="27"/>
      <c r="AG589" s="42"/>
      <c r="AH589" s="27"/>
      <c r="AI589" s="9"/>
      <c r="AJ589" s="9"/>
      <c r="AK589" s="9"/>
      <c r="AM589" s="43"/>
      <c r="AN589" s="43"/>
      <c r="AQ589" s="34"/>
      <c r="AR589" s="34"/>
      <c r="AS589" s="34"/>
      <c r="AT589" s="34"/>
    </row>
    <row r="590" spans="1:46" s="11" customFormat="1" x14ac:dyDescent="0.25">
      <c r="A590" s="23"/>
      <c r="B590" s="9"/>
      <c r="C590" s="9"/>
      <c r="D590" s="9"/>
      <c r="E590" s="9"/>
      <c r="F590" s="10"/>
      <c r="G590" s="10"/>
      <c r="H590" s="27"/>
      <c r="I590" s="9"/>
      <c r="J590" s="9"/>
      <c r="K590" s="9"/>
      <c r="L590" s="9"/>
      <c r="M590" s="25"/>
      <c r="N590" s="25"/>
      <c r="O590" s="27"/>
      <c r="P590" s="27"/>
      <c r="Q590" s="27"/>
      <c r="R590" s="25"/>
      <c r="S590" s="25"/>
      <c r="T590" s="10"/>
      <c r="U590" s="9"/>
      <c r="V590" s="9"/>
      <c r="W590" s="9"/>
      <c r="X590" s="9"/>
      <c r="Y590" s="9"/>
      <c r="Z590" s="9"/>
      <c r="AA590" s="9"/>
      <c r="AB590" s="9"/>
      <c r="AC590" s="9"/>
      <c r="AD590" s="27"/>
      <c r="AE590" s="42"/>
      <c r="AF590" s="27"/>
      <c r="AG590" s="42"/>
      <c r="AH590" s="27"/>
      <c r="AI590" s="9"/>
      <c r="AJ590" s="9"/>
      <c r="AK590" s="9"/>
      <c r="AM590" s="43"/>
      <c r="AN590" s="43"/>
      <c r="AQ590" s="34"/>
      <c r="AR590" s="34"/>
      <c r="AS590" s="34"/>
      <c r="AT590" s="34"/>
    </row>
    <row r="591" spans="1:46" s="11" customFormat="1" x14ac:dyDescent="0.25">
      <c r="A591" s="23"/>
      <c r="B591" s="9"/>
      <c r="C591" s="9"/>
      <c r="D591" s="9"/>
      <c r="E591" s="9"/>
      <c r="F591" s="10"/>
      <c r="G591" s="10"/>
      <c r="H591" s="27"/>
      <c r="I591" s="9"/>
      <c r="J591" s="9"/>
      <c r="K591" s="9"/>
      <c r="L591" s="9"/>
      <c r="M591" s="25"/>
      <c r="N591" s="25"/>
      <c r="O591" s="27"/>
      <c r="P591" s="27"/>
      <c r="Q591" s="27"/>
      <c r="R591" s="25"/>
      <c r="S591" s="25"/>
      <c r="T591" s="10"/>
      <c r="U591" s="9"/>
      <c r="V591" s="9"/>
      <c r="W591" s="9"/>
      <c r="X591" s="9"/>
      <c r="Y591" s="9"/>
      <c r="Z591" s="9"/>
      <c r="AA591" s="9"/>
      <c r="AB591" s="9"/>
      <c r="AC591" s="9"/>
      <c r="AD591" s="27"/>
      <c r="AE591" s="42"/>
      <c r="AF591" s="27"/>
      <c r="AG591" s="42"/>
      <c r="AH591" s="27"/>
      <c r="AI591" s="9"/>
      <c r="AJ591" s="9"/>
      <c r="AK591" s="9"/>
      <c r="AM591" s="43"/>
      <c r="AN591" s="43"/>
      <c r="AQ591" s="34"/>
      <c r="AR591" s="34"/>
      <c r="AS591" s="34"/>
      <c r="AT591" s="34"/>
    </row>
    <row r="592" spans="1:46" s="11" customFormat="1" x14ac:dyDescent="0.25">
      <c r="A592" s="23"/>
      <c r="B592" s="9"/>
      <c r="C592" s="9"/>
      <c r="D592" s="9"/>
      <c r="E592" s="9"/>
      <c r="F592" s="10"/>
      <c r="G592" s="10"/>
      <c r="H592" s="27"/>
      <c r="I592" s="9"/>
      <c r="J592" s="9"/>
      <c r="K592" s="9"/>
      <c r="L592" s="9"/>
      <c r="M592" s="25"/>
      <c r="N592" s="25"/>
      <c r="O592" s="27"/>
      <c r="P592" s="27"/>
      <c r="Q592" s="27"/>
      <c r="R592" s="25"/>
      <c r="S592" s="25"/>
      <c r="T592" s="10"/>
      <c r="U592" s="9"/>
      <c r="V592" s="9"/>
      <c r="W592" s="9"/>
      <c r="X592" s="9"/>
      <c r="Y592" s="9"/>
      <c r="Z592" s="9"/>
      <c r="AA592" s="9"/>
      <c r="AB592" s="9"/>
      <c r="AC592" s="9"/>
      <c r="AD592" s="27"/>
      <c r="AE592" s="42"/>
      <c r="AF592" s="27"/>
      <c r="AG592" s="42"/>
      <c r="AH592" s="27"/>
      <c r="AI592" s="9"/>
      <c r="AJ592" s="9"/>
      <c r="AK592" s="9"/>
      <c r="AM592" s="43"/>
      <c r="AN592" s="43"/>
      <c r="AQ592" s="34"/>
      <c r="AR592" s="34"/>
      <c r="AS592" s="34"/>
      <c r="AT592" s="34"/>
    </row>
    <row r="593" spans="1:46" s="11" customFormat="1" x14ac:dyDescent="0.25">
      <c r="A593" s="23"/>
      <c r="B593" s="9"/>
      <c r="C593" s="9"/>
      <c r="D593" s="9"/>
      <c r="E593" s="9"/>
      <c r="F593" s="10"/>
      <c r="G593" s="10"/>
      <c r="H593" s="27"/>
      <c r="I593" s="9"/>
      <c r="J593" s="9"/>
      <c r="K593" s="9"/>
      <c r="L593" s="9"/>
      <c r="M593" s="25"/>
      <c r="N593" s="25"/>
      <c r="O593" s="27"/>
      <c r="P593" s="27"/>
      <c r="Q593" s="27"/>
      <c r="R593" s="25"/>
      <c r="S593" s="25"/>
      <c r="T593" s="10"/>
      <c r="U593" s="9"/>
      <c r="V593" s="9"/>
      <c r="W593" s="9"/>
      <c r="X593" s="9"/>
      <c r="Y593" s="9"/>
      <c r="Z593" s="9"/>
      <c r="AA593" s="9"/>
      <c r="AB593" s="9"/>
      <c r="AC593" s="9"/>
      <c r="AD593" s="27"/>
      <c r="AE593" s="42"/>
      <c r="AF593" s="27"/>
      <c r="AG593" s="42"/>
      <c r="AH593" s="27"/>
      <c r="AI593" s="9"/>
      <c r="AJ593" s="9"/>
      <c r="AK593" s="9"/>
      <c r="AM593" s="43"/>
      <c r="AN593" s="43"/>
      <c r="AQ593" s="34"/>
      <c r="AR593" s="34"/>
      <c r="AS593" s="34"/>
      <c r="AT593" s="34"/>
    </row>
    <row r="594" spans="1:46" s="11" customFormat="1" x14ac:dyDescent="0.25">
      <c r="A594" s="23"/>
      <c r="B594" s="9"/>
      <c r="C594" s="9"/>
      <c r="D594" s="9"/>
      <c r="E594" s="9"/>
      <c r="F594" s="10"/>
      <c r="G594" s="10"/>
      <c r="H594" s="27"/>
      <c r="I594" s="9"/>
      <c r="J594" s="9"/>
      <c r="K594" s="9"/>
      <c r="L594" s="9"/>
      <c r="M594" s="25"/>
      <c r="N594" s="25"/>
      <c r="O594" s="27"/>
      <c r="P594" s="27"/>
      <c r="Q594" s="27"/>
      <c r="R594" s="25"/>
      <c r="S594" s="25"/>
      <c r="T594" s="10"/>
      <c r="U594" s="9"/>
      <c r="V594" s="9"/>
      <c r="W594" s="9"/>
      <c r="X594" s="9"/>
      <c r="Y594" s="9"/>
      <c r="Z594" s="9"/>
      <c r="AA594" s="9"/>
      <c r="AB594" s="9"/>
      <c r="AC594" s="9"/>
      <c r="AD594" s="27"/>
      <c r="AE594" s="42"/>
      <c r="AF594" s="27"/>
      <c r="AG594" s="42"/>
      <c r="AH594" s="27"/>
      <c r="AI594" s="9"/>
      <c r="AJ594" s="9"/>
      <c r="AK594" s="9"/>
      <c r="AM594" s="43"/>
      <c r="AN594" s="43"/>
      <c r="AQ594" s="34"/>
      <c r="AR594" s="34"/>
      <c r="AS594" s="34"/>
      <c r="AT594" s="34"/>
    </row>
    <row r="595" spans="1:46" s="11" customFormat="1" x14ac:dyDescent="0.25">
      <c r="A595" s="23"/>
      <c r="B595" s="9"/>
      <c r="C595" s="9"/>
      <c r="D595" s="9"/>
      <c r="E595" s="9"/>
      <c r="F595" s="10"/>
      <c r="G595" s="10"/>
      <c r="H595" s="27"/>
      <c r="I595" s="9"/>
      <c r="J595" s="9"/>
      <c r="K595" s="9"/>
      <c r="L595" s="9"/>
      <c r="M595" s="25"/>
      <c r="N595" s="25"/>
      <c r="O595" s="27"/>
      <c r="P595" s="27"/>
      <c r="Q595" s="27"/>
      <c r="R595" s="25"/>
      <c r="S595" s="25"/>
      <c r="T595" s="10"/>
      <c r="U595" s="9"/>
      <c r="V595" s="9"/>
      <c r="W595" s="9"/>
      <c r="X595" s="9"/>
      <c r="Y595" s="9"/>
      <c r="Z595" s="9"/>
      <c r="AA595" s="9"/>
      <c r="AB595" s="9"/>
      <c r="AC595" s="9"/>
      <c r="AD595" s="27"/>
      <c r="AE595" s="42"/>
      <c r="AF595" s="27"/>
      <c r="AG595" s="42"/>
      <c r="AH595" s="27"/>
      <c r="AI595" s="9"/>
      <c r="AJ595" s="9"/>
      <c r="AK595" s="9"/>
      <c r="AM595" s="43"/>
      <c r="AN595" s="43"/>
      <c r="AQ595" s="34"/>
      <c r="AR595" s="34"/>
      <c r="AS595" s="34"/>
      <c r="AT595" s="34"/>
    </row>
    <row r="596" spans="1:46" s="11" customFormat="1" x14ac:dyDescent="0.25">
      <c r="A596" s="23"/>
      <c r="B596" s="9"/>
      <c r="C596" s="9"/>
      <c r="D596" s="9"/>
      <c r="E596" s="9"/>
      <c r="F596" s="10"/>
      <c r="G596" s="10"/>
      <c r="H596" s="27"/>
      <c r="I596" s="9"/>
      <c r="J596" s="9"/>
      <c r="K596" s="9"/>
      <c r="L596" s="9"/>
      <c r="M596" s="25"/>
      <c r="N596" s="25"/>
      <c r="O596" s="27"/>
      <c r="P596" s="27"/>
      <c r="Q596" s="27"/>
      <c r="R596" s="25"/>
      <c r="S596" s="25"/>
      <c r="T596" s="10"/>
      <c r="U596" s="9"/>
      <c r="V596" s="9"/>
      <c r="W596" s="9"/>
      <c r="X596" s="9"/>
      <c r="Y596" s="9"/>
      <c r="Z596" s="9"/>
      <c r="AA596" s="9"/>
      <c r="AB596" s="9"/>
      <c r="AC596" s="9"/>
      <c r="AD596" s="27"/>
      <c r="AE596" s="42"/>
      <c r="AF596" s="27"/>
      <c r="AG596" s="42"/>
      <c r="AH596" s="27"/>
      <c r="AI596" s="9"/>
      <c r="AJ596" s="9"/>
      <c r="AK596" s="9"/>
      <c r="AM596" s="43"/>
      <c r="AN596" s="43"/>
      <c r="AQ596" s="34"/>
      <c r="AR596" s="34"/>
      <c r="AS596" s="34"/>
      <c r="AT596" s="34"/>
    </row>
    <row r="597" spans="1:46" s="11" customFormat="1" x14ac:dyDescent="0.25">
      <c r="A597" s="23"/>
      <c r="B597" s="9"/>
      <c r="C597" s="9"/>
      <c r="D597" s="9"/>
      <c r="E597" s="9"/>
      <c r="F597" s="10"/>
      <c r="G597" s="10"/>
      <c r="H597" s="27"/>
      <c r="I597" s="9"/>
      <c r="J597" s="9"/>
      <c r="K597" s="9"/>
      <c r="L597" s="9"/>
      <c r="M597" s="25"/>
      <c r="N597" s="25"/>
      <c r="O597" s="27"/>
      <c r="P597" s="27"/>
      <c r="Q597" s="27"/>
      <c r="R597" s="25"/>
      <c r="S597" s="25"/>
      <c r="T597" s="10"/>
      <c r="U597" s="9"/>
      <c r="V597" s="9"/>
      <c r="W597" s="9"/>
      <c r="X597" s="9"/>
      <c r="Y597" s="9"/>
      <c r="Z597" s="9"/>
      <c r="AA597" s="9"/>
      <c r="AB597" s="9"/>
      <c r="AC597" s="9"/>
      <c r="AD597" s="27"/>
      <c r="AE597" s="42"/>
      <c r="AF597" s="27"/>
      <c r="AG597" s="42"/>
      <c r="AH597" s="27"/>
      <c r="AI597" s="9"/>
      <c r="AJ597" s="9"/>
      <c r="AK597" s="9"/>
      <c r="AM597" s="43"/>
      <c r="AN597" s="43"/>
      <c r="AQ597" s="34"/>
      <c r="AR597" s="34"/>
      <c r="AS597" s="34"/>
      <c r="AT597" s="34"/>
    </row>
    <row r="598" spans="1:46" s="11" customFormat="1" x14ac:dyDescent="0.25">
      <c r="A598" s="23"/>
      <c r="B598" s="9"/>
      <c r="C598" s="9"/>
      <c r="D598" s="9"/>
      <c r="E598" s="9"/>
      <c r="F598" s="10"/>
      <c r="G598" s="10"/>
      <c r="H598" s="27"/>
      <c r="I598" s="9"/>
      <c r="J598" s="9"/>
      <c r="K598" s="9"/>
      <c r="L598" s="9"/>
      <c r="M598" s="25"/>
      <c r="N598" s="25"/>
      <c r="O598" s="27"/>
      <c r="P598" s="27"/>
      <c r="Q598" s="27"/>
      <c r="R598" s="25"/>
      <c r="S598" s="25"/>
      <c r="T598" s="10"/>
      <c r="U598" s="9"/>
      <c r="V598" s="9"/>
      <c r="W598" s="9"/>
      <c r="X598" s="9"/>
      <c r="Y598" s="9"/>
      <c r="Z598" s="9"/>
      <c r="AA598" s="9"/>
      <c r="AB598" s="9"/>
      <c r="AC598" s="9"/>
      <c r="AD598" s="27"/>
      <c r="AE598" s="42"/>
      <c r="AF598" s="27"/>
      <c r="AG598" s="42"/>
      <c r="AH598" s="27"/>
      <c r="AI598" s="9"/>
      <c r="AJ598" s="9"/>
      <c r="AK598" s="9"/>
      <c r="AM598" s="43"/>
      <c r="AN598" s="43"/>
      <c r="AQ598" s="34"/>
      <c r="AR598" s="34"/>
      <c r="AS598" s="34"/>
      <c r="AT598" s="34"/>
    </row>
    <row r="599" spans="1:46" s="11" customFormat="1" x14ac:dyDescent="0.25">
      <c r="A599" s="23"/>
      <c r="B599" s="9"/>
      <c r="C599" s="9"/>
      <c r="D599" s="9"/>
      <c r="E599" s="9"/>
      <c r="F599" s="10"/>
      <c r="G599" s="10"/>
      <c r="H599" s="27"/>
      <c r="I599" s="9"/>
      <c r="J599" s="9"/>
      <c r="K599" s="9"/>
      <c r="L599" s="9"/>
      <c r="M599" s="25"/>
      <c r="N599" s="25"/>
      <c r="O599" s="27"/>
      <c r="P599" s="27"/>
      <c r="Q599" s="27"/>
      <c r="R599" s="25"/>
      <c r="S599" s="25"/>
      <c r="T599" s="10"/>
      <c r="U599" s="9"/>
      <c r="V599" s="9"/>
      <c r="W599" s="9"/>
      <c r="X599" s="9"/>
      <c r="Y599" s="9"/>
      <c r="Z599" s="9"/>
      <c r="AA599" s="9"/>
      <c r="AB599" s="9"/>
      <c r="AC599" s="9"/>
      <c r="AD599" s="27"/>
      <c r="AE599" s="42"/>
      <c r="AF599" s="27"/>
      <c r="AG599" s="42"/>
      <c r="AH599" s="27"/>
      <c r="AI599" s="9"/>
      <c r="AJ599" s="9"/>
      <c r="AK599" s="9"/>
      <c r="AM599" s="43"/>
      <c r="AN599" s="43"/>
      <c r="AQ599" s="34"/>
      <c r="AR599" s="34"/>
      <c r="AS599" s="34"/>
      <c r="AT599" s="34"/>
    </row>
    <row r="600" spans="1:46" s="11" customFormat="1" x14ac:dyDescent="0.25">
      <c r="A600" s="23"/>
      <c r="B600" s="9"/>
      <c r="C600" s="9"/>
      <c r="D600" s="9"/>
      <c r="E600" s="9"/>
      <c r="F600" s="10"/>
      <c r="G600" s="10"/>
      <c r="H600" s="27"/>
      <c r="I600" s="9"/>
      <c r="J600" s="9"/>
      <c r="K600" s="9"/>
      <c r="L600" s="9"/>
      <c r="M600" s="25"/>
      <c r="N600" s="25"/>
      <c r="O600" s="27"/>
      <c r="P600" s="27"/>
      <c r="Q600" s="27"/>
      <c r="R600" s="25"/>
      <c r="S600" s="25"/>
      <c r="T600" s="10"/>
      <c r="U600" s="9"/>
      <c r="V600" s="9"/>
      <c r="W600" s="9"/>
      <c r="X600" s="9"/>
      <c r="Y600" s="9"/>
      <c r="Z600" s="9"/>
      <c r="AA600" s="9"/>
      <c r="AB600" s="9"/>
      <c r="AC600" s="9"/>
      <c r="AD600" s="27"/>
      <c r="AE600" s="42"/>
      <c r="AF600" s="27"/>
      <c r="AG600" s="42"/>
      <c r="AH600" s="27"/>
      <c r="AI600" s="9"/>
      <c r="AJ600" s="9"/>
      <c r="AK600" s="9"/>
      <c r="AM600" s="43"/>
      <c r="AN600" s="43"/>
      <c r="AQ600" s="34"/>
      <c r="AR600" s="34"/>
      <c r="AS600" s="34"/>
      <c r="AT600" s="34"/>
    </row>
    <row r="601" spans="1:46" s="11" customFormat="1" x14ac:dyDescent="0.25">
      <c r="A601" s="23"/>
      <c r="B601" s="9"/>
      <c r="C601" s="9"/>
      <c r="D601" s="9"/>
      <c r="E601" s="9"/>
      <c r="F601" s="10"/>
      <c r="G601" s="10"/>
      <c r="H601" s="27"/>
      <c r="I601" s="9"/>
      <c r="J601" s="9"/>
      <c r="K601" s="9"/>
      <c r="L601" s="9"/>
      <c r="M601" s="25"/>
      <c r="N601" s="25"/>
      <c r="O601" s="27"/>
      <c r="P601" s="27"/>
      <c r="Q601" s="27"/>
      <c r="R601" s="25"/>
      <c r="S601" s="25"/>
      <c r="T601" s="10"/>
      <c r="U601" s="9"/>
      <c r="V601" s="9"/>
      <c r="W601" s="9"/>
      <c r="X601" s="9"/>
      <c r="Y601" s="9"/>
      <c r="Z601" s="9"/>
      <c r="AA601" s="9"/>
      <c r="AB601" s="9"/>
      <c r="AC601" s="9"/>
      <c r="AD601" s="27"/>
      <c r="AE601" s="42"/>
      <c r="AF601" s="27"/>
      <c r="AG601" s="42"/>
      <c r="AH601" s="27"/>
      <c r="AI601" s="9"/>
      <c r="AJ601" s="9"/>
      <c r="AK601" s="9"/>
      <c r="AM601" s="43"/>
      <c r="AN601" s="43"/>
      <c r="AQ601" s="34"/>
      <c r="AR601" s="34"/>
      <c r="AS601" s="34"/>
      <c r="AT601" s="34"/>
    </row>
    <row r="602" spans="1:46" s="11" customFormat="1" x14ac:dyDescent="0.25">
      <c r="A602" s="23"/>
      <c r="B602" s="9"/>
      <c r="C602" s="9"/>
      <c r="D602" s="9"/>
      <c r="E602" s="9"/>
      <c r="F602" s="10"/>
      <c r="G602" s="10"/>
      <c r="H602" s="27"/>
      <c r="I602" s="9"/>
      <c r="J602" s="9"/>
      <c r="K602" s="9"/>
      <c r="L602" s="9"/>
      <c r="M602" s="25"/>
      <c r="N602" s="25"/>
      <c r="O602" s="27"/>
      <c r="P602" s="27"/>
      <c r="Q602" s="27"/>
      <c r="R602" s="25"/>
      <c r="S602" s="25"/>
      <c r="T602" s="10"/>
      <c r="U602" s="9"/>
      <c r="V602" s="9"/>
      <c r="W602" s="9"/>
      <c r="X602" s="9"/>
      <c r="Y602" s="9"/>
      <c r="Z602" s="9"/>
      <c r="AA602" s="9"/>
      <c r="AB602" s="9"/>
      <c r="AC602" s="9"/>
      <c r="AD602" s="27"/>
      <c r="AE602" s="42"/>
      <c r="AF602" s="27"/>
      <c r="AG602" s="42"/>
      <c r="AH602" s="27"/>
      <c r="AI602" s="9"/>
      <c r="AJ602" s="9"/>
      <c r="AK602" s="9"/>
      <c r="AM602" s="43"/>
      <c r="AN602" s="43"/>
      <c r="AQ602" s="34"/>
      <c r="AR602" s="34"/>
      <c r="AS602" s="34"/>
      <c r="AT602" s="34"/>
    </row>
    <row r="603" spans="1:46" s="11" customFormat="1" x14ac:dyDescent="0.25">
      <c r="A603" s="23"/>
      <c r="B603" s="9"/>
      <c r="C603" s="9"/>
      <c r="D603" s="9"/>
      <c r="E603" s="9"/>
      <c r="F603" s="10"/>
      <c r="G603" s="10"/>
      <c r="H603" s="27"/>
      <c r="I603" s="9"/>
      <c r="J603" s="9"/>
      <c r="K603" s="9"/>
      <c r="L603" s="9"/>
      <c r="M603" s="25"/>
      <c r="N603" s="25"/>
      <c r="O603" s="27"/>
      <c r="P603" s="27"/>
      <c r="Q603" s="27"/>
      <c r="R603" s="25"/>
      <c r="S603" s="25"/>
      <c r="T603" s="10"/>
      <c r="U603" s="9"/>
      <c r="V603" s="9"/>
      <c r="W603" s="9"/>
      <c r="X603" s="9"/>
      <c r="Y603" s="9"/>
      <c r="Z603" s="9"/>
      <c r="AA603" s="9"/>
      <c r="AB603" s="9"/>
      <c r="AC603" s="9"/>
      <c r="AD603" s="27"/>
      <c r="AE603" s="42"/>
      <c r="AF603" s="27"/>
      <c r="AG603" s="42"/>
      <c r="AH603" s="27"/>
      <c r="AI603" s="9"/>
      <c r="AJ603" s="9"/>
      <c r="AK603" s="9"/>
      <c r="AM603" s="43"/>
      <c r="AN603" s="43"/>
      <c r="AQ603" s="34"/>
      <c r="AR603" s="34"/>
      <c r="AS603" s="34"/>
      <c r="AT603" s="34"/>
    </row>
    <row r="604" spans="1:46" s="11" customFormat="1" x14ac:dyDescent="0.25">
      <c r="A604" s="23"/>
      <c r="B604" s="9"/>
      <c r="C604" s="9"/>
      <c r="D604" s="9"/>
      <c r="E604" s="9"/>
      <c r="F604" s="10"/>
      <c r="G604" s="10"/>
      <c r="H604" s="27"/>
      <c r="I604" s="9"/>
      <c r="J604" s="9"/>
      <c r="K604" s="9"/>
      <c r="L604" s="9"/>
      <c r="M604" s="25"/>
      <c r="N604" s="25"/>
      <c r="O604" s="27"/>
      <c r="P604" s="27"/>
      <c r="Q604" s="27"/>
      <c r="R604" s="25"/>
      <c r="S604" s="25"/>
      <c r="T604" s="10"/>
      <c r="U604" s="9"/>
      <c r="V604" s="9"/>
      <c r="W604" s="9"/>
      <c r="X604" s="9"/>
      <c r="Y604" s="9"/>
      <c r="Z604" s="9"/>
      <c r="AA604" s="9"/>
      <c r="AB604" s="9"/>
      <c r="AC604" s="9"/>
      <c r="AD604" s="27"/>
      <c r="AE604" s="42"/>
      <c r="AF604" s="27"/>
      <c r="AG604" s="42"/>
      <c r="AH604" s="27"/>
      <c r="AI604" s="9"/>
      <c r="AJ604" s="9"/>
      <c r="AK604" s="9"/>
      <c r="AM604" s="43"/>
      <c r="AN604" s="43"/>
      <c r="AQ604" s="34"/>
      <c r="AR604" s="34"/>
      <c r="AS604" s="34"/>
      <c r="AT604" s="34"/>
    </row>
    <row r="605" spans="1:46" s="11" customFormat="1" x14ac:dyDescent="0.25">
      <c r="A605" s="23"/>
      <c r="B605" s="9"/>
      <c r="C605" s="9"/>
      <c r="D605" s="9"/>
      <c r="E605" s="9"/>
      <c r="F605" s="10"/>
      <c r="G605" s="10"/>
      <c r="H605" s="27"/>
      <c r="I605" s="9"/>
      <c r="J605" s="9"/>
      <c r="K605" s="9"/>
      <c r="L605" s="9"/>
      <c r="M605" s="25"/>
      <c r="N605" s="25"/>
      <c r="O605" s="27"/>
      <c r="P605" s="27"/>
      <c r="Q605" s="27"/>
      <c r="R605" s="25"/>
      <c r="S605" s="25"/>
      <c r="T605" s="10"/>
      <c r="U605" s="9"/>
      <c r="V605" s="9"/>
      <c r="W605" s="9"/>
      <c r="X605" s="9"/>
      <c r="Y605" s="9"/>
      <c r="Z605" s="9"/>
      <c r="AA605" s="9"/>
      <c r="AB605" s="9"/>
      <c r="AC605" s="9"/>
      <c r="AD605" s="27"/>
      <c r="AE605" s="42"/>
      <c r="AF605" s="27"/>
      <c r="AG605" s="42"/>
      <c r="AH605" s="27"/>
      <c r="AI605" s="9"/>
      <c r="AJ605" s="9"/>
      <c r="AK605" s="9"/>
      <c r="AM605" s="43"/>
      <c r="AN605" s="43"/>
      <c r="AQ605" s="34"/>
      <c r="AR605" s="34"/>
      <c r="AS605" s="34"/>
      <c r="AT605" s="34"/>
    </row>
    <row r="606" spans="1:46" s="11" customFormat="1" x14ac:dyDescent="0.25">
      <c r="A606" s="23"/>
      <c r="B606" s="9"/>
      <c r="C606" s="9"/>
      <c r="D606" s="9"/>
      <c r="E606" s="9"/>
      <c r="F606" s="10"/>
      <c r="G606" s="10"/>
      <c r="H606" s="27"/>
      <c r="I606" s="9"/>
      <c r="J606" s="9"/>
      <c r="K606" s="9"/>
      <c r="L606" s="9"/>
      <c r="M606" s="25"/>
      <c r="N606" s="25"/>
      <c r="O606" s="27"/>
      <c r="P606" s="27"/>
      <c r="Q606" s="27"/>
      <c r="R606" s="25"/>
      <c r="S606" s="25"/>
      <c r="T606" s="10"/>
      <c r="U606" s="9"/>
      <c r="V606" s="9"/>
      <c r="W606" s="9"/>
      <c r="X606" s="9"/>
      <c r="Y606" s="9"/>
      <c r="Z606" s="9"/>
      <c r="AA606" s="9"/>
      <c r="AB606" s="9"/>
      <c r="AC606" s="9"/>
      <c r="AD606" s="27"/>
      <c r="AE606" s="42"/>
      <c r="AF606" s="27"/>
      <c r="AG606" s="42"/>
      <c r="AH606" s="27"/>
      <c r="AI606" s="9"/>
      <c r="AJ606" s="9"/>
      <c r="AK606" s="9"/>
      <c r="AM606" s="43"/>
      <c r="AN606" s="43"/>
      <c r="AQ606" s="34"/>
      <c r="AR606" s="34"/>
      <c r="AS606" s="34"/>
      <c r="AT606" s="34"/>
    </row>
    <row r="607" spans="1:46" s="11" customFormat="1" x14ac:dyDescent="0.25">
      <c r="A607" s="23"/>
      <c r="B607" s="9"/>
      <c r="C607" s="9"/>
      <c r="D607" s="9"/>
      <c r="E607" s="9"/>
      <c r="F607" s="10"/>
      <c r="G607" s="10"/>
      <c r="H607" s="27"/>
      <c r="I607" s="9"/>
      <c r="J607" s="9"/>
      <c r="K607" s="9"/>
      <c r="L607" s="9"/>
      <c r="M607" s="25"/>
      <c r="N607" s="25"/>
      <c r="O607" s="27"/>
      <c r="P607" s="27"/>
      <c r="Q607" s="27"/>
      <c r="R607" s="25"/>
      <c r="S607" s="25"/>
      <c r="T607" s="10"/>
      <c r="U607" s="9"/>
      <c r="V607" s="9"/>
      <c r="W607" s="9"/>
      <c r="X607" s="9"/>
      <c r="Y607" s="9"/>
      <c r="Z607" s="9"/>
      <c r="AA607" s="9"/>
      <c r="AB607" s="9"/>
      <c r="AC607" s="9"/>
      <c r="AD607" s="27"/>
      <c r="AE607" s="42"/>
      <c r="AF607" s="27"/>
      <c r="AG607" s="42"/>
      <c r="AH607" s="27"/>
      <c r="AI607" s="9"/>
      <c r="AJ607" s="9"/>
      <c r="AK607" s="9"/>
      <c r="AM607" s="43"/>
      <c r="AN607" s="43"/>
      <c r="AQ607" s="34"/>
      <c r="AR607" s="34"/>
      <c r="AS607" s="34"/>
      <c r="AT607" s="34"/>
    </row>
    <row r="608" spans="1:46" s="11" customFormat="1" x14ac:dyDescent="0.25">
      <c r="A608" s="23"/>
      <c r="B608" s="9"/>
      <c r="C608" s="9"/>
      <c r="D608" s="9"/>
      <c r="E608" s="9"/>
      <c r="F608" s="10"/>
      <c r="G608" s="10"/>
      <c r="H608" s="27"/>
      <c r="I608" s="9"/>
      <c r="J608" s="9"/>
      <c r="K608" s="9"/>
      <c r="L608" s="9"/>
      <c r="M608" s="25"/>
      <c r="N608" s="25"/>
      <c r="O608" s="27"/>
      <c r="P608" s="27"/>
      <c r="Q608" s="27"/>
      <c r="R608" s="25"/>
      <c r="S608" s="25"/>
      <c r="T608" s="10"/>
      <c r="U608" s="9"/>
      <c r="V608" s="9"/>
      <c r="W608" s="9"/>
      <c r="X608" s="9"/>
      <c r="Y608" s="9"/>
      <c r="Z608" s="9"/>
      <c r="AA608" s="9"/>
      <c r="AB608" s="9"/>
      <c r="AC608" s="9"/>
      <c r="AD608" s="27"/>
      <c r="AE608" s="42"/>
      <c r="AF608" s="27"/>
      <c r="AG608" s="42"/>
      <c r="AH608" s="27"/>
      <c r="AI608" s="9"/>
      <c r="AJ608" s="9"/>
      <c r="AK608" s="9"/>
      <c r="AM608" s="43"/>
      <c r="AN608" s="43"/>
      <c r="AQ608" s="34"/>
      <c r="AR608" s="34"/>
      <c r="AS608" s="34"/>
      <c r="AT608" s="34"/>
    </row>
    <row r="609" spans="1:46" s="11" customFormat="1" x14ac:dyDescent="0.25">
      <c r="A609" s="23"/>
      <c r="B609" s="9"/>
      <c r="C609" s="9"/>
      <c r="D609" s="9"/>
      <c r="E609" s="9"/>
      <c r="F609" s="10"/>
      <c r="G609" s="10"/>
      <c r="H609" s="27"/>
      <c r="I609" s="9"/>
      <c r="J609" s="9"/>
      <c r="K609" s="9"/>
      <c r="L609" s="9"/>
      <c r="M609" s="25"/>
      <c r="N609" s="25"/>
      <c r="O609" s="27"/>
      <c r="P609" s="27"/>
      <c r="Q609" s="27"/>
      <c r="R609" s="25"/>
      <c r="S609" s="25"/>
      <c r="T609" s="10"/>
      <c r="U609" s="9"/>
      <c r="V609" s="9"/>
      <c r="W609" s="9"/>
      <c r="X609" s="9"/>
      <c r="Y609" s="9"/>
      <c r="Z609" s="9"/>
      <c r="AA609" s="9"/>
      <c r="AB609" s="9"/>
      <c r="AC609" s="9"/>
      <c r="AD609" s="27"/>
      <c r="AE609" s="42"/>
      <c r="AF609" s="27"/>
      <c r="AG609" s="42"/>
      <c r="AH609" s="27"/>
      <c r="AI609" s="9"/>
      <c r="AJ609" s="9"/>
      <c r="AK609" s="9"/>
      <c r="AM609" s="43"/>
      <c r="AN609" s="43"/>
      <c r="AQ609" s="34"/>
      <c r="AR609" s="34"/>
      <c r="AS609" s="34"/>
      <c r="AT609" s="34"/>
    </row>
    <row r="610" spans="1:46" s="11" customFormat="1" x14ac:dyDescent="0.25">
      <c r="A610" s="23"/>
      <c r="B610" s="9"/>
      <c r="C610" s="9"/>
      <c r="D610" s="9"/>
      <c r="E610" s="9"/>
      <c r="F610" s="10"/>
      <c r="G610" s="10"/>
      <c r="H610" s="27"/>
      <c r="I610" s="9"/>
      <c r="J610" s="9"/>
      <c r="K610" s="9"/>
      <c r="L610" s="9"/>
      <c r="M610" s="25"/>
      <c r="N610" s="25"/>
      <c r="O610" s="27"/>
      <c r="P610" s="27"/>
      <c r="Q610" s="27"/>
      <c r="R610" s="25"/>
      <c r="S610" s="25"/>
      <c r="T610" s="10"/>
      <c r="U610" s="9"/>
      <c r="V610" s="9"/>
      <c r="W610" s="9"/>
      <c r="X610" s="9"/>
      <c r="Y610" s="9"/>
      <c r="Z610" s="9"/>
      <c r="AA610" s="9"/>
      <c r="AB610" s="9"/>
      <c r="AC610" s="9"/>
      <c r="AD610" s="27"/>
      <c r="AE610" s="42"/>
      <c r="AF610" s="27"/>
      <c r="AG610" s="42"/>
      <c r="AH610" s="27"/>
      <c r="AI610" s="9"/>
      <c r="AJ610" s="9"/>
      <c r="AK610" s="9"/>
      <c r="AM610" s="43"/>
      <c r="AN610" s="43"/>
      <c r="AQ610" s="34"/>
      <c r="AR610" s="34"/>
      <c r="AS610" s="34"/>
      <c r="AT610" s="34"/>
    </row>
    <row r="611" spans="1:46" s="11" customFormat="1" x14ac:dyDescent="0.25">
      <c r="A611" s="23"/>
      <c r="B611" s="9"/>
      <c r="C611" s="9"/>
      <c r="D611" s="9"/>
      <c r="E611" s="9"/>
      <c r="F611" s="10"/>
      <c r="G611" s="10"/>
      <c r="H611" s="27"/>
      <c r="I611" s="9"/>
      <c r="J611" s="9"/>
      <c r="K611" s="9"/>
      <c r="L611" s="9"/>
      <c r="M611" s="25"/>
      <c r="N611" s="25"/>
      <c r="O611" s="27"/>
      <c r="P611" s="27"/>
      <c r="Q611" s="27"/>
      <c r="R611" s="25"/>
      <c r="S611" s="25"/>
      <c r="T611" s="10"/>
      <c r="U611" s="9"/>
      <c r="V611" s="9"/>
      <c r="W611" s="9"/>
      <c r="X611" s="9"/>
      <c r="Y611" s="9"/>
      <c r="Z611" s="9"/>
      <c r="AA611" s="9"/>
      <c r="AB611" s="9"/>
      <c r="AC611" s="9"/>
      <c r="AD611" s="27"/>
      <c r="AE611" s="42"/>
      <c r="AF611" s="27"/>
      <c r="AG611" s="42"/>
      <c r="AH611" s="27"/>
      <c r="AI611" s="9"/>
      <c r="AJ611" s="9"/>
      <c r="AK611" s="9"/>
      <c r="AM611" s="43"/>
      <c r="AN611" s="43"/>
      <c r="AQ611" s="34"/>
      <c r="AR611" s="34"/>
      <c r="AS611" s="34"/>
      <c r="AT611" s="34"/>
    </row>
    <row r="612" spans="1:46" s="11" customFormat="1" x14ac:dyDescent="0.25">
      <c r="A612" s="23"/>
      <c r="B612" s="9"/>
      <c r="C612" s="9"/>
      <c r="D612" s="9"/>
      <c r="E612" s="9"/>
      <c r="F612" s="10"/>
      <c r="G612" s="10"/>
      <c r="H612" s="27"/>
      <c r="I612" s="9"/>
      <c r="J612" s="9"/>
      <c r="K612" s="9"/>
      <c r="L612" s="9"/>
      <c r="M612" s="25"/>
      <c r="N612" s="25"/>
      <c r="O612" s="27"/>
      <c r="P612" s="27"/>
      <c r="Q612" s="27"/>
      <c r="R612" s="25"/>
      <c r="S612" s="25"/>
      <c r="T612" s="10"/>
      <c r="U612" s="9"/>
      <c r="V612" s="9"/>
      <c r="W612" s="9"/>
      <c r="X612" s="9"/>
      <c r="Y612" s="9"/>
      <c r="Z612" s="9"/>
      <c r="AA612" s="9"/>
      <c r="AB612" s="9"/>
      <c r="AC612" s="9"/>
      <c r="AD612" s="27"/>
      <c r="AE612" s="42"/>
      <c r="AF612" s="27"/>
      <c r="AG612" s="42"/>
      <c r="AH612" s="27"/>
      <c r="AI612" s="9"/>
      <c r="AJ612" s="9"/>
      <c r="AK612" s="9"/>
      <c r="AM612" s="43"/>
      <c r="AN612" s="43"/>
      <c r="AQ612" s="34"/>
      <c r="AR612" s="34"/>
      <c r="AS612" s="34"/>
      <c r="AT612" s="34"/>
    </row>
    <row r="613" spans="1:46" s="11" customFormat="1" x14ac:dyDescent="0.25">
      <c r="A613" s="23"/>
      <c r="B613" s="9"/>
      <c r="C613" s="9"/>
      <c r="D613" s="9"/>
      <c r="E613" s="9"/>
      <c r="F613" s="10"/>
      <c r="G613" s="10"/>
      <c r="H613" s="27"/>
      <c r="I613" s="9"/>
      <c r="J613" s="9"/>
      <c r="K613" s="9"/>
      <c r="L613" s="9"/>
      <c r="M613" s="25"/>
      <c r="N613" s="25"/>
      <c r="O613" s="27"/>
      <c r="P613" s="27"/>
      <c r="Q613" s="27"/>
      <c r="R613" s="25"/>
      <c r="S613" s="25"/>
      <c r="T613" s="10"/>
      <c r="U613" s="9"/>
      <c r="V613" s="9"/>
      <c r="W613" s="9"/>
      <c r="X613" s="9"/>
      <c r="Y613" s="9"/>
      <c r="Z613" s="9"/>
      <c r="AA613" s="9"/>
      <c r="AB613" s="9"/>
      <c r="AC613" s="9"/>
      <c r="AD613" s="27"/>
      <c r="AE613" s="42"/>
      <c r="AF613" s="27"/>
      <c r="AG613" s="42"/>
      <c r="AH613" s="27"/>
      <c r="AI613" s="9"/>
      <c r="AJ613" s="9"/>
      <c r="AK613" s="9"/>
      <c r="AM613" s="43"/>
      <c r="AN613" s="43"/>
      <c r="AQ613" s="34"/>
      <c r="AR613" s="34"/>
      <c r="AS613" s="34"/>
      <c r="AT613" s="34"/>
    </row>
    <row r="614" spans="1:46" s="11" customFormat="1" x14ac:dyDescent="0.25">
      <c r="A614" s="23"/>
      <c r="B614" s="9"/>
      <c r="C614" s="9"/>
      <c r="D614" s="9"/>
      <c r="E614" s="9"/>
      <c r="F614" s="10"/>
      <c r="G614" s="10"/>
      <c r="H614" s="27"/>
      <c r="I614" s="9"/>
      <c r="J614" s="9"/>
      <c r="K614" s="9"/>
      <c r="L614" s="9"/>
      <c r="M614" s="25"/>
      <c r="N614" s="25"/>
      <c r="O614" s="27"/>
      <c r="P614" s="27"/>
      <c r="Q614" s="27"/>
      <c r="R614" s="25"/>
      <c r="S614" s="25"/>
      <c r="T614" s="10"/>
      <c r="U614" s="9"/>
      <c r="V614" s="9"/>
      <c r="W614" s="9"/>
      <c r="X614" s="9"/>
      <c r="Y614" s="9"/>
      <c r="Z614" s="9"/>
      <c r="AA614" s="9"/>
      <c r="AB614" s="9"/>
      <c r="AC614" s="9"/>
      <c r="AD614" s="27"/>
      <c r="AE614" s="42"/>
      <c r="AF614" s="27"/>
      <c r="AG614" s="42"/>
      <c r="AH614" s="27"/>
      <c r="AI614" s="9"/>
      <c r="AJ614" s="9"/>
      <c r="AK614" s="9"/>
      <c r="AM614" s="43"/>
      <c r="AN614" s="43"/>
      <c r="AQ614" s="34"/>
      <c r="AR614" s="34"/>
      <c r="AS614" s="34"/>
      <c r="AT614" s="34"/>
    </row>
    <row r="615" spans="1:46" s="11" customFormat="1" x14ac:dyDescent="0.25">
      <c r="A615" s="23"/>
      <c r="B615" s="9"/>
      <c r="C615" s="9"/>
      <c r="D615" s="9"/>
      <c r="E615" s="9"/>
      <c r="F615" s="10"/>
      <c r="G615" s="10"/>
      <c r="H615" s="27"/>
      <c r="I615" s="9"/>
      <c r="J615" s="9"/>
      <c r="K615" s="9"/>
      <c r="L615" s="9"/>
      <c r="M615" s="25"/>
      <c r="N615" s="25"/>
      <c r="O615" s="27"/>
      <c r="P615" s="27"/>
      <c r="Q615" s="27"/>
      <c r="R615" s="25"/>
      <c r="S615" s="25"/>
      <c r="T615" s="10"/>
      <c r="U615" s="9"/>
      <c r="V615" s="9"/>
      <c r="W615" s="9"/>
      <c r="X615" s="9"/>
      <c r="Y615" s="9"/>
      <c r="Z615" s="9"/>
      <c r="AA615" s="9"/>
      <c r="AB615" s="9"/>
      <c r="AC615" s="9"/>
      <c r="AD615" s="27"/>
      <c r="AE615" s="42"/>
      <c r="AF615" s="27"/>
      <c r="AG615" s="42"/>
      <c r="AH615" s="27"/>
      <c r="AI615" s="9"/>
      <c r="AJ615" s="9"/>
      <c r="AK615" s="9"/>
      <c r="AM615" s="43"/>
      <c r="AN615" s="43"/>
      <c r="AQ615" s="34"/>
      <c r="AR615" s="34"/>
      <c r="AS615" s="34"/>
      <c r="AT615" s="34"/>
    </row>
    <row r="616" spans="1:46" s="11" customFormat="1" x14ac:dyDescent="0.25">
      <c r="A616" s="23"/>
      <c r="B616" s="9"/>
      <c r="C616" s="9"/>
      <c r="D616" s="9"/>
      <c r="E616" s="9"/>
      <c r="F616" s="10"/>
      <c r="G616" s="10"/>
      <c r="H616" s="27"/>
      <c r="I616" s="9"/>
      <c r="J616" s="9"/>
      <c r="K616" s="9"/>
      <c r="L616" s="9"/>
      <c r="M616" s="25"/>
      <c r="N616" s="25"/>
      <c r="O616" s="27"/>
      <c r="P616" s="27"/>
      <c r="Q616" s="27"/>
      <c r="R616" s="25"/>
      <c r="S616" s="25"/>
      <c r="T616" s="10"/>
      <c r="U616" s="9"/>
      <c r="V616" s="9"/>
      <c r="W616" s="9"/>
      <c r="X616" s="9"/>
      <c r="Y616" s="9"/>
      <c r="Z616" s="9"/>
      <c r="AA616" s="9"/>
      <c r="AB616" s="9"/>
      <c r="AC616" s="9"/>
      <c r="AD616" s="27"/>
      <c r="AE616" s="42"/>
      <c r="AF616" s="27"/>
      <c r="AG616" s="42"/>
      <c r="AH616" s="27"/>
      <c r="AI616" s="9"/>
      <c r="AJ616" s="9"/>
      <c r="AK616" s="9"/>
      <c r="AM616" s="43"/>
      <c r="AN616" s="43"/>
      <c r="AQ616" s="34"/>
      <c r="AR616" s="34"/>
      <c r="AS616" s="34"/>
      <c r="AT616" s="34"/>
    </row>
    <row r="617" spans="1:46" s="11" customFormat="1" x14ac:dyDescent="0.25">
      <c r="A617" s="23"/>
      <c r="B617" s="9"/>
      <c r="C617" s="9"/>
      <c r="D617" s="9"/>
      <c r="E617" s="9"/>
      <c r="F617" s="10"/>
      <c r="G617" s="10"/>
      <c r="H617" s="27"/>
      <c r="I617" s="9"/>
      <c r="J617" s="9"/>
      <c r="K617" s="9"/>
      <c r="L617" s="9"/>
      <c r="M617" s="25"/>
      <c r="N617" s="25"/>
      <c r="O617" s="27"/>
      <c r="P617" s="27"/>
      <c r="Q617" s="27"/>
      <c r="R617" s="25"/>
      <c r="S617" s="25"/>
      <c r="T617" s="10"/>
      <c r="U617" s="9"/>
      <c r="V617" s="9"/>
      <c r="W617" s="9"/>
      <c r="X617" s="9"/>
      <c r="Y617" s="9"/>
      <c r="Z617" s="9"/>
      <c r="AA617" s="9"/>
      <c r="AB617" s="9"/>
      <c r="AC617" s="9"/>
      <c r="AD617" s="27"/>
      <c r="AE617" s="42"/>
      <c r="AF617" s="27"/>
      <c r="AG617" s="42"/>
      <c r="AH617" s="27"/>
      <c r="AI617" s="9"/>
      <c r="AJ617" s="9"/>
      <c r="AK617" s="9"/>
      <c r="AM617" s="43"/>
      <c r="AN617" s="43"/>
      <c r="AQ617" s="34"/>
      <c r="AR617" s="34"/>
      <c r="AS617" s="34"/>
      <c r="AT617" s="34"/>
    </row>
    <row r="618" spans="1:46" s="11" customFormat="1" x14ac:dyDescent="0.25">
      <c r="A618" s="23"/>
      <c r="B618" s="9"/>
      <c r="C618" s="9"/>
      <c r="D618" s="9"/>
      <c r="E618" s="9"/>
      <c r="F618" s="10"/>
      <c r="G618" s="10"/>
      <c r="H618" s="27"/>
      <c r="I618" s="9"/>
      <c r="J618" s="9"/>
      <c r="K618" s="9"/>
      <c r="L618" s="9"/>
      <c r="M618" s="25"/>
      <c r="N618" s="25"/>
      <c r="O618" s="27"/>
      <c r="P618" s="27"/>
      <c r="Q618" s="27"/>
      <c r="R618" s="25"/>
      <c r="S618" s="25"/>
      <c r="T618" s="10"/>
      <c r="U618" s="9"/>
      <c r="V618" s="9"/>
      <c r="W618" s="9"/>
      <c r="X618" s="9"/>
      <c r="Y618" s="9"/>
      <c r="Z618" s="9"/>
      <c r="AA618" s="9"/>
      <c r="AB618" s="9"/>
      <c r="AC618" s="9"/>
      <c r="AD618" s="27"/>
      <c r="AE618" s="42"/>
      <c r="AF618" s="27"/>
      <c r="AG618" s="42"/>
      <c r="AH618" s="27"/>
      <c r="AI618" s="9"/>
      <c r="AJ618" s="9"/>
      <c r="AK618" s="9"/>
      <c r="AM618" s="43"/>
      <c r="AN618" s="43"/>
      <c r="AQ618" s="34"/>
      <c r="AR618" s="34"/>
      <c r="AS618" s="34"/>
      <c r="AT618" s="34"/>
    </row>
    <row r="619" spans="1:46" s="11" customFormat="1" x14ac:dyDescent="0.25">
      <c r="A619" s="23"/>
      <c r="B619" s="9"/>
      <c r="C619" s="9"/>
      <c r="D619" s="9"/>
      <c r="E619" s="9"/>
      <c r="F619" s="10"/>
      <c r="G619" s="10"/>
      <c r="H619" s="27"/>
      <c r="I619" s="9"/>
      <c r="J619" s="9"/>
      <c r="K619" s="9"/>
      <c r="L619" s="9"/>
      <c r="M619" s="25"/>
      <c r="N619" s="25"/>
      <c r="O619" s="27"/>
      <c r="P619" s="27"/>
      <c r="Q619" s="27"/>
      <c r="R619" s="25"/>
      <c r="S619" s="25"/>
      <c r="T619" s="10"/>
      <c r="U619" s="9"/>
      <c r="V619" s="9"/>
      <c r="W619" s="9"/>
      <c r="X619" s="9"/>
      <c r="Y619" s="9"/>
      <c r="Z619" s="9"/>
      <c r="AA619" s="9"/>
      <c r="AB619" s="9"/>
      <c r="AC619" s="9"/>
      <c r="AD619" s="27"/>
      <c r="AE619" s="42"/>
      <c r="AF619" s="27"/>
      <c r="AG619" s="42"/>
      <c r="AH619" s="27"/>
      <c r="AI619" s="9"/>
      <c r="AJ619" s="9"/>
      <c r="AK619" s="9"/>
      <c r="AM619" s="43"/>
      <c r="AN619" s="43"/>
      <c r="AQ619" s="34"/>
      <c r="AR619" s="34"/>
      <c r="AS619" s="34"/>
      <c r="AT619" s="34"/>
    </row>
    <row r="620" spans="1:46" s="11" customFormat="1" x14ac:dyDescent="0.25">
      <c r="A620" s="23"/>
      <c r="B620" s="9"/>
      <c r="C620" s="9"/>
      <c r="D620" s="9"/>
      <c r="E620" s="9"/>
      <c r="F620" s="10"/>
      <c r="G620" s="10"/>
      <c r="H620" s="27"/>
      <c r="I620" s="9"/>
      <c r="J620" s="9"/>
      <c r="K620" s="9"/>
      <c r="L620" s="9"/>
      <c r="M620" s="25"/>
      <c r="N620" s="25"/>
      <c r="O620" s="27"/>
      <c r="P620" s="27"/>
      <c r="Q620" s="27"/>
      <c r="R620" s="25"/>
      <c r="S620" s="25"/>
      <c r="T620" s="10"/>
      <c r="U620" s="9"/>
      <c r="V620" s="9"/>
      <c r="W620" s="9"/>
      <c r="X620" s="9"/>
      <c r="Y620" s="9"/>
      <c r="Z620" s="9"/>
      <c r="AA620" s="9"/>
      <c r="AB620" s="9"/>
      <c r="AC620" s="9"/>
      <c r="AD620" s="27"/>
      <c r="AE620" s="42"/>
      <c r="AF620" s="27"/>
      <c r="AG620" s="42"/>
      <c r="AH620" s="27"/>
      <c r="AI620" s="9"/>
      <c r="AJ620" s="9"/>
      <c r="AK620" s="9"/>
      <c r="AM620" s="43"/>
      <c r="AN620" s="43"/>
      <c r="AQ620" s="34"/>
      <c r="AR620" s="34"/>
      <c r="AS620" s="34"/>
      <c r="AT620" s="34"/>
    </row>
    <row r="621" spans="1:46" s="11" customFormat="1" x14ac:dyDescent="0.25">
      <c r="A621" s="23"/>
      <c r="B621" s="9"/>
      <c r="C621" s="9"/>
      <c r="D621" s="9"/>
      <c r="E621" s="9"/>
      <c r="F621" s="10"/>
      <c r="G621" s="10"/>
      <c r="H621" s="27"/>
      <c r="I621" s="9"/>
      <c r="J621" s="9"/>
      <c r="K621" s="9"/>
      <c r="L621" s="9"/>
      <c r="M621" s="25"/>
      <c r="N621" s="25"/>
      <c r="O621" s="27"/>
      <c r="P621" s="27"/>
      <c r="Q621" s="27"/>
      <c r="R621" s="25"/>
      <c r="S621" s="25"/>
      <c r="T621" s="10"/>
      <c r="U621" s="9"/>
      <c r="V621" s="9"/>
      <c r="W621" s="9"/>
      <c r="X621" s="9"/>
      <c r="Y621" s="9"/>
      <c r="Z621" s="9"/>
      <c r="AA621" s="9"/>
      <c r="AB621" s="9"/>
      <c r="AC621" s="9"/>
      <c r="AD621" s="27"/>
      <c r="AE621" s="42"/>
      <c r="AF621" s="27"/>
      <c r="AG621" s="42"/>
      <c r="AH621" s="27"/>
      <c r="AI621" s="9"/>
      <c r="AJ621" s="9"/>
      <c r="AK621" s="9"/>
      <c r="AM621" s="43"/>
      <c r="AN621" s="43"/>
      <c r="AQ621" s="34"/>
      <c r="AR621" s="34"/>
      <c r="AS621" s="34"/>
      <c r="AT621" s="34"/>
    </row>
    <row r="622" spans="1:46" s="11" customFormat="1" x14ac:dyDescent="0.25">
      <c r="A622" s="23"/>
      <c r="B622" s="9"/>
      <c r="C622" s="9"/>
      <c r="D622" s="9"/>
      <c r="E622" s="9"/>
      <c r="F622" s="10"/>
      <c r="G622" s="10"/>
      <c r="H622" s="27"/>
      <c r="I622" s="9"/>
      <c r="J622" s="9"/>
      <c r="K622" s="9"/>
      <c r="L622" s="9"/>
      <c r="M622" s="25"/>
      <c r="N622" s="25"/>
      <c r="O622" s="27"/>
      <c r="P622" s="27"/>
      <c r="Q622" s="27"/>
      <c r="R622" s="25"/>
      <c r="S622" s="25"/>
      <c r="T622" s="10"/>
      <c r="U622" s="9"/>
      <c r="V622" s="9"/>
      <c r="W622" s="9"/>
      <c r="X622" s="9"/>
      <c r="Y622" s="9"/>
      <c r="Z622" s="9"/>
      <c r="AA622" s="9"/>
      <c r="AB622" s="9"/>
      <c r="AC622" s="9"/>
      <c r="AD622" s="27"/>
      <c r="AE622" s="42"/>
      <c r="AF622" s="27"/>
      <c r="AG622" s="42"/>
      <c r="AH622" s="27"/>
      <c r="AI622" s="9"/>
      <c r="AJ622" s="9"/>
      <c r="AK622" s="9"/>
      <c r="AM622" s="43"/>
      <c r="AN622" s="43"/>
      <c r="AQ622" s="34"/>
      <c r="AR622" s="34"/>
      <c r="AS622" s="34"/>
      <c r="AT622" s="34"/>
    </row>
    <row r="623" spans="1:46" s="11" customFormat="1" x14ac:dyDescent="0.25">
      <c r="A623" s="23"/>
      <c r="B623" s="9"/>
      <c r="C623" s="9"/>
      <c r="D623" s="9"/>
      <c r="E623" s="9"/>
      <c r="F623" s="10"/>
      <c r="G623" s="10"/>
      <c r="H623" s="27"/>
      <c r="I623" s="9"/>
      <c r="J623" s="9"/>
      <c r="K623" s="9"/>
      <c r="L623" s="9"/>
      <c r="M623" s="25"/>
      <c r="N623" s="25"/>
      <c r="O623" s="27"/>
      <c r="P623" s="27"/>
      <c r="Q623" s="27"/>
      <c r="R623" s="25"/>
      <c r="S623" s="25"/>
      <c r="T623" s="10"/>
      <c r="U623" s="9"/>
      <c r="V623" s="9"/>
      <c r="W623" s="9"/>
      <c r="X623" s="9"/>
      <c r="Y623" s="9"/>
      <c r="Z623" s="9"/>
      <c r="AA623" s="9"/>
      <c r="AB623" s="9"/>
      <c r="AC623" s="9"/>
      <c r="AD623" s="27"/>
      <c r="AE623" s="42"/>
      <c r="AF623" s="27"/>
      <c r="AG623" s="42"/>
      <c r="AH623" s="27"/>
      <c r="AI623" s="9"/>
      <c r="AJ623" s="9"/>
      <c r="AK623" s="9"/>
      <c r="AM623" s="43"/>
      <c r="AN623" s="43"/>
      <c r="AQ623" s="34"/>
      <c r="AR623" s="34"/>
      <c r="AS623" s="34"/>
      <c r="AT623" s="34"/>
    </row>
    <row r="624" spans="1:46" s="11" customFormat="1" x14ac:dyDescent="0.25">
      <c r="A624" s="23"/>
      <c r="B624" s="9"/>
      <c r="C624" s="9"/>
      <c r="D624" s="9"/>
      <c r="E624" s="9"/>
      <c r="F624" s="10"/>
      <c r="G624" s="10"/>
      <c r="H624" s="27"/>
      <c r="I624" s="9"/>
      <c r="J624" s="9"/>
      <c r="K624" s="9"/>
      <c r="L624" s="9"/>
      <c r="M624" s="25"/>
      <c r="N624" s="25"/>
      <c r="O624" s="27"/>
      <c r="P624" s="27"/>
      <c r="Q624" s="27"/>
      <c r="R624" s="25"/>
      <c r="S624" s="25"/>
      <c r="T624" s="10"/>
      <c r="U624" s="9"/>
      <c r="V624" s="9"/>
      <c r="W624" s="9"/>
      <c r="X624" s="9"/>
      <c r="Y624" s="9"/>
      <c r="Z624" s="9"/>
      <c r="AA624" s="9"/>
      <c r="AB624" s="9"/>
      <c r="AC624" s="9"/>
      <c r="AD624" s="27"/>
      <c r="AE624" s="42"/>
      <c r="AF624" s="27"/>
      <c r="AG624" s="42"/>
      <c r="AH624" s="27"/>
      <c r="AI624" s="9"/>
      <c r="AJ624" s="9"/>
      <c r="AK624" s="9"/>
      <c r="AM624" s="43"/>
      <c r="AN624" s="43"/>
      <c r="AQ624" s="34"/>
      <c r="AR624" s="34"/>
      <c r="AS624" s="34"/>
      <c r="AT624" s="34"/>
    </row>
    <row r="625" spans="1:46" s="11" customFormat="1" x14ac:dyDescent="0.25">
      <c r="A625" s="23"/>
      <c r="B625" s="9"/>
      <c r="C625" s="9"/>
      <c r="D625" s="9"/>
      <c r="E625" s="9"/>
      <c r="F625" s="10"/>
      <c r="G625" s="10"/>
      <c r="H625" s="27"/>
      <c r="I625" s="9"/>
      <c r="J625" s="9"/>
      <c r="K625" s="9"/>
      <c r="L625" s="9"/>
      <c r="M625" s="25"/>
      <c r="N625" s="25"/>
      <c r="O625" s="27"/>
      <c r="P625" s="27"/>
      <c r="Q625" s="27"/>
      <c r="R625" s="25"/>
      <c r="S625" s="25"/>
      <c r="T625" s="10"/>
      <c r="U625" s="9"/>
      <c r="V625" s="9"/>
      <c r="W625" s="9"/>
      <c r="X625" s="9"/>
      <c r="Y625" s="9"/>
      <c r="Z625" s="9"/>
      <c r="AA625" s="9"/>
      <c r="AB625" s="9"/>
      <c r="AC625" s="9"/>
      <c r="AD625" s="27"/>
      <c r="AE625" s="42"/>
      <c r="AF625" s="27"/>
      <c r="AG625" s="42"/>
      <c r="AH625" s="27"/>
      <c r="AI625" s="9"/>
      <c r="AJ625" s="9"/>
      <c r="AK625" s="9"/>
      <c r="AM625" s="43"/>
      <c r="AN625" s="43"/>
      <c r="AQ625" s="34"/>
      <c r="AR625" s="34"/>
      <c r="AS625" s="34"/>
      <c r="AT625" s="34"/>
    </row>
    <row r="626" spans="1:46" s="11" customFormat="1" x14ac:dyDescent="0.25">
      <c r="A626" s="23"/>
      <c r="B626" s="9"/>
      <c r="C626" s="9"/>
      <c r="D626" s="9"/>
      <c r="E626" s="9"/>
      <c r="F626" s="10"/>
      <c r="G626" s="10"/>
      <c r="H626" s="27"/>
      <c r="I626" s="9"/>
      <c r="J626" s="9"/>
      <c r="K626" s="9"/>
      <c r="L626" s="9"/>
      <c r="M626" s="25"/>
      <c r="N626" s="25"/>
      <c r="O626" s="27"/>
      <c r="P626" s="27"/>
      <c r="Q626" s="27"/>
      <c r="R626" s="25"/>
      <c r="S626" s="25"/>
      <c r="T626" s="10"/>
      <c r="U626" s="9"/>
      <c r="V626" s="9"/>
      <c r="W626" s="9"/>
      <c r="X626" s="9"/>
      <c r="Y626" s="9"/>
      <c r="Z626" s="9"/>
      <c r="AA626" s="9"/>
      <c r="AB626" s="9"/>
      <c r="AC626" s="9"/>
      <c r="AD626" s="27"/>
      <c r="AE626" s="42"/>
      <c r="AF626" s="27"/>
      <c r="AG626" s="42"/>
      <c r="AH626" s="27"/>
      <c r="AI626" s="9"/>
      <c r="AJ626" s="9"/>
      <c r="AK626" s="9"/>
      <c r="AM626" s="43"/>
      <c r="AN626" s="43"/>
      <c r="AQ626" s="34"/>
      <c r="AR626" s="34"/>
      <c r="AS626" s="34"/>
      <c r="AT626" s="34"/>
    </row>
    <row r="627" spans="1:46" s="11" customFormat="1" x14ac:dyDescent="0.25">
      <c r="A627" s="23"/>
      <c r="B627" s="9"/>
      <c r="C627" s="9"/>
      <c r="D627" s="9"/>
      <c r="E627" s="9"/>
      <c r="F627" s="10"/>
      <c r="G627" s="10"/>
      <c r="H627" s="27"/>
      <c r="I627" s="9"/>
      <c r="J627" s="9"/>
      <c r="K627" s="9"/>
      <c r="L627" s="9"/>
      <c r="M627" s="25"/>
      <c r="N627" s="25"/>
      <c r="O627" s="27"/>
      <c r="P627" s="27"/>
      <c r="Q627" s="27"/>
      <c r="R627" s="25"/>
      <c r="S627" s="25"/>
      <c r="T627" s="10"/>
      <c r="U627" s="9"/>
      <c r="V627" s="9"/>
      <c r="W627" s="9"/>
      <c r="X627" s="9"/>
      <c r="Y627" s="9"/>
      <c r="Z627" s="9"/>
      <c r="AA627" s="9"/>
      <c r="AB627" s="9"/>
      <c r="AC627" s="9"/>
      <c r="AD627" s="27"/>
      <c r="AE627" s="42"/>
      <c r="AF627" s="27"/>
      <c r="AG627" s="42"/>
      <c r="AH627" s="27"/>
      <c r="AI627" s="9"/>
      <c r="AJ627" s="9"/>
      <c r="AK627" s="9"/>
      <c r="AM627" s="43"/>
      <c r="AN627" s="43"/>
      <c r="AQ627" s="34"/>
      <c r="AR627" s="34"/>
      <c r="AS627" s="34"/>
      <c r="AT627" s="34"/>
    </row>
    <row r="628" spans="1:46" s="11" customFormat="1" x14ac:dyDescent="0.25">
      <c r="A628" s="23"/>
      <c r="B628" s="9"/>
      <c r="C628" s="9"/>
      <c r="D628" s="9"/>
      <c r="E628" s="9"/>
      <c r="F628" s="10"/>
      <c r="G628" s="10"/>
      <c r="H628" s="27"/>
      <c r="I628" s="9"/>
      <c r="J628" s="9"/>
      <c r="K628" s="9"/>
      <c r="L628" s="9"/>
      <c r="M628" s="25"/>
      <c r="N628" s="25"/>
      <c r="O628" s="27"/>
      <c r="P628" s="27"/>
      <c r="Q628" s="27"/>
      <c r="R628" s="25"/>
      <c r="S628" s="25"/>
      <c r="T628" s="10"/>
      <c r="U628" s="9"/>
      <c r="V628" s="9"/>
      <c r="W628" s="9"/>
      <c r="X628" s="9"/>
      <c r="Y628" s="9"/>
      <c r="Z628" s="9"/>
      <c r="AA628" s="9"/>
      <c r="AB628" s="9"/>
      <c r="AC628" s="9"/>
      <c r="AD628" s="27"/>
      <c r="AE628" s="42"/>
      <c r="AF628" s="27"/>
      <c r="AG628" s="42"/>
      <c r="AH628" s="27"/>
      <c r="AI628" s="9"/>
      <c r="AJ628" s="9"/>
      <c r="AK628" s="9"/>
      <c r="AM628" s="43"/>
      <c r="AN628" s="43"/>
      <c r="AQ628" s="34"/>
      <c r="AR628" s="34"/>
      <c r="AS628" s="34"/>
      <c r="AT628" s="34"/>
    </row>
    <row r="629" spans="1:46" s="11" customFormat="1" x14ac:dyDescent="0.25">
      <c r="A629" s="23"/>
      <c r="B629" s="9"/>
      <c r="C629" s="9"/>
      <c r="D629" s="9"/>
      <c r="E629" s="9"/>
      <c r="F629" s="10"/>
      <c r="G629" s="10"/>
      <c r="H629" s="27"/>
      <c r="I629" s="9"/>
      <c r="J629" s="9"/>
      <c r="K629" s="9"/>
      <c r="L629" s="9"/>
      <c r="M629" s="25"/>
      <c r="N629" s="25"/>
      <c r="O629" s="27"/>
      <c r="P629" s="27"/>
      <c r="Q629" s="27"/>
      <c r="R629" s="25"/>
      <c r="S629" s="25"/>
      <c r="T629" s="10"/>
      <c r="U629" s="9"/>
      <c r="V629" s="9"/>
      <c r="W629" s="9"/>
      <c r="X629" s="9"/>
      <c r="Y629" s="9"/>
      <c r="Z629" s="9"/>
      <c r="AA629" s="9"/>
      <c r="AB629" s="9"/>
      <c r="AC629" s="9"/>
      <c r="AD629" s="27"/>
      <c r="AE629" s="42"/>
      <c r="AF629" s="27"/>
      <c r="AG629" s="42"/>
      <c r="AH629" s="27"/>
      <c r="AI629" s="9"/>
      <c r="AJ629" s="9"/>
      <c r="AK629" s="9"/>
      <c r="AM629" s="43"/>
      <c r="AN629" s="43"/>
      <c r="AQ629" s="34"/>
      <c r="AR629" s="34"/>
      <c r="AS629" s="34"/>
      <c r="AT629" s="34"/>
    </row>
    <row r="630" spans="1:46" s="11" customFormat="1" x14ac:dyDescent="0.25">
      <c r="A630" s="23"/>
      <c r="B630" s="9"/>
      <c r="C630" s="9"/>
      <c r="D630" s="9"/>
      <c r="E630" s="9"/>
      <c r="F630" s="10"/>
      <c r="G630" s="10"/>
      <c r="H630" s="27"/>
      <c r="I630" s="9"/>
      <c r="J630" s="9"/>
      <c r="K630" s="9"/>
      <c r="L630" s="9"/>
      <c r="M630" s="25"/>
      <c r="N630" s="25"/>
      <c r="O630" s="27"/>
      <c r="P630" s="27"/>
      <c r="Q630" s="27"/>
      <c r="R630" s="25"/>
      <c r="S630" s="25"/>
      <c r="T630" s="10"/>
      <c r="U630" s="9"/>
      <c r="V630" s="9"/>
      <c r="W630" s="9"/>
      <c r="X630" s="9"/>
      <c r="Y630" s="9"/>
      <c r="Z630" s="9"/>
      <c r="AA630" s="9"/>
      <c r="AB630" s="9"/>
      <c r="AC630" s="9"/>
      <c r="AD630" s="27"/>
      <c r="AE630" s="42"/>
      <c r="AF630" s="27"/>
      <c r="AG630" s="42"/>
      <c r="AH630" s="27"/>
      <c r="AI630" s="9"/>
      <c r="AJ630" s="9"/>
      <c r="AK630" s="9"/>
      <c r="AM630" s="43"/>
      <c r="AN630" s="43"/>
      <c r="AQ630" s="34"/>
      <c r="AR630" s="34"/>
      <c r="AS630" s="34"/>
      <c r="AT630" s="34"/>
    </row>
    <row r="631" spans="1:46" s="11" customFormat="1" x14ac:dyDescent="0.25">
      <c r="A631" s="23"/>
      <c r="B631" s="9"/>
      <c r="C631" s="9"/>
      <c r="D631" s="9"/>
      <c r="E631" s="9"/>
      <c r="F631" s="10"/>
      <c r="G631" s="10"/>
      <c r="H631" s="27"/>
      <c r="I631" s="9"/>
      <c r="J631" s="9"/>
      <c r="K631" s="9"/>
      <c r="L631" s="9"/>
      <c r="M631" s="25"/>
      <c r="N631" s="25"/>
      <c r="O631" s="27"/>
      <c r="P631" s="27"/>
      <c r="Q631" s="27"/>
      <c r="R631" s="25"/>
      <c r="S631" s="25"/>
      <c r="T631" s="10"/>
      <c r="U631" s="9"/>
      <c r="V631" s="9"/>
      <c r="W631" s="9"/>
      <c r="X631" s="9"/>
      <c r="Y631" s="9"/>
      <c r="Z631" s="9"/>
      <c r="AA631" s="9"/>
      <c r="AB631" s="9"/>
      <c r="AC631" s="9"/>
      <c r="AD631" s="27"/>
      <c r="AE631" s="42"/>
      <c r="AF631" s="27"/>
      <c r="AG631" s="42"/>
      <c r="AH631" s="27"/>
      <c r="AI631" s="9"/>
      <c r="AJ631" s="9"/>
      <c r="AK631" s="9"/>
      <c r="AM631" s="43"/>
      <c r="AN631" s="43"/>
      <c r="AQ631" s="34"/>
      <c r="AR631" s="34"/>
      <c r="AS631" s="34"/>
      <c r="AT631" s="34"/>
    </row>
    <row r="632" spans="1:46" s="11" customFormat="1" x14ac:dyDescent="0.25">
      <c r="A632" s="23"/>
      <c r="B632" s="9"/>
      <c r="C632" s="9"/>
      <c r="D632" s="9"/>
      <c r="E632" s="9"/>
      <c r="F632" s="10"/>
      <c r="G632" s="10"/>
      <c r="H632" s="27"/>
      <c r="I632" s="9"/>
      <c r="J632" s="9"/>
      <c r="K632" s="9"/>
      <c r="L632" s="9"/>
      <c r="M632" s="25"/>
      <c r="N632" s="25"/>
      <c r="O632" s="27"/>
      <c r="P632" s="27"/>
      <c r="Q632" s="27"/>
      <c r="R632" s="25"/>
      <c r="S632" s="25"/>
      <c r="T632" s="10"/>
      <c r="U632" s="9"/>
      <c r="V632" s="9"/>
      <c r="W632" s="9"/>
      <c r="X632" s="9"/>
      <c r="Y632" s="9"/>
      <c r="Z632" s="9"/>
      <c r="AA632" s="9"/>
      <c r="AB632" s="9"/>
      <c r="AC632" s="9"/>
      <c r="AD632" s="27"/>
      <c r="AE632" s="42"/>
      <c r="AF632" s="27"/>
      <c r="AG632" s="42"/>
      <c r="AH632" s="27"/>
      <c r="AI632" s="9"/>
      <c r="AJ632" s="9"/>
      <c r="AK632" s="9"/>
      <c r="AM632" s="43"/>
      <c r="AN632" s="43"/>
      <c r="AQ632" s="34"/>
      <c r="AR632" s="34"/>
      <c r="AS632" s="34"/>
      <c r="AT632" s="34"/>
    </row>
    <row r="633" spans="1:46" s="11" customFormat="1" x14ac:dyDescent="0.25">
      <c r="A633" s="23"/>
      <c r="B633" s="9"/>
      <c r="C633" s="9"/>
      <c r="D633" s="9"/>
      <c r="E633" s="9"/>
      <c r="F633" s="10"/>
      <c r="G633" s="10"/>
      <c r="H633" s="27"/>
      <c r="I633" s="9"/>
      <c r="J633" s="9"/>
      <c r="K633" s="9"/>
      <c r="L633" s="9"/>
      <c r="M633" s="25"/>
      <c r="N633" s="25"/>
      <c r="O633" s="27"/>
      <c r="P633" s="27"/>
      <c r="Q633" s="27"/>
      <c r="R633" s="25"/>
      <c r="S633" s="25"/>
      <c r="T633" s="10"/>
      <c r="U633" s="9"/>
      <c r="V633" s="9"/>
      <c r="W633" s="9"/>
      <c r="X633" s="9"/>
      <c r="Y633" s="9"/>
      <c r="Z633" s="9"/>
      <c r="AA633" s="9"/>
      <c r="AB633" s="9"/>
      <c r="AC633" s="9"/>
      <c r="AD633" s="27"/>
      <c r="AE633" s="42"/>
      <c r="AF633" s="27"/>
      <c r="AG633" s="42"/>
      <c r="AH633" s="27"/>
      <c r="AI633" s="9"/>
      <c r="AJ633" s="9"/>
      <c r="AK633" s="9"/>
      <c r="AM633" s="43"/>
      <c r="AN633" s="43"/>
      <c r="AQ633" s="34"/>
      <c r="AR633" s="34"/>
      <c r="AS633" s="34"/>
      <c r="AT633" s="34"/>
    </row>
    <row r="634" spans="1:46" s="11" customFormat="1" x14ac:dyDescent="0.25">
      <c r="A634" s="23"/>
      <c r="B634" s="9"/>
      <c r="C634" s="9"/>
      <c r="D634" s="9"/>
      <c r="E634" s="9"/>
      <c r="F634" s="10"/>
      <c r="G634" s="10"/>
      <c r="H634" s="27"/>
      <c r="I634" s="9"/>
      <c r="J634" s="9"/>
      <c r="K634" s="9"/>
      <c r="L634" s="9"/>
      <c r="M634" s="25"/>
      <c r="N634" s="25"/>
      <c r="O634" s="27"/>
      <c r="P634" s="27"/>
      <c r="Q634" s="27"/>
      <c r="R634" s="25"/>
      <c r="S634" s="25"/>
      <c r="T634" s="10"/>
      <c r="U634" s="9"/>
      <c r="V634" s="9"/>
      <c r="W634" s="9"/>
      <c r="X634" s="9"/>
      <c r="Y634" s="9"/>
      <c r="Z634" s="9"/>
      <c r="AA634" s="9"/>
      <c r="AB634" s="9"/>
      <c r="AC634" s="9"/>
      <c r="AD634" s="27"/>
      <c r="AE634" s="42"/>
      <c r="AF634" s="27"/>
      <c r="AG634" s="42"/>
      <c r="AH634" s="27"/>
      <c r="AI634" s="9"/>
      <c r="AJ634" s="9"/>
      <c r="AK634" s="9"/>
      <c r="AM634" s="43"/>
      <c r="AN634" s="43"/>
      <c r="AQ634" s="34"/>
      <c r="AR634" s="34"/>
      <c r="AS634" s="34"/>
      <c r="AT634" s="34"/>
    </row>
    <row r="635" spans="1:46" s="11" customFormat="1" x14ac:dyDescent="0.25">
      <c r="A635" s="23"/>
      <c r="B635" s="9"/>
      <c r="C635" s="9"/>
      <c r="D635" s="9"/>
      <c r="E635" s="9"/>
      <c r="F635" s="10"/>
      <c r="G635" s="10"/>
      <c r="H635" s="27"/>
      <c r="I635" s="9"/>
      <c r="J635" s="9"/>
      <c r="K635" s="9"/>
      <c r="L635" s="9"/>
      <c r="M635" s="25"/>
      <c r="N635" s="25"/>
      <c r="O635" s="27"/>
      <c r="P635" s="27"/>
      <c r="Q635" s="27"/>
      <c r="R635" s="25"/>
      <c r="S635" s="25"/>
      <c r="T635" s="10"/>
      <c r="U635" s="9"/>
      <c r="V635" s="9"/>
      <c r="W635" s="9"/>
      <c r="X635" s="9"/>
      <c r="Y635" s="9"/>
      <c r="Z635" s="9"/>
      <c r="AA635" s="9"/>
      <c r="AB635" s="9"/>
      <c r="AC635" s="9"/>
      <c r="AD635" s="27"/>
      <c r="AE635" s="42"/>
      <c r="AF635" s="27"/>
      <c r="AG635" s="42"/>
      <c r="AH635" s="27"/>
      <c r="AI635" s="9"/>
      <c r="AJ635" s="9"/>
      <c r="AK635" s="9"/>
      <c r="AM635" s="43"/>
      <c r="AN635" s="43"/>
      <c r="AQ635" s="34"/>
      <c r="AR635" s="34"/>
      <c r="AS635" s="34"/>
      <c r="AT635" s="34"/>
    </row>
    <row r="636" spans="1:46" s="11" customFormat="1" x14ac:dyDescent="0.25">
      <c r="A636" s="23"/>
      <c r="B636" s="9"/>
      <c r="C636" s="9"/>
      <c r="D636" s="9"/>
      <c r="E636" s="9"/>
      <c r="F636" s="10"/>
      <c r="G636" s="10"/>
      <c r="H636" s="27"/>
      <c r="I636" s="9"/>
      <c r="J636" s="9"/>
      <c r="K636" s="9"/>
      <c r="L636" s="9"/>
      <c r="M636" s="25"/>
      <c r="N636" s="25"/>
      <c r="O636" s="27"/>
      <c r="P636" s="27"/>
      <c r="Q636" s="27"/>
      <c r="R636" s="25"/>
      <c r="S636" s="25"/>
      <c r="T636" s="10"/>
      <c r="U636" s="9"/>
      <c r="V636" s="9"/>
      <c r="W636" s="9"/>
      <c r="X636" s="9"/>
      <c r="Y636" s="9"/>
      <c r="Z636" s="9"/>
      <c r="AA636" s="9"/>
      <c r="AB636" s="9"/>
      <c r="AC636" s="9"/>
      <c r="AD636" s="27"/>
      <c r="AE636" s="42"/>
      <c r="AF636" s="27"/>
      <c r="AG636" s="42"/>
      <c r="AH636" s="27"/>
      <c r="AI636" s="9"/>
      <c r="AJ636" s="9"/>
      <c r="AK636" s="9"/>
      <c r="AM636" s="43"/>
      <c r="AN636" s="43"/>
      <c r="AQ636" s="34"/>
      <c r="AR636" s="34"/>
      <c r="AS636" s="34"/>
      <c r="AT636" s="34"/>
    </row>
    <row r="637" spans="1:46" s="11" customFormat="1" x14ac:dyDescent="0.25">
      <c r="A637" s="23"/>
      <c r="B637" s="9"/>
      <c r="C637" s="9"/>
      <c r="D637" s="9"/>
      <c r="E637" s="9"/>
      <c r="F637" s="10"/>
      <c r="G637" s="10"/>
      <c r="H637" s="27"/>
      <c r="I637" s="9"/>
      <c r="J637" s="9"/>
      <c r="K637" s="9"/>
      <c r="L637" s="9"/>
      <c r="M637" s="25"/>
      <c r="N637" s="25"/>
      <c r="O637" s="27"/>
      <c r="P637" s="27"/>
      <c r="Q637" s="27"/>
      <c r="R637" s="25"/>
      <c r="S637" s="25"/>
      <c r="T637" s="10"/>
      <c r="U637" s="9"/>
      <c r="V637" s="9"/>
      <c r="W637" s="9"/>
      <c r="X637" s="9"/>
      <c r="Y637" s="9"/>
      <c r="Z637" s="9"/>
      <c r="AA637" s="9"/>
      <c r="AB637" s="9"/>
      <c r="AC637" s="9"/>
      <c r="AD637" s="27"/>
      <c r="AE637" s="42"/>
      <c r="AF637" s="27"/>
      <c r="AG637" s="42"/>
      <c r="AH637" s="27"/>
      <c r="AI637" s="9"/>
      <c r="AJ637" s="9"/>
      <c r="AK637" s="9"/>
      <c r="AM637" s="43"/>
      <c r="AN637" s="43"/>
      <c r="AQ637" s="34"/>
      <c r="AR637" s="34"/>
      <c r="AS637" s="34"/>
      <c r="AT637" s="34"/>
    </row>
    <row r="638" spans="1:46" s="11" customFormat="1" x14ac:dyDescent="0.25">
      <c r="A638" s="23"/>
      <c r="B638" s="9"/>
      <c r="C638" s="9"/>
      <c r="D638" s="9"/>
      <c r="E638" s="9"/>
      <c r="F638" s="10"/>
      <c r="G638" s="10"/>
      <c r="H638" s="27"/>
      <c r="I638" s="9"/>
      <c r="J638" s="9"/>
      <c r="K638" s="9"/>
      <c r="L638" s="9"/>
      <c r="M638" s="25"/>
      <c r="N638" s="25"/>
      <c r="O638" s="27"/>
      <c r="P638" s="27"/>
      <c r="Q638" s="27"/>
      <c r="R638" s="25"/>
      <c r="S638" s="25"/>
      <c r="T638" s="10"/>
      <c r="U638" s="9"/>
      <c r="V638" s="9"/>
      <c r="W638" s="9"/>
      <c r="X638" s="9"/>
      <c r="Y638" s="9"/>
      <c r="Z638" s="9"/>
      <c r="AA638" s="9"/>
      <c r="AB638" s="9"/>
      <c r="AC638" s="9"/>
      <c r="AD638" s="27"/>
      <c r="AE638" s="42"/>
      <c r="AF638" s="27"/>
      <c r="AG638" s="42"/>
      <c r="AH638" s="27"/>
      <c r="AI638" s="9"/>
      <c r="AJ638" s="9"/>
      <c r="AK638" s="9"/>
      <c r="AM638" s="43"/>
      <c r="AN638" s="43"/>
      <c r="AQ638" s="34"/>
      <c r="AR638" s="34"/>
      <c r="AS638" s="34"/>
      <c r="AT638" s="34"/>
    </row>
    <row r="639" spans="1:46" s="11" customFormat="1" x14ac:dyDescent="0.25">
      <c r="A639" s="23"/>
      <c r="B639" s="9"/>
      <c r="C639" s="9"/>
      <c r="D639" s="9"/>
      <c r="E639" s="9"/>
      <c r="F639" s="10"/>
      <c r="G639" s="10"/>
      <c r="H639" s="27"/>
      <c r="I639" s="9"/>
      <c r="J639" s="9"/>
      <c r="K639" s="9"/>
      <c r="L639" s="9"/>
      <c r="M639" s="25"/>
      <c r="N639" s="25"/>
      <c r="O639" s="27"/>
      <c r="P639" s="27"/>
      <c r="Q639" s="27"/>
      <c r="R639" s="25"/>
      <c r="S639" s="25"/>
      <c r="T639" s="10"/>
      <c r="U639" s="9"/>
      <c r="V639" s="9"/>
      <c r="W639" s="9"/>
      <c r="X639" s="9"/>
      <c r="Y639" s="9"/>
      <c r="Z639" s="9"/>
      <c r="AA639" s="9"/>
      <c r="AB639" s="9"/>
      <c r="AC639" s="9"/>
      <c r="AD639" s="27"/>
      <c r="AE639" s="42"/>
      <c r="AF639" s="27"/>
      <c r="AG639" s="42"/>
      <c r="AH639" s="27"/>
      <c r="AI639" s="9"/>
      <c r="AJ639" s="9"/>
      <c r="AK639" s="9"/>
      <c r="AM639" s="43"/>
      <c r="AN639" s="43"/>
      <c r="AQ639" s="34"/>
      <c r="AR639" s="34"/>
      <c r="AS639" s="34"/>
      <c r="AT639" s="34"/>
    </row>
    <row r="640" spans="1:46" s="11" customFormat="1" x14ac:dyDescent="0.25">
      <c r="A640" s="23"/>
      <c r="B640" s="9"/>
      <c r="C640" s="9"/>
      <c r="D640" s="9"/>
      <c r="E640" s="9"/>
      <c r="F640" s="10"/>
      <c r="G640" s="10"/>
      <c r="H640" s="27"/>
      <c r="I640" s="9"/>
      <c r="J640" s="9"/>
      <c r="K640" s="9"/>
      <c r="L640" s="9"/>
      <c r="M640" s="25"/>
      <c r="N640" s="25"/>
      <c r="O640" s="27"/>
      <c r="P640" s="27"/>
      <c r="Q640" s="27"/>
      <c r="R640" s="25"/>
      <c r="S640" s="25"/>
      <c r="T640" s="10"/>
      <c r="U640" s="9"/>
      <c r="V640" s="9"/>
      <c r="W640" s="9"/>
      <c r="X640" s="9"/>
      <c r="Y640" s="9"/>
      <c r="Z640" s="9"/>
      <c r="AA640" s="9"/>
      <c r="AB640" s="9"/>
      <c r="AC640" s="9"/>
      <c r="AD640" s="27"/>
      <c r="AE640" s="42"/>
      <c r="AF640" s="27"/>
      <c r="AG640" s="42"/>
      <c r="AH640" s="27"/>
      <c r="AI640" s="9"/>
      <c r="AJ640" s="9"/>
      <c r="AK640" s="9"/>
      <c r="AM640" s="43"/>
      <c r="AN640" s="43"/>
      <c r="AQ640" s="34"/>
      <c r="AR640" s="34"/>
      <c r="AS640" s="34"/>
      <c r="AT640" s="34"/>
    </row>
    <row r="641" spans="1:46" s="11" customFormat="1" x14ac:dyDescent="0.25">
      <c r="A641" s="23"/>
      <c r="B641" s="9"/>
      <c r="C641" s="9"/>
      <c r="D641" s="9"/>
      <c r="E641" s="9"/>
      <c r="F641" s="10"/>
      <c r="G641" s="10"/>
      <c r="H641" s="27"/>
      <c r="I641" s="9"/>
      <c r="J641" s="9"/>
      <c r="K641" s="9"/>
      <c r="L641" s="9"/>
      <c r="M641" s="25"/>
      <c r="N641" s="25"/>
      <c r="O641" s="27"/>
      <c r="P641" s="27"/>
      <c r="Q641" s="27"/>
      <c r="R641" s="25"/>
      <c r="S641" s="25"/>
      <c r="T641" s="10"/>
      <c r="U641" s="9"/>
      <c r="V641" s="9"/>
      <c r="W641" s="9"/>
      <c r="X641" s="9"/>
      <c r="Y641" s="9"/>
      <c r="Z641" s="9"/>
      <c r="AA641" s="9"/>
      <c r="AB641" s="9"/>
      <c r="AC641" s="9"/>
      <c r="AD641" s="27"/>
      <c r="AE641" s="42"/>
      <c r="AF641" s="27"/>
      <c r="AG641" s="42"/>
      <c r="AH641" s="27"/>
      <c r="AI641" s="9"/>
      <c r="AJ641" s="9"/>
      <c r="AK641" s="9"/>
      <c r="AM641" s="43"/>
      <c r="AN641" s="43"/>
      <c r="AQ641" s="34"/>
      <c r="AR641" s="34"/>
      <c r="AS641" s="34"/>
      <c r="AT641" s="34"/>
    </row>
    <row r="642" spans="1:46" s="11" customFormat="1" x14ac:dyDescent="0.25">
      <c r="A642" s="23"/>
      <c r="B642" s="9"/>
      <c r="C642" s="9"/>
      <c r="D642" s="9"/>
      <c r="E642" s="9"/>
      <c r="F642" s="10"/>
      <c r="G642" s="10"/>
      <c r="H642" s="27"/>
      <c r="I642" s="9"/>
      <c r="J642" s="9"/>
      <c r="K642" s="9"/>
      <c r="L642" s="9"/>
      <c r="M642" s="25"/>
      <c r="N642" s="25"/>
      <c r="O642" s="27"/>
      <c r="P642" s="27"/>
      <c r="Q642" s="27"/>
      <c r="R642" s="25"/>
      <c r="S642" s="25"/>
      <c r="T642" s="10"/>
      <c r="U642" s="9"/>
      <c r="V642" s="9"/>
      <c r="W642" s="9"/>
      <c r="X642" s="9"/>
      <c r="Y642" s="9"/>
      <c r="Z642" s="9"/>
      <c r="AA642" s="9"/>
      <c r="AB642" s="9"/>
      <c r="AC642" s="9"/>
      <c r="AD642" s="27"/>
      <c r="AE642" s="42"/>
      <c r="AF642" s="27"/>
      <c r="AG642" s="42"/>
      <c r="AH642" s="27"/>
      <c r="AI642" s="9"/>
      <c r="AJ642" s="9"/>
      <c r="AK642" s="9"/>
      <c r="AM642" s="43"/>
      <c r="AN642" s="43"/>
      <c r="AQ642" s="34"/>
      <c r="AR642" s="34"/>
      <c r="AS642" s="34"/>
      <c r="AT642" s="34"/>
    </row>
    <row r="643" spans="1:46" s="11" customFormat="1" x14ac:dyDescent="0.25">
      <c r="A643" s="23"/>
      <c r="B643" s="9"/>
      <c r="C643" s="9"/>
      <c r="D643" s="9"/>
      <c r="E643" s="9"/>
      <c r="F643" s="10"/>
      <c r="G643" s="10"/>
      <c r="H643" s="27"/>
      <c r="I643" s="9"/>
      <c r="J643" s="9"/>
      <c r="K643" s="9"/>
      <c r="L643" s="9"/>
      <c r="M643" s="25"/>
      <c r="N643" s="25"/>
      <c r="O643" s="27"/>
      <c r="P643" s="27"/>
      <c r="Q643" s="27"/>
      <c r="R643" s="25"/>
      <c r="S643" s="25"/>
      <c r="T643" s="10"/>
      <c r="U643" s="9"/>
      <c r="V643" s="9"/>
      <c r="W643" s="9"/>
      <c r="X643" s="9"/>
      <c r="Y643" s="9"/>
      <c r="Z643" s="9"/>
      <c r="AA643" s="9"/>
      <c r="AB643" s="9"/>
      <c r="AC643" s="9"/>
      <c r="AD643" s="27"/>
      <c r="AE643" s="42"/>
      <c r="AF643" s="27"/>
      <c r="AG643" s="42"/>
      <c r="AH643" s="27"/>
      <c r="AI643" s="9"/>
      <c r="AJ643" s="9"/>
      <c r="AK643" s="9"/>
      <c r="AM643" s="43"/>
      <c r="AN643" s="43"/>
      <c r="AQ643" s="34"/>
      <c r="AR643" s="34"/>
      <c r="AS643" s="34"/>
      <c r="AT643" s="34"/>
    </row>
    <row r="644" spans="1:46" s="11" customFormat="1" x14ac:dyDescent="0.25">
      <c r="A644" s="23"/>
      <c r="B644" s="9"/>
      <c r="C644" s="9"/>
      <c r="D644" s="9"/>
      <c r="E644" s="9"/>
      <c r="F644" s="10"/>
      <c r="G644" s="10"/>
      <c r="H644" s="27"/>
      <c r="I644" s="9"/>
      <c r="J644" s="9"/>
      <c r="K644" s="9"/>
      <c r="L644" s="9"/>
      <c r="M644" s="25"/>
      <c r="N644" s="25"/>
      <c r="O644" s="27"/>
      <c r="P644" s="27"/>
      <c r="Q644" s="27"/>
      <c r="R644" s="25"/>
      <c r="S644" s="25"/>
      <c r="T644" s="10"/>
      <c r="U644" s="9"/>
      <c r="V644" s="9"/>
      <c r="W644" s="9"/>
      <c r="X644" s="9"/>
      <c r="Y644" s="9"/>
      <c r="Z644" s="9"/>
      <c r="AA644" s="9"/>
      <c r="AB644" s="9"/>
      <c r="AC644" s="9"/>
      <c r="AD644" s="27"/>
      <c r="AE644" s="42"/>
      <c r="AF644" s="27"/>
      <c r="AG644" s="42"/>
      <c r="AH644" s="27"/>
      <c r="AI644" s="9"/>
      <c r="AJ644" s="9"/>
      <c r="AK644" s="9"/>
      <c r="AM644" s="43"/>
      <c r="AN644" s="43"/>
      <c r="AQ644" s="34"/>
      <c r="AR644" s="34"/>
      <c r="AS644" s="34"/>
      <c r="AT644" s="34"/>
    </row>
    <row r="645" spans="1:46" s="11" customFormat="1" x14ac:dyDescent="0.25">
      <c r="A645" s="23"/>
      <c r="B645" s="9"/>
      <c r="C645" s="9"/>
      <c r="D645" s="9"/>
      <c r="E645" s="9"/>
      <c r="F645" s="10"/>
      <c r="G645" s="10"/>
      <c r="H645" s="27"/>
      <c r="I645" s="9"/>
      <c r="J645" s="9"/>
      <c r="K645" s="9"/>
      <c r="L645" s="9"/>
      <c r="M645" s="25"/>
      <c r="N645" s="25"/>
      <c r="O645" s="27"/>
      <c r="P645" s="27"/>
      <c r="Q645" s="27"/>
      <c r="R645" s="25"/>
      <c r="S645" s="25"/>
      <c r="T645" s="10"/>
      <c r="U645" s="9"/>
      <c r="V645" s="9"/>
      <c r="W645" s="9"/>
      <c r="X645" s="9"/>
      <c r="Y645" s="9"/>
      <c r="Z645" s="9"/>
      <c r="AA645" s="9"/>
      <c r="AB645" s="9"/>
      <c r="AC645" s="9"/>
      <c r="AD645" s="27"/>
      <c r="AE645" s="42"/>
      <c r="AF645" s="27"/>
      <c r="AG645" s="42"/>
      <c r="AH645" s="27"/>
      <c r="AI645" s="9"/>
      <c r="AJ645" s="9"/>
      <c r="AK645" s="9"/>
      <c r="AM645" s="43"/>
      <c r="AN645" s="43"/>
      <c r="AQ645" s="34"/>
      <c r="AR645" s="34"/>
      <c r="AS645" s="34"/>
      <c r="AT645" s="34"/>
    </row>
    <row r="646" spans="1:46" s="11" customFormat="1" x14ac:dyDescent="0.25">
      <c r="A646" s="23"/>
      <c r="B646" s="9"/>
      <c r="C646" s="9"/>
      <c r="D646" s="9"/>
      <c r="E646" s="9"/>
      <c r="F646" s="10"/>
      <c r="G646" s="10"/>
      <c r="H646" s="27"/>
      <c r="I646" s="9"/>
      <c r="J646" s="9"/>
      <c r="K646" s="9"/>
      <c r="L646" s="9"/>
      <c r="M646" s="25"/>
      <c r="N646" s="25"/>
      <c r="O646" s="27"/>
      <c r="P646" s="27"/>
      <c r="Q646" s="27"/>
      <c r="R646" s="25"/>
      <c r="S646" s="25"/>
      <c r="T646" s="10"/>
      <c r="U646" s="9"/>
      <c r="V646" s="9"/>
      <c r="W646" s="9"/>
      <c r="X646" s="9"/>
      <c r="Y646" s="9"/>
      <c r="Z646" s="9"/>
      <c r="AA646" s="9"/>
      <c r="AB646" s="9"/>
      <c r="AC646" s="9"/>
      <c r="AD646" s="27"/>
      <c r="AE646" s="42"/>
      <c r="AF646" s="27"/>
      <c r="AG646" s="42"/>
      <c r="AH646" s="27"/>
      <c r="AI646" s="9"/>
      <c r="AJ646" s="9"/>
      <c r="AK646" s="9"/>
      <c r="AM646" s="43"/>
      <c r="AN646" s="43"/>
      <c r="AQ646" s="34"/>
      <c r="AR646" s="34"/>
      <c r="AS646" s="34"/>
      <c r="AT646" s="34"/>
    </row>
    <row r="647" spans="1:46" s="11" customFormat="1" x14ac:dyDescent="0.25">
      <c r="A647" s="23"/>
      <c r="B647" s="9"/>
      <c r="C647" s="9"/>
      <c r="D647" s="9"/>
      <c r="E647" s="9"/>
      <c r="F647" s="10"/>
      <c r="G647" s="10"/>
      <c r="H647" s="27"/>
      <c r="I647" s="9"/>
      <c r="J647" s="9"/>
      <c r="K647" s="9"/>
      <c r="L647" s="9"/>
      <c r="M647" s="25"/>
      <c r="N647" s="25"/>
      <c r="O647" s="27"/>
      <c r="P647" s="27"/>
      <c r="Q647" s="27"/>
      <c r="R647" s="25"/>
      <c r="S647" s="25"/>
      <c r="T647" s="10"/>
      <c r="U647" s="9"/>
      <c r="V647" s="9"/>
      <c r="W647" s="9"/>
      <c r="X647" s="9"/>
      <c r="Y647" s="9"/>
      <c r="Z647" s="9"/>
      <c r="AA647" s="9"/>
      <c r="AB647" s="9"/>
      <c r="AC647" s="9"/>
      <c r="AD647" s="27"/>
      <c r="AE647" s="42"/>
      <c r="AF647" s="27"/>
      <c r="AG647" s="42"/>
      <c r="AH647" s="27"/>
      <c r="AI647" s="9"/>
      <c r="AJ647" s="9"/>
      <c r="AK647" s="9"/>
      <c r="AM647" s="43"/>
      <c r="AN647" s="43"/>
      <c r="AQ647" s="34"/>
      <c r="AR647" s="34"/>
      <c r="AS647" s="34"/>
      <c r="AT647" s="34"/>
    </row>
    <row r="648" spans="1:46" s="11" customFormat="1" x14ac:dyDescent="0.25">
      <c r="A648" s="23"/>
      <c r="B648" s="9"/>
      <c r="C648" s="9"/>
      <c r="D648" s="9"/>
      <c r="E648" s="9"/>
      <c r="F648" s="10"/>
      <c r="G648" s="10"/>
      <c r="H648" s="27"/>
      <c r="I648" s="9"/>
      <c r="J648" s="9"/>
      <c r="K648" s="9"/>
      <c r="L648" s="9"/>
      <c r="M648" s="25"/>
      <c r="N648" s="25"/>
      <c r="O648" s="27"/>
      <c r="P648" s="27"/>
      <c r="Q648" s="27"/>
      <c r="R648" s="25"/>
      <c r="S648" s="25"/>
      <c r="T648" s="10"/>
      <c r="U648" s="9"/>
      <c r="V648" s="9"/>
      <c r="W648" s="9"/>
      <c r="X648" s="9"/>
      <c r="Y648" s="9"/>
      <c r="Z648" s="9"/>
      <c r="AA648" s="9"/>
      <c r="AB648" s="9"/>
      <c r="AC648" s="9"/>
      <c r="AD648" s="27"/>
      <c r="AE648" s="42"/>
      <c r="AF648" s="27"/>
      <c r="AG648" s="42"/>
      <c r="AH648" s="27"/>
      <c r="AI648" s="9"/>
      <c r="AJ648" s="9"/>
      <c r="AK648" s="9"/>
      <c r="AM648" s="43"/>
      <c r="AN648" s="43"/>
      <c r="AQ648" s="34"/>
      <c r="AR648" s="34"/>
      <c r="AS648" s="34"/>
      <c r="AT648" s="34"/>
    </row>
    <row r="649" spans="1:46" s="11" customFormat="1" x14ac:dyDescent="0.25">
      <c r="A649" s="23"/>
      <c r="B649" s="9"/>
      <c r="C649" s="9"/>
      <c r="D649" s="9"/>
      <c r="E649" s="9"/>
      <c r="F649" s="10"/>
      <c r="G649" s="10"/>
      <c r="H649" s="27"/>
      <c r="I649" s="9"/>
      <c r="J649" s="9"/>
      <c r="K649" s="9"/>
      <c r="L649" s="9"/>
      <c r="M649" s="25"/>
      <c r="N649" s="25"/>
      <c r="O649" s="27"/>
      <c r="P649" s="27"/>
      <c r="Q649" s="27"/>
      <c r="R649" s="25"/>
      <c r="S649" s="25"/>
      <c r="T649" s="10"/>
      <c r="U649" s="9"/>
      <c r="V649" s="9"/>
      <c r="W649" s="9"/>
      <c r="X649" s="9"/>
      <c r="Y649" s="9"/>
      <c r="Z649" s="9"/>
      <c r="AA649" s="9"/>
      <c r="AB649" s="9"/>
      <c r="AC649" s="9"/>
      <c r="AD649" s="27"/>
      <c r="AE649" s="42"/>
      <c r="AF649" s="27"/>
      <c r="AG649" s="42"/>
      <c r="AH649" s="27"/>
      <c r="AI649" s="9"/>
      <c r="AJ649" s="9"/>
      <c r="AK649" s="9"/>
      <c r="AM649" s="43"/>
      <c r="AN649" s="43"/>
      <c r="AQ649" s="34"/>
      <c r="AR649" s="34"/>
      <c r="AS649" s="34"/>
      <c r="AT649" s="34"/>
    </row>
    <row r="650" spans="1:46" s="11" customFormat="1" x14ac:dyDescent="0.25">
      <c r="A650" s="23"/>
      <c r="B650" s="9"/>
      <c r="C650" s="9"/>
      <c r="D650" s="9"/>
      <c r="E650" s="9"/>
      <c r="F650" s="10"/>
      <c r="G650" s="10"/>
      <c r="H650" s="27"/>
      <c r="I650" s="9"/>
      <c r="J650" s="9"/>
      <c r="K650" s="9"/>
      <c r="L650" s="9"/>
      <c r="M650" s="25"/>
      <c r="N650" s="25"/>
      <c r="O650" s="27"/>
      <c r="P650" s="27"/>
      <c r="Q650" s="27"/>
      <c r="R650" s="25"/>
      <c r="S650" s="25"/>
      <c r="T650" s="10"/>
      <c r="U650" s="9"/>
      <c r="V650" s="9"/>
      <c r="W650" s="9"/>
      <c r="X650" s="9"/>
      <c r="Y650" s="9"/>
      <c r="Z650" s="9"/>
      <c r="AA650" s="9"/>
      <c r="AB650" s="9"/>
      <c r="AC650" s="9"/>
      <c r="AD650" s="27"/>
      <c r="AE650" s="42"/>
      <c r="AF650" s="27"/>
      <c r="AG650" s="42"/>
      <c r="AH650" s="27"/>
      <c r="AI650" s="9"/>
      <c r="AJ650" s="9"/>
      <c r="AK650" s="9"/>
      <c r="AM650" s="43"/>
      <c r="AN650" s="43"/>
      <c r="AQ650" s="34"/>
      <c r="AR650" s="34"/>
      <c r="AS650" s="34"/>
      <c r="AT650" s="34"/>
    </row>
    <row r="651" spans="1:46" s="11" customFormat="1" x14ac:dyDescent="0.25">
      <c r="A651" s="23"/>
      <c r="B651" s="9"/>
      <c r="C651" s="9"/>
      <c r="D651" s="9"/>
      <c r="E651" s="9"/>
      <c r="F651" s="10"/>
      <c r="G651" s="10"/>
      <c r="H651" s="27"/>
      <c r="I651" s="9"/>
      <c r="J651" s="9"/>
      <c r="K651" s="9"/>
      <c r="L651" s="9"/>
      <c r="M651" s="25"/>
      <c r="N651" s="25"/>
      <c r="O651" s="27"/>
      <c r="P651" s="27"/>
      <c r="Q651" s="27"/>
      <c r="R651" s="25"/>
      <c r="S651" s="25"/>
      <c r="T651" s="10"/>
      <c r="U651" s="9"/>
      <c r="V651" s="9"/>
      <c r="W651" s="9"/>
      <c r="X651" s="9"/>
      <c r="Y651" s="9"/>
      <c r="Z651" s="9"/>
      <c r="AA651" s="9"/>
      <c r="AB651" s="9"/>
      <c r="AC651" s="9"/>
      <c r="AD651" s="27"/>
      <c r="AE651" s="42"/>
      <c r="AF651" s="27"/>
      <c r="AG651" s="42"/>
      <c r="AH651" s="27"/>
      <c r="AI651" s="9"/>
      <c r="AJ651" s="9"/>
      <c r="AK651" s="9"/>
      <c r="AM651" s="43"/>
      <c r="AN651" s="43"/>
      <c r="AQ651" s="34"/>
      <c r="AR651" s="34"/>
      <c r="AS651" s="34"/>
      <c r="AT651" s="34"/>
    </row>
    <row r="652" spans="1:46" s="11" customFormat="1" x14ac:dyDescent="0.25">
      <c r="A652" s="23"/>
      <c r="B652" s="9"/>
      <c r="C652" s="9"/>
      <c r="D652" s="9"/>
      <c r="E652" s="9"/>
      <c r="F652" s="10"/>
      <c r="G652" s="10"/>
      <c r="H652" s="27"/>
      <c r="I652" s="9"/>
      <c r="J652" s="9"/>
      <c r="K652" s="9"/>
      <c r="L652" s="9"/>
      <c r="M652" s="25"/>
      <c r="N652" s="25"/>
      <c r="O652" s="27"/>
      <c r="P652" s="27"/>
      <c r="Q652" s="27"/>
      <c r="R652" s="25"/>
      <c r="S652" s="25"/>
      <c r="T652" s="10"/>
      <c r="U652" s="9"/>
      <c r="V652" s="9"/>
      <c r="W652" s="9"/>
      <c r="X652" s="9"/>
      <c r="Y652" s="9"/>
      <c r="Z652" s="9"/>
      <c r="AA652" s="9"/>
      <c r="AB652" s="9"/>
      <c r="AC652" s="9"/>
      <c r="AD652" s="27"/>
      <c r="AE652" s="42"/>
      <c r="AF652" s="27"/>
      <c r="AG652" s="42"/>
      <c r="AH652" s="27"/>
      <c r="AI652" s="9"/>
      <c r="AJ652" s="9"/>
      <c r="AK652" s="9"/>
      <c r="AM652" s="43"/>
      <c r="AN652" s="43"/>
      <c r="AQ652" s="34"/>
      <c r="AR652" s="34"/>
      <c r="AS652" s="34"/>
      <c r="AT652" s="34"/>
    </row>
    <row r="653" spans="1:46" s="11" customFormat="1" x14ac:dyDescent="0.25">
      <c r="A653" s="23"/>
      <c r="B653" s="9"/>
      <c r="C653" s="9"/>
      <c r="D653" s="9"/>
      <c r="E653" s="9"/>
      <c r="F653" s="10"/>
      <c r="G653" s="10"/>
      <c r="H653" s="27"/>
      <c r="I653" s="9"/>
      <c r="J653" s="9"/>
      <c r="K653" s="9"/>
      <c r="L653" s="9"/>
      <c r="M653" s="25"/>
      <c r="N653" s="25"/>
      <c r="O653" s="27"/>
      <c r="P653" s="27"/>
      <c r="Q653" s="27"/>
      <c r="R653" s="25"/>
      <c r="S653" s="25"/>
      <c r="T653" s="10"/>
      <c r="U653" s="9"/>
      <c r="V653" s="9"/>
      <c r="W653" s="9"/>
      <c r="X653" s="9"/>
      <c r="Y653" s="9"/>
      <c r="Z653" s="9"/>
      <c r="AA653" s="9"/>
      <c r="AB653" s="9"/>
      <c r="AC653" s="9"/>
      <c r="AD653" s="27"/>
      <c r="AE653" s="42"/>
      <c r="AF653" s="27"/>
      <c r="AG653" s="42"/>
      <c r="AH653" s="27"/>
      <c r="AI653" s="9"/>
      <c r="AJ653" s="9"/>
      <c r="AK653" s="9"/>
      <c r="AM653" s="43"/>
      <c r="AN653" s="43"/>
      <c r="AQ653" s="34"/>
      <c r="AR653" s="34"/>
      <c r="AS653" s="34"/>
      <c r="AT653" s="34"/>
    </row>
    <row r="654" spans="1:46" s="11" customFormat="1" x14ac:dyDescent="0.25">
      <c r="A654" s="23"/>
      <c r="B654" s="9"/>
      <c r="C654" s="9"/>
      <c r="D654" s="9"/>
      <c r="E654" s="9"/>
      <c r="F654" s="10"/>
      <c r="G654" s="10"/>
      <c r="H654" s="27"/>
      <c r="I654" s="9"/>
      <c r="J654" s="9"/>
      <c r="K654" s="9"/>
      <c r="L654" s="9"/>
      <c r="M654" s="25"/>
      <c r="N654" s="25"/>
      <c r="O654" s="27"/>
      <c r="P654" s="27"/>
      <c r="Q654" s="27"/>
      <c r="R654" s="25"/>
      <c r="S654" s="25"/>
      <c r="T654" s="10"/>
      <c r="U654" s="9"/>
      <c r="V654" s="9"/>
      <c r="W654" s="9"/>
      <c r="X654" s="9"/>
      <c r="Y654" s="9"/>
      <c r="Z654" s="9"/>
      <c r="AA654" s="9"/>
      <c r="AB654" s="9"/>
      <c r="AC654" s="9"/>
      <c r="AD654" s="27"/>
      <c r="AE654" s="42"/>
      <c r="AF654" s="27"/>
      <c r="AG654" s="42"/>
      <c r="AH654" s="27"/>
      <c r="AI654" s="9"/>
      <c r="AJ654" s="9"/>
      <c r="AK654" s="9"/>
      <c r="AM654" s="43"/>
      <c r="AN654" s="43"/>
      <c r="AQ654" s="34"/>
      <c r="AR654" s="34"/>
      <c r="AS654" s="34"/>
      <c r="AT654" s="34"/>
    </row>
    <row r="655" spans="1:46" s="11" customFormat="1" x14ac:dyDescent="0.25">
      <c r="A655" s="23"/>
      <c r="B655" s="9"/>
      <c r="C655" s="9"/>
      <c r="D655" s="9"/>
      <c r="E655" s="9"/>
      <c r="F655" s="10"/>
      <c r="G655" s="10"/>
      <c r="H655" s="27"/>
      <c r="I655" s="9"/>
      <c r="J655" s="9"/>
      <c r="K655" s="9"/>
      <c r="L655" s="9"/>
      <c r="M655" s="25"/>
      <c r="N655" s="25"/>
      <c r="O655" s="27"/>
      <c r="P655" s="27"/>
      <c r="Q655" s="27"/>
      <c r="R655" s="25"/>
      <c r="S655" s="25"/>
      <c r="T655" s="10"/>
      <c r="U655" s="9"/>
      <c r="V655" s="9"/>
      <c r="W655" s="9"/>
      <c r="X655" s="9"/>
      <c r="Y655" s="9"/>
      <c r="Z655" s="9"/>
      <c r="AA655" s="9"/>
      <c r="AB655" s="9"/>
      <c r="AC655" s="9"/>
      <c r="AD655" s="27"/>
      <c r="AE655" s="42"/>
      <c r="AF655" s="27"/>
      <c r="AG655" s="42"/>
      <c r="AH655" s="27"/>
      <c r="AI655" s="9"/>
      <c r="AJ655" s="9"/>
      <c r="AK655" s="9"/>
      <c r="AM655" s="43"/>
      <c r="AN655" s="43"/>
      <c r="AQ655" s="34"/>
      <c r="AR655" s="34"/>
      <c r="AS655" s="34"/>
      <c r="AT655" s="34"/>
    </row>
    <row r="656" spans="1:46" s="11" customFormat="1" x14ac:dyDescent="0.25">
      <c r="A656" s="23"/>
      <c r="B656" s="9"/>
      <c r="C656" s="9"/>
      <c r="D656" s="9"/>
      <c r="E656" s="9"/>
      <c r="F656" s="10"/>
      <c r="G656" s="10"/>
      <c r="H656" s="27"/>
      <c r="I656" s="9"/>
      <c r="J656" s="9"/>
      <c r="K656" s="9"/>
      <c r="L656" s="9"/>
      <c r="M656" s="25"/>
      <c r="N656" s="25"/>
      <c r="O656" s="27"/>
      <c r="P656" s="27"/>
      <c r="Q656" s="27"/>
      <c r="R656" s="25"/>
      <c r="S656" s="25"/>
      <c r="T656" s="10"/>
      <c r="U656" s="9"/>
      <c r="V656" s="9"/>
      <c r="W656" s="9"/>
      <c r="X656" s="9"/>
      <c r="Y656" s="9"/>
      <c r="Z656" s="9"/>
      <c r="AA656" s="9"/>
      <c r="AB656" s="9"/>
      <c r="AC656" s="9"/>
      <c r="AD656" s="27"/>
      <c r="AE656" s="42"/>
      <c r="AF656" s="27"/>
      <c r="AG656" s="42"/>
      <c r="AH656" s="27"/>
      <c r="AI656" s="9"/>
      <c r="AJ656" s="9"/>
      <c r="AK656" s="9"/>
      <c r="AM656" s="43"/>
      <c r="AN656" s="43"/>
      <c r="AQ656" s="34"/>
      <c r="AR656" s="34"/>
      <c r="AS656" s="34"/>
      <c r="AT656" s="34"/>
    </row>
    <row r="657" spans="1:46" s="11" customFormat="1" x14ac:dyDescent="0.25">
      <c r="A657" s="23"/>
      <c r="B657" s="9"/>
      <c r="C657" s="9"/>
      <c r="D657" s="9"/>
      <c r="E657" s="9"/>
      <c r="F657" s="10"/>
      <c r="G657" s="10"/>
      <c r="H657" s="27"/>
      <c r="I657" s="9"/>
      <c r="J657" s="9"/>
      <c r="K657" s="9"/>
      <c r="L657" s="9"/>
      <c r="M657" s="25"/>
      <c r="N657" s="25"/>
      <c r="O657" s="27"/>
      <c r="P657" s="27"/>
      <c r="Q657" s="27"/>
      <c r="R657" s="25"/>
      <c r="S657" s="25"/>
      <c r="T657" s="10"/>
      <c r="U657" s="9"/>
      <c r="V657" s="9"/>
      <c r="W657" s="9"/>
      <c r="X657" s="9"/>
      <c r="Y657" s="9"/>
      <c r="Z657" s="9"/>
      <c r="AA657" s="9"/>
      <c r="AB657" s="9"/>
      <c r="AC657" s="9"/>
      <c r="AD657" s="27"/>
      <c r="AE657" s="42"/>
      <c r="AF657" s="27"/>
      <c r="AG657" s="42"/>
      <c r="AH657" s="27"/>
      <c r="AI657" s="9"/>
      <c r="AJ657" s="9"/>
      <c r="AK657" s="9"/>
      <c r="AM657" s="43"/>
      <c r="AN657" s="43"/>
      <c r="AQ657" s="34"/>
      <c r="AR657" s="34"/>
      <c r="AS657" s="34"/>
      <c r="AT657" s="34"/>
    </row>
    <row r="658" spans="1:46" s="11" customFormat="1" x14ac:dyDescent="0.25">
      <c r="A658" s="23"/>
      <c r="B658" s="9"/>
      <c r="C658" s="9"/>
      <c r="D658" s="9"/>
      <c r="E658" s="9"/>
      <c r="F658" s="10"/>
      <c r="G658" s="10"/>
      <c r="H658" s="27"/>
      <c r="I658" s="9"/>
      <c r="J658" s="9"/>
      <c r="K658" s="9"/>
      <c r="L658" s="9"/>
      <c r="M658" s="25"/>
      <c r="N658" s="25"/>
      <c r="O658" s="27"/>
      <c r="P658" s="27"/>
      <c r="Q658" s="27"/>
      <c r="R658" s="25"/>
      <c r="S658" s="25"/>
      <c r="T658" s="10"/>
      <c r="U658" s="9"/>
      <c r="V658" s="9"/>
      <c r="W658" s="9"/>
      <c r="X658" s="9"/>
      <c r="Y658" s="9"/>
      <c r="Z658" s="9"/>
      <c r="AA658" s="9"/>
      <c r="AB658" s="9"/>
      <c r="AC658" s="9"/>
      <c r="AD658" s="27"/>
      <c r="AE658" s="42"/>
      <c r="AF658" s="27"/>
      <c r="AG658" s="42"/>
      <c r="AH658" s="27"/>
      <c r="AI658" s="9"/>
      <c r="AJ658" s="9"/>
      <c r="AK658" s="9"/>
      <c r="AM658" s="43"/>
      <c r="AN658" s="43"/>
      <c r="AQ658" s="34"/>
      <c r="AR658" s="34"/>
      <c r="AS658" s="34"/>
      <c r="AT658" s="34"/>
    </row>
    <row r="659" spans="1:46" s="11" customFormat="1" x14ac:dyDescent="0.25">
      <c r="A659" s="23"/>
      <c r="B659" s="9"/>
      <c r="C659" s="9"/>
      <c r="D659" s="9"/>
      <c r="E659" s="9"/>
      <c r="F659" s="10"/>
      <c r="G659" s="10"/>
      <c r="H659" s="27"/>
      <c r="I659" s="9"/>
      <c r="J659" s="9"/>
      <c r="K659" s="9"/>
      <c r="L659" s="9"/>
      <c r="M659" s="25"/>
      <c r="N659" s="25"/>
      <c r="O659" s="27"/>
      <c r="P659" s="27"/>
      <c r="Q659" s="27"/>
      <c r="R659" s="25"/>
      <c r="S659" s="25"/>
      <c r="T659" s="10"/>
      <c r="U659" s="9"/>
      <c r="V659" s="9"/>
      <c r="W659" s="9"/>
      <c r="X659" s="9"/>
      <c r="Y659" s="9"/>
      <c r="Z659" s="9"/>
      <c r="AA659" s="9"/>
      <c r="AB659" s="9"/>
      <c r="AC659" s="9"/>
      <c r="AD659" s="27"/>
      <c r="AE659" s="42"/>
      <c r="AF659" s="27"/>
      <c r="AG659" s="42"/>
      <c r="AH659" s="27"/>
      <c r="AI659" s="9"/>
      <c r="AJ659" s="9"/>
      <c r="AK659" s="9"/>
      <c r="AM659" s="43"/>
      <c r="AN659" s="43"/>
      <c r="AQ659" s="34"/>
      <c r="AR659" s="34"/>
      <c r="AS659" s="34"/>
      <c r="AT659" s="34"/>
    </row>
    <row r="660" spans="1:46" s="11" customFormat="1" x14ac:dyDescent="0.25">
      <c r="A660" s="23"/>
      <c r="B660" s="9"/>
      <c r="C660" s="9"/>
      <c r="D660" s="9"/>
      <c r="E660" s="9"/>
      <c r="F660" s="10"/>
      <c r="G660" s="10"/>
      <c r="H660" s="27"/>
      <c r="I660" s="9"/>
      <c r="J660" s="9"/>
      <c r="K660" s="9"/>
      <c r="L660" s="9"/>
      <c r="M660" s="25"/>
      <c r="N660" s="25"/>
      <c r="O660" s="27"/>
      <c r="P660" s="27"/>
      <c r="Q660" s="27"/>
      <c r="R660" s="25"/>
      <c r="S660" s="25"/>
      <c r="T660" s="10"/>
      <c r="U660" s="9"/>
      <c r="V660" s="9"/>
      <c r="W660" s="9"/>
      <c r="X660" s="9"/>
      <c r="Y660" s="9"/>
      <c r="Z660" s="9"/>
      <c r="AA660" s="9"/>
      <c r="AB660" s="9"/>
      <c r="AC660" s="9"/>
      <c r="AD660" s="27"/>
      <c r="AE660" s="42"/>
      <c r="AF660" s="27"/>
      <c r="AG660" s="42"/>
      <c r="AH660" s="27"/>
      <c r="AI660" s="9"/>
      <c r="AJ660" s="9"/>
      <c r="AK660" s="9"/>
      <c r="AM660" s="43"/>
      <c r="AN660" s="43"/>
      <c r="AQ660" s="34"/>
      <c r="AR660" s="34"/>
      <c r="AS660" s="34"/>
      <c r="AT660" s="34"/>
    </row>
    <row r="661" spans="1:46" s="11" customFormat="1" x14ac:dyDescent="0.25">
      <c r="A661" s="23"/>
      <c r="B661" s="9"/>
      <c r="C661" s="9"/>
      <c r="D661" s="9"/>
      <c r="E661" s="9"/>
      <c r="F661" s="10"/>
      <c r="G661" s="10"/>
      <c r="H661" s="27"/>
      <c r="I661" s="9"/>
      <c r="J661" s="9"/>
      <c r="K661" s="9"/>
      <c r="L661" s="9"/>
      <c r="M661" s="25"/>
      <c r="N661" s="25"/>
      <c r="O661" s="27"/>
      <c r="P661" s="27"/>
      <c r="Q661" s="27"/>
      <c r="R661" s="25"/>
      <c r="S661" s="25"/>
      <c r="T661" s="10"/>
      <c r="U661" s="9"/>
      <c r="V661" s="9"/>
      <c r="W661" s="9"/>
      <c r="X661" s="9"/>
      <c r="Y661" s="9"/>
      <c r="Z661" s="9"/>
      <c r="AA661" s="9"/>
      <c r="AB661" s="9"/>
      <c r="AC661" s="9"/>
      <c r="AD661" s="27"/>
      <c r="AE661" s="42"/>
      <c r="AF661" s="27"/>
      <c r="AG661" s="42"/>
      <c r="AH661" s="27"/>
      <c r="AI661" s="9"/>
      <c r="AJ661" s="9"/>
      <c r="AK661" s="9"/>
      <c r="AM661" s="43"/>
      <c r="AN661" s="43"/>
      <c r="AQ661" s="34"/>
      <c r="AR661" s="34"/>
      <c r="AS661" s="34"/>
      <c r="AT661" s="34"/>
    </row>
    <row r="662" spans="1:46" s="11" customFormat="1" x14ac:dyDescent="0.25">
      <c r="A662" s="23"/>
      <c r="B662" s="9"/>
      <c r="C662" s="9"/>
      <c r="D662" s="9"/>
      <c r="E662" s="9"/>
      <c r="F662" s="10"/>
      <c r="G662" s="10"/>
      <c r="H662" s="27"/>
      <c r="I662" s="9"/>
      <c r="J662" s="9"/>
      <c r="K662" s="9"/>
      <c r="L662" s="9"/>
      <c r="M662" s="25"/>
      <c r="N662" s="25"/>
      <c r="O662" s="27"/>
      <c r="P662" s="27"/>
      <c r="Q662" s="27"/>
      <c r="R662" s="25"/>
      <c r="S662" s="25"/>
      <c r="T662" s="10"/>
      <c r="U662" s="9"/>
      <c r="V662" s="9"/>
      <c r="W662" s="9"/>
      <c r="X662" s="9"/>
      <c r="Y662" s="9"/>
      <c r="Z662" s="9"/>
      <c r="AA662" s="9"/>
      <c r="AB662" s="9"/>
      <c r="AC662" s="9"/>
      <c r="AD662" s="27"/>
      <c r="AE662" s="42"/>
      <c r="AF662" s="27"/>
      <c r="AG662" s="42"/>
      <c r="AH662" s="27"/>
      <c r="AI662" s="9"/>
      <c r="AJ662" s="9"/>
      <c r="AK662" s="9"/>
      <c r="AM662" s="43"/>
      <c r="AN662" s="43"/>
      <c r="AQ662" s="34"/>
      <c r="AR662" s="34"/>
      <c r="AS662" s="34"/>
      <c r="AT662" s="34"/>
    </row>
    <row r="663" spans="1:46" s="11" customFormat="1" x14ac:dyDescent="0.25">
      <c r="A663" s="23"/>
      <c r="B663" s="9"/>
      <c r="C663" s="9"/>
      <c r="D663" s="9"/>
      <c r="E663" s="9"/>
      <c r="F663" s="10"/>
      <c r="G663" s="10"/>
      <c r="H663" s="27"/>
      <c r="I663" s="9"/>
      <c r="J663" s="9"/>
      <c r="K663" s="9"/>
      <c r="L663" s="9"/>
      <c r="M663" s="25"/>
      <c r="N663" s="25"/>
      <c r="O663" s="27"/>
      <c r="P663" s="27"/>
      <c r="Q663" s="27"/>
      <c r="R663" s="25"/>
      <c r="S663" s="25"/>
      <c r="T663" s="10"/>
      <c r="U663" s="9"/>
      <c r="V663" s="9"/>
      <c r="W663" s="9"/>
      <c r="X663" s="9"/>
      <c r="Y663" s="9"/>
      <c r="Z663" s="9"/>
      <c r="AA663" s="9"/>
      <c r="AB663" s="9"/>
      <c r="AC663" s="9"/>
      <c r="AD663" s="27"/>
      <c r="AE663" s="42"/>
      <c r="AF663" s="27"/>
      <c r="AG663" s="42"/>
      <c r="AH663" s="27"/>
      <c r="AI663" s="9"/>
      <c r="AJ663" s="9"/>
      <c r="AK663" s="9"/>
      <c r="AM663" s="43"/>
      <c r="AN663" s="43"/>
      <c r="AQ663" s="34"/>
      <c r="AR663" s="34"/>
      <c r="AS663" s="34"/>
      <c r="AT663" s="34"/>
    </row>
    <row r="664" spans="1:46" s="11" customFormat="1" x14ac:dyDescent="0.25">
      <c r="A664" s="23"/>
      <c r="B664" s="9"/>
      <c r="C664" s="9"/>
      <c r="D664" s="9"/>
      <c r="E664" s="9"/>
      <c r="F664" s="10"/>
      <c r="G664" s="10"/>
      <c r="H664" s="27"/>
      <c r="I664" s="9"/>
      <c r="J664" s="9"/>
      <c r="K664" s="9"/>
      <c r="L664" s="9"/>
      <c r="M664" s="25"/>
      <c r="N664" s="25"/>
      <c r="O664" s="27"/>
      <c r="P664" s="27"/>
      <c r="Q664" s="27"/>
      <c r="R664" s="25"/>
      <c r="S664" s="25"/>
      <c r="T664" s="10"/>
      <c r="U664" s="9"/>
      <c r="V664" s="9"/>
      <c r="W664" s="9"/>
      <c r="X664" s="9"/>
      <c r="Y664" s="9"/>
      <c r="Z664" s="9"/>
      <c r="AA664" s="9"/>
      <c r="AB664" s="9"/>
      <c r="AC664" s="9"/>
      <c r="AD664" s="27"/>
      <c r="AE664" s="42"/>
      <c r="AF664" s="27"/>
      <c r="AG664" s="42"/>
      <c r="AH664" s="27"/>
      <c r="AI664" s="9"/>
      <c r="AJ664" s="9"/>
      <c r="AK664" s="9"/>
      <c r="AM664" s="43"/>
      <c r="AN664" s="43"/>
      <c r="AQ664" s="34"/>
      <c r="AR664" s="34"/>
      <c r="AS664" s="34"/>
      <c r="AT664" s="34"/>
    </row>
    <row r="665" spans="1:46" s="11" customFormat="1" x14ac:dyDescent="0.25">
      <c r="A665" s="23"/>
      <c r="B665" s="9"/>
      <c r="C665" s="9"/>
      <c r="D665" s="9"/>
      <c r="E665" s="9"/>
      <c r="F665" s="10"/>
      <c r="G665" s="10"/>
      <c r="H665" s="27"/>
      <c r="I665" s="9"/>
      <c r="J665" s="9"/>
      <c r="K665" s="9"/>
      <c r="L665" s="9"/>
      <c r="M665" s="25"/>
      <c r="N665" s="25"/>
      <c r="O665" s="27"/>
      <c r="P665" s="27"/>
      <c r="Q665" s="27"/>
      <c r="R665" s="25"/>
      <c r="S665" s="25"/>
      <c r="T665" s="10"/>
      <c r="U665" s="9"/>
      <c r="V665" s="9"/>
      <c r="W665" s="9"/>
      <c r="X665" s="9"/>
      <c r="Y665" s="9"/>
      <c r="Z665" s="9"/>
      <c r="AA665" s="9"/>
      <c r="AB665" s="9"/>
      <c r="AC665" s="9"/>
      <c r="AD665" s="27"/>
      <c r="AE665" s="42"/>
      <c r="AF665" s="27"/>
      <c r="AG665" s="42"/>
      <c r="AH665" s="27"/>
      <c r="AI665" s="9"/>
      <c r="AJ665" s="9"/>
      <c r="AK665" s="9"/>
      <c r="AM665" s="43"/>
      <c r="AN665" s="43"/>
      <c r="AQ665" s="34"/>
      <c r="AR665" s="34"/>
      <c r="AS665" s="34"/>
      <c r="AT665" s="34"/>
    </row>
    <row r="666" spans="1:46" s="11" customFormat="1" x14ac:dyDescent="0.25">
      <c r="A666" s="23"/>
      <c r="B666" s="9"/>
      <c r="C666" s="9"/>
      <c r="D666" s="9"/>
      <c r="E666" s="9"/>
      <c r="F666" s="10"/>
      <c r="G666" s="10"/>
      <c r="H666" s="27"/>
      <c r="I666" s="9"/>
      <c r="J666" s="9"/>
      <c r="K666" s="9"/>
      <c r="L666" s="9"/>
      <c r="M666" s="25"/>
      <c r="N666" s="25"/>
      <c r="O666" s="27"/>
      <c r="P666" s="27"/>
      <c r="Q666" s="27"/>
      <c r="R666" s="25"/>
      <c r="S666" s="25"/>
      <c r="T666" s="10"/>
      <c r="U666" s="9"/>
      <c r="V666" s="9"/>
      <c r="W666" s="9"/>
      <c r="X666" s="9"/>
      <c r="Y666" s="9"/>
      <c r="Z666" s="9"/>
      <c r="AA666" s="9"/>
      <c r="AB666" s="9"/>
      <c r="AC666" s="9"/>
      <c r="AD666" s="27"/>
      <c r="AE666" s="42"/>
      <c r="AF666" s="27"/>
      <c r="AG666" s="42"/>
      <c r="AH666" s="27"/>
      <c r="AI666" s="9"/>
      <c r="AJ666" s="9"/>
      <c r="AK666" s="9"/>
      <c r="AM666" s="43"/>
      <c r="AN666" s="43"/>
      <c r="AQ666" s="34"/>
      <c r="AR666" s="34"/>
      <c r="AS666" s="34"/>
      <c r="AT666" s="34"/>
    </row>
    <row r="667" spans="1:46" s="11" customFormat="1" x14ac:dyDescent="0.25">
      <c r="A667" s="23"/>
      <c r="B667" s="9"/>
      <c r="C667" s="9"/>
      <c r="D667" s="9"/>
      <c r="E667" s="9"/>
      <c r="F667" s="10"/>
      <c r="G667" s="10"/>
      <c r="H667" s="27"/>
      <c r="I667" s="9"/>
      <c r="J667" s="9"/>
      <c r="K667" s="9"/>
      <c r="L667" s="9"/>
      <c r="M667" s="25"/>
      <c r="N667" s="25"/>
      <c r="O667" s="27"/>
      <c r="P667" s="27"/>
      <c r="Q667" s="27"/>
      <c r="R667" s="25"/>
      <c r="S667" s="25"/>
      <c r="T667" s="10"/>
      <c r="U667" s="9"/>
      <c r="V667" s="9"/>
      <c r="W667" s="9"/>
      <c r="X667" s="9"/>
      <c r="Y667" s="9"/>
      <c r="Z667" s="9"/>
      <c r="AA667" s="9"/>
      <c r="AB667" s="9"/>
      <c r="AC667" s="9"/>
      <c r="AD667" s="27"/>
      <c r="AE667" s="42"/>
      <c r="AF667" s="27"/>
      <c r="AG667" s="42"/>
      <c r="AH667" s="27"/>
      <c r="AI667" s="9"/>
      <c r="AJ667" s="9"/>
      <c r="AK667" s="9"/>
      <c r="AM667" s="43"/>
      <c r="AN667" s="43"/>
      <c r="AQ667" s="34"/>
      <c r="AR667" s="34"/>
      <c r="AS667" s="34"/>
      <c r="AT667" s="34"/>
    </row>
    <row r="668" spans="1:46" s="11" customFormat="1" x14ac:dyDescent="0.25">
      <c r="A668" s="23"/>
      <c r="B668" s="9"/>
      <c r="C668" s="9"/>
      <c r="D668" s="9"/>
      <c r="E668" s="9"/>
      <c r="F668" s="10"/>
      <c r="G668" s="10"/>
      <c r="H668" s="27"/>
      <c r="I668" s="9"/>
      <c r="J668" s="9"/>
      <c r="K668" s="9"/>
      <c r="L668" s="9"/>
      <c r="M668" s="25"/>
      <c r="N668" s="25"/>
      <c r="O668" s="27"/>
      <c r="P668" s="27"/>
      <c r="Q668" s="27"/>
      <c r="R668" s="25"/>
      <c r="S668" s="25"/>
      <c r="T668" s="10"/>
      <c r="U668" s="9"/>
      <c r="V668" s="9"/>
      <c r="W668" s="9"/>
      <c r="X668" s="9"/>
      <c r="Y668" s="9"/>
      <c r="Z668" s="9"/>
      <c r="AA668" s="9"/>
      <c r="AB668" s="9"/>
      <c r="AC668" s="9"/>
      <c r="AD668" s="27"/>
      <c r="AE668" s="42"/>
      <c r="AF668" s="27"/>
      <c r="AG668" s="42"/>
      <c r="AH668" s="27"/>
      <c r="AI668" s="9"/>
      <c r="AJ668" s="9"/>
      <c r="AK668" s="9"/>
      <c r="AM668" s="43"/>
      <c r="AN668" s="43"/>
      <c r="AQ668" s="34"/>
      <c r="AR668" s="34"/>
      <c r="AS668" s="34"/>
      <c r="AT668" s="34"/>
    </row>
    <row r="669" spans="1:46" s="11" customFormat="1" x14ac:dyDescent="0.25">
      <c r="A669" s="23"/>
      <c r="B669" s="9"/>
      <c r="C669" s="9"/>
      <c r="D669" s="9"/>
      <c r="E669" s="9"/>
      <c r="F669" s="10"/>
      <c r="G669" s="10"/>
      <c r="H669" s="27"/>
      <c r="I669" s="9"/>
      <c r="J669" s="9"/>
      <c r="K669" s="9"/>
      <c r="L669" s="9"/>
      <c r="M669" s="25"/>
      <c r="N669" s="25"/>
      <c r="O669" s="27"/>
      <c r="P669" s="27"/>
      <c r="Q669" s="27"/>
      <c r="R669" s="25"/>
      <c r="S669" s="25"/>
      <c r="T669" s="10"/>
      <c r="U669" s="9"/>
      <c r="V669" s="9"/>
      <c r="W669" s="9"/>
      <c r="X669" s="9"/>
      <c r="Y669" s="9"/>
      <c r="Z669" s="9"/>
      <c r="AA669" s="9"/>
      <c r="AB669" s="9"/>
      <c r="AC669" s="9"/>
      <c r="AD669" s="27"/>
      <c r="AE669" s="42"/>
      <c r="AF669" s="27"/>
      <c r="AG669" s="42"/>
      <c r="AH669" s="27"/>
      <c r="AI669" s="9"/>
      <c r="AJ669" s="9"/>
      <c r="AK669" s="9"/>
      <c r="AM669" s="43"/>
      <c r="AN669" s="43"/>
      <c r="AQ669" s="34"/>
      <c r="AR669" s="34"/>
      <c r="AS669" s="34"/>
      <c r="AT669" s="34"/>
    </row>
    <row r="670" spans="1:46" s="11" customFormat="1" x14ac:dyDescent="0.25">
      <c r="A670" s="23"/>
      <c r="B670" s="9"/>
      <c r="C670" s="9"/>
      <c r="D670" s="9"/>
      <c r="E670" s="9"/>
      <c r="F670" s="10"/>
      <c r="G670" s="10"/>
      <c r="H670" s="27"/>
      <c r="I670" s="9"/>
      <c r="J670" s="9"/>
      <c r="K670" s="9"/>
      <c r="L670" s="9"/>
      <c r="M670" s="25"/>
      <c r="N670" s="25"/>
      <c r="O670" s="27"/>
      <c r="P670" s="27"/>
      <c r="Q670" s="27"/>
      <c r="R670" s="25"/>
      <c r="S670" s="25"/>
      <c r="T670" s="10"/>
      <c r="U670" s="9"/>
      <c r="V670" s="9"/>
      <c r="W670" s="9"/>
      <c r="X670" s="9"/>
      <c r="Y670" s="9"/>
      <c r="Z670" s="9"/>
      <c r="AA670" s="9"/>
      <c r="AB670" s="9"/>
      <c r="AC670" s="9"/>
      <c r="AD670" s="27"/>
      <c r="AE670" s="42"/>
      <c r="AF670" s="27"/>
      <c r="AG670" s="42"/>
      <c r="AH670" s="27"/>
      <c r="AI670" s="9"/>
      <c r="AJ670" s="9"/>
      <c r="AK670" s="9"/>
      <c r="AM670" s="43"/>
      <c r="AN670" s="43"/>
      <c r="AQ670" s="34"/>
      <c r="AR670" s="34"/>
      <c r="AS670" s="34"/>
      <c r="AT670" s="34"/>
    </row>
    <row r="671" spans="1:46" s="11" customFormat="1" x14ac:dyDescent="0.25">
      <c r="A671" s="23"/>
      <c r="B671" s="9"/>
      <c r="C671" s="9"/>
      <c r="D671" s="9"/>
      <c r="E671" s="9"/>
      <c r="F671" s="10"/>
      <c r="G671" s="10"/>
      <c r="H671" s="27"/>
      <c r="I671" s="9"/>
      <c r="J671" s="9"/>
      <c r="K671" s="9"/>
      <c r="L671" s="9"/>
      <c r="M671" s="25"/>
      <c r="N671" s="25"/>
      <c r="O671" s="27"/>
      <c r="P671" s="27"/>
      <c r="Q671" s="27"/>
      <c r="R671" s="25"/>
      <c r="S671" s="25"/>
      <c r="T671" s="10"/>
      <c r="U671" s="9"/>
      <c r="V671" s="9"/>
      <c r="W671" s="9"/>
      <c r="X671" s="9"/>
      <c r="Y671" s="9"/>
      <c r="Z671" s="9"/>
      <c r="AA671" s="9"/>
      <c r="AB671" s="9"/>
      <c r="AC671" s="9"/>
      <c r="AD671" s="27"/>
      <c r="AE671" s="42"/>
      <c r="AF671" s="27"/>
      <c r="AG671" s="42"/>
      <c r="AH671" s="27"/>
      <c r="AI671" s="9"/>
      <c r="AJ671" s="9"/>
      <c r="AK671" s="9"/>
      <c r="AM671" s="43"/>
      <c r="AN671" s="43"/>
      <c r="AQ671" s="34"/>
      <c r="AR671" s="34"/>
      <c r="AS671" s="34"/>
      <c r="AT671" s="34"/>
    </row>
    <row r="672" spans="1:46" s="11" customFormat="1" x14ac:dyDescent="0.25">
      <c r="A672" s="23"/>
      <c r="B672" s="9"/>
      <c r="C672" s="9"/>
      <c r="D672" s="9"/>
      <c r="E672" s="9"/>
      <c r="F672" s="10"/>
      <c r="G672" s="10"/>
      <c r="H672" s="27"/>
      <c r="I672" s="9"/>
      <c r="J672" s="9"/>
      <c r="K672" s="9"/>
      <c r="L672" s="9"/>
      <c r="M672" s="25"/>
      <c r="N672" s="25"/>
      <c r="O672" s="27"/>
      <c r="P672" s="27"/>
      <c r="Q672" s="27"/>
      <c r="R672" s="25"/>
      <c r="S672" s="25"/>
      <c r="T672" s="10"/>
      <c r="U672" s="9"/>
      <c r="V672" s="9"/>
      <c r="W672" s="9"/>
      <c r="X672" s="9"/>
      <c r="Y672" s="9"/>
      <c r="Z672" s="9"/>
      <c r="AA672" s="9"/>
      <c r="AB672" s="9"/>
      <c r="AC672" s="9"/>
      <c r="AD672" s="27"/>
      <c r="AE672" s="42"/>
      <c r="AF672" s="27"/>
      <c r="AG672" s="42"/>
      <c r="AH672" s="27"/>
      <c r="AI672" s="9"/>
      <c r="AJ672" s="9"/>
      <c r="AK672" s="9"/>
      <c r="AM672" s="43"/>
      <c r="AN672" s="43"/>
      <c r="AQ672" s="34"/>
      <c r="AR672" s="34"/>
      <c r="AS672" s="34"/>
      <c r="AT672" s="34"/>
    </row>
    <row r="673" spans="1:46" s="11" customFormat="1" x14ac:dyDescent="0.25">
      <c r="A673" s="23"/>
      <c r="B673" s="9"/>
      <c r="C673" s="9"/>
      <c r="D673" s="9"/>
      <c r="E673" s="9"/>
      <c r="F673" s="10"/>
      <c r="G673" s="10"/>
      <c r="H673" s="27"/>
      <c r="I673" s="9"/>
      <c r="J673" s="9"/>
      <c r="K673" s="9"/>
      <c r="L673" s="9"/>
      <c r="M673" s="25"/>
      <c r="N673" s="25"/>
      <c r="O673" s="27"/>
      <c r="P673" s="27"/>
      <c r="Q673" s="27"/>
      <c r="R673" s="25"/>
      <c r="S673" s="25"/>
      <c r="T673" s="10"/>
      <c r="U673" s="9"/>
      <c r="V673" s="9"/>
      <c r="W673" s="9"/>
      <c r="X673" s="9"/>
      <c r="Y673" s="9"/>
      <c r="Z673" s="9"/>
      <c r="AA673" s="9"/>
      <c r="AB673" s="9"/>
      <c r="AC673" s="9"/>
      <c r="AD673" s="27"/>
      <c r="AE673" s="42"/>
      <c r="AF673" s="27"/>
      <c r="AG673" s="42"/>
      <c r="AH673" s="27"/>
      <c r="AI673" s="9"/>
      <c r="AJ673" s="9"/>
      <c r="AK673" s="9"/>
      <c r="AM673" s="43"/>
      <c r="AN673" s="43"/>
      <c r="AQ673" s="34"/>
      <c r="AR673" s="34"/>
      <c r="AS673" s="34"/>
      <c r="AT673" s="34"/>
    </row>
    <row r="674" spans="1:46" s="11" customFormat="1" x14ac:dyDescent="0.25">
      <c r="A674" s="23"/>
      <c r="B674" s="9"/>
      <c r="C674" s="9"/>
      <c r="D674" s="9"/>
      <c r="E674" s="9"/>
      <c r="F674" s="10"/>
      <c r="G674" s="10"/>
      <c r="H674" s="27"/>
      <c r="I674" s="9"/>
      <c r="J674" s="9"/>
      <c r="K674" s="9"/>
      <c r="L674" s="9"/>
      <c r="M674" s="25"/>
      <c r="N674" s="25"/>
      <c r="O674" s="27"/>
      <c r="P674" s="27"/>
      <c r="Q674" s="27"/>
      <c r="R674" s="25"/>
      <c r="S674" s="25"/>
      <c r="T674" s="10"/>
      <c r="U674" s="9"/>
      <c r="V674" s="9"/>
      <c r="W674" s="9"/>
      <c r="X674" s="9"/>
      <c r="Y674" s="9"/>
      <c r="Z674" s="9"/>
      <c r="AA674" s="9"/>
      <c r="AB674" s="9"/>
      <c r="AC674" s="9"/>
      <c r="AD674" s="27"/>
      <c r="AE674" s="42"/>
      <c r="AF674" s="27"/>
      <c r="AG674" s="42"/>
      <c r="AH674" s="27"/>
      <c r="AI674" s="9"/>
      <c r="AJ674" s="9"/>
      <c r="AK674" s="9"/>
      <c r="AM674" s="43"/>
      <c r="AN674" s="43"/>
      <c r="AQ674" s="34"/>
      <c r="AR674" s="34"/>
      <c r="AS674" s="34"/>
      <c r="AT674" s="34"/>
    </row>
    <row r="675" spans="1:46" s="11" customFormat="1" x14ac:dyDescent="0.25">
      <c r="A675" s="23"/>
      <c r="B675" s="9"/>
      <c r="C675" s="9"/>
      <c r="D675" s="9"/>
      <c r="E675" s="9"/>
      <c r="F675" s="10"/>
      <c r="G675" s="10"/>
      <c r="H675" s="27"/>
      <c r="I675" s="9"/>
      <c r="J675" s="9"/>
      <c r="K675" s="9"/>
      <c r="L675" s="9"/>
      <c r="M675" s="25"/>
      <c r="N675" s="25"/>
      <c r="O675" s="27"/>
      <c r="P675" s="27"/>
      <c r="Q675" s="27"/>
      <c r="R675" s="25"/>
      <c r="S675" s="25"/>
      <c r="T675" s="10"/>
      <c r="U675" s="9"/>
      <c r="V675" s="9"/>
      <c r="W675" s="9"/>
      <c r="X675" s="9"/>
      <c r="Y675" s="9"/>
      <c r="Z675" s="9"/>
      <c r="AA675" s="9"/>
      <c r="AB675" s="9"/>
      <c r="AC675" s="9"/>
      <c r="AD675" s="27"/>
      <c r="AE675" s="42"/>
      <c r="AF675" s="27"/>
      <c r="AG675" s="42"/>
      <c r="AH675" s="27"/>
      <c r="AI675" s="9"/>
      <c r="AJ675" s="9"/>
      <c r="AK675" s="9"/>
      <c r="AM675" s="43"/>
      <c r="AN675" s="43"/>
      <c r="AQ675" s="34"/>
      <c r="AR675" s="34"/>
      <c r="AS675" s="34"/>
      <c r="AT675" s="34"/>
    </row>
    <row r="676" spans="1:46" s="11" customFormat="1" x14ac:dyDescent="0.25">
      <c r="A676" s="23"/>
      <c r="B676" s="9"/>
      <c r="C676" s="9"/>
      <c r="D676" s="9"/>
      <c r="E676" s="9"/>
      <c r="F676" s="10"/>
      <c r="G676" s="10"/>
      <c r="H676" s="27"/>
      <c r="I676" s="9"/>
      <c r="J676" s="9"/>
      <c r="K676" s="9"/>
      <c r="L676" s="9"/>
      <c r="M676" s="25"/>
      <c r="N676" s="25"/>
      <c r="O676" s="27"/>
      <c r="P676" s="27"/>
      <c r="Q676" s="27"/>
      <c r="R676" s="25"/>
      <c r="S676" s="25"/>
      <c r="T676" s="10"/>
      <c r="U676" s="9"/>
      <c r="V676" s="9"/>
      <c r="W676" s="9"/>
      <c r="X676" s="9"/>
      <c r="Y676" s="9"/>
      <c r="Z676" s="9"/>
      <c r="AA676" s="9"/>
      <c r="AB676" s="9"/>
      <c r="AC676" s="9"/>
      <c r="AD676" s="27"/>
      <c r="AE676" s="42"/>
      <c r="AF676" s="27"/>
      <c r="AG676" s="42"/>
      <c r="AH676" s="27"/>
      <c r="AI676" s="9"/>
      <c r="AJ676" s="9"/>
      <c r="AK676" s="9"/>
      <c r="AM676" s="43"/>
      <c r="AN676" s="43"/>
      <c r="AQ676" s="34"/>
      <c r="AR676" s="34"/>
      <c r="AS676" s="34"/>
      <c r="AT676" s="34"/>
    </row>
    <row r="677" spans="1:46" s="11" customFormat="1" x14ac:dyDescent="0.25">
      <c r="A677" s="23"/>
      <c r="B677" s="9"/>
      <c r="C677" s="9"/>
      <c r="D677" s="9"/>
      <c r="E677" s="9"/>
      <c r="F677" s="10"/>
      <c r="G677" s="10"/>
      <c r="H677" s="27"/>
      <c r="I677" s="9"/>
      <c r="J677" s="9"/>
      <c r="K677" s="9"/>
      <c r="L677" s="9"/>
      <c r="M677" s="25"/>
      <c r="N677" s="25"/>
      <c r="O677" s="27"/>
      <c r="P677" s="27"/>
      <c r="Q677" s="27"/>
      <c r="R677" s="25"/>
      <c r="S677" s="25"/>
      <c r="T677" s="10"/>
      <c r="U677" s="9"/>
      <c r="V677" s="9"/>
      <c r="W677" s="9"/>
      <c r="X677" s="9"/>
      <c r="Y677" s="9"/>
      <c r="Z677" s="9"/>
      <c r="AA677" s="9"/>
      <c r="AB677" s="9"/>
      <c r="AC677" s="9"/>
      <c r="AD677" s="27"/>
      <c r="AE677" s="42"/>
      <c r="AF677" s="27"/>
      <c r="AG677" s="42"/>
      <c r="AH677" s="27"/>
      <c r="AI677" s="9"/>
      <c r="AJ677" s="9"/>
      <c r="AK677" s="9"/>
      <c r="AM677" s="43"/>
      <c r="AN677" s="43"/>
      <c r="AQ677" s="34"/>
      <c r="AR677" s="34"/>
      <c r="AS677" s="34"/>
      <c r="AT677" s="34"/>
    </row>
    <row r="678" spans="1:46" s="11" customFormat="1" x14ac:dyDescent="0.25">
      <c r="A678" s="23"/>
      <c r="B678" s="9"/>
      <c r="C678" s="9"/>
      <c r="D678" s="9"/>
      <c r="E678" s="9"/>
      <c r="F678" s="10"/>
      <c r="G678" s="10"/>
      <c r="H678" s="27"/>
      <c r="I678" s="9"/>
      <c r="J678" s="9"/>
      <c r="K678" s="9"/>
      <c r="L678" s="9"/>
      <c r="M678" s="25"/>
      <c r="N678" s="25"/>
      <c r="O678" s="27"/>
      <c r="P678" s="27"/>
      <c r="Q678" s="27"/>
      <c r="R678" s="25"/>
      <c r="S678" s="25"/>
      <c r="T678" s="10"/>
      <c r="U678" s="9"/>
      <c r="V678" s="9"/>
      <c r="W678" s="9"/>
      <c r="X678" s="9"/>
      <c r="Y678" s="9"/>
      <c r="Z678" s="9"/>
      <c r="AA678" s="9"/>
      <c r="AB678" s="9"/>
      <c r="AC678" s="9"/>
      <c r="AD678" s="27"/>
      <c r="AE678" s="42"/>
      <c r="AF678" s="27"/>
      <c r="AG678" s="42"/>
      <c r="AH678" s="27"/>
      <c r="AI678" s="9"/>
      <c r="AJ678" s="9"/>
      <c r="AK678" s="9"/>
      <c r="AM678" s="43"/>
      <c r="AN678" s="43"/>
      <c r="AQ678" s="34"/>
      <c r="AR678" s="34"/>
      <c r="AS678" s="34"/>
      <c r="AT678" s="34"/>
    </row>
    <row r="679" spans="1:46" s="11" customFormat="1" x14ac:dyDescent="0.25">
      <c r="A679" s="23"/>
      <c r="B679" s="9"/>
      <c r="C679" s="9"/>
      <c r="D679" s="9"/>
      <c r="E679" s="9"/>
      <c r="F679" s="10"/>
      <c r="G679" s="10"/>
      <c r="H679" s="27"/>
      <c r="I679" s="9"/>
      <c r="J679" s="9"/>
      <c r="K679" s="9"/>
      <c r="L679" s="9"/>
      <c r="M679" s="25"/>
      <c r="N679" s="25"/>
      <c r="O679" s="27"/>
      <c r="P679" s="27"/>
      <c r="Q679" s="27"/>
      <c r="R679" s="25"/>
      <c r="S679" s="25"/>
      <c r="T679" s="10"/>
      <c r="U679" s="9"/>
      <c r="V679" s="9"/>
      <c r="W679" s="9"/>
      <c r="X679" s="9"/>
      <c r="Y679" s="9"/>
      <c r="Z679" s="9"/>
      <c r="AA679" s="9"/>
      <c r="AB679" s="9"/>
      <c r="AC679" s="9"/>
      <c r="AD679" s="27"/>
      <c r="AE679" s="42"/>
      <c r="AF679" s="27"/>
      <c r="AG679" s="42"/>
      <c r="AH679" s="27"/>
      <c r="AI679" s="9"/>
      <c r="AJ679" s="9"/>
      <c r="AK679" s="9"/>
      <c r="AM679" s="43"/>
      <c r="AN679" s="43"/>
      <c r="AQ679" s="34"/>
      <c r="AR679" s="34"/>
      <c r="AS679" s="34"/>
      <c r="AT679" s="34"/>
    </row>
  </sheetData>
  <autoFilter ref="A1:AK141" xr:uid="{00000000-0009-0000-0000-000000000000}"/>
  <customSheetViews>
    <customSheetView guid="{D41D3FB0-5142-496B-B92F-3F303994F17B}" scale="130" showAutoFilter="1">
      <pane ySplit="1" topLeftCell="A123" activePane="bottomLeft" state="frozen"/>
      <selection pane="bottomLeft" activeCell="A132" sqref="A132"/>
      <pageMargins left="0.7" right="0.7" top="0.75" bottom="0.75" header="0.3" footer="0.3"/>
      <pageSetup paperSize="9" orientation="portrait" r:id="rId1"/>
      <autoFilter ref="A1:AK141" xr:uid="{00000000-0009-0000-0000-000000000000}"/>
    </customSheetView>
    <customSheetView guid="{8C6872F1-3F68-40AF-8D1B-A15A7751F0C2}" scale="115" showAutoFilter="1">
      <pane ySplit="1" topLeftCell="A80" activePane="bottomLeft" state="frozen"/>
      <selection pane="bottomLeft" activeCell="AK92" sqref="A92:AK92"/>
      <pageMargins left="0.7" right="0.7" top="0.75" bottom="0.75" header="0.3" footer="0.3"/>
      <pageSetup paperSize="9" orientation="portrait" r:id="rId2"/>
      <autoFilter ref="A1:AK104" xr:uid="{09D85C13-ACF6-4372-9A13-3EA358A16FC3}"/>
    </customSheetView>
    <customSheetView guid="{D015136D-255F-4042-9389-EB535F138010}" scale="130" showPageBreaks="1" showAutoFilter="1">
      <pane ySplit="1" topLeftCell="A125" activePane="bottomLeft" state="frozen"/>
      <selection pane="bottomLeft" activeCell="C129" sqref="C129"/>
      <pageMargins left="0.7" right="0.7" top="0.75" bottom="0.75" header="0.3" footer="0.3"/>
      <pageSetup paperSize="9" orientation="portrait" r:id="rId3"/>
      <autoFilter ref="A1:AK140" xr:uid="{48CFBBEE-26CA-49EB-AB89-31CA29F7078D}"/>
    </customSheetView>
  </customSheetViews>
  <pageMargins left="0.7" right="0.7" top="0.75" bottom="0.75" header="0.3" footer="0.3"/>
  <pageSetup paperSize="9" orientation="portrait"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election activeCell="C2" sqref="C2"/>
    </sheetView>
  </sheetViews>
  <sheetFormatPr baseColWidth="10" defaultRowHeight="15" x14ac:dyDescent="0.25"/>
  <cols>
    <col min="1" max="1" width="35.5703125" bestFit="1" customWidth="1"/>
    <col min="2" max="2" width="18.7109375" bestFit="1" customWidth="1"/>
    <col min="3" max="3" width="16" bestFit="1" customWidth="1"/>
  </cols>
  <sheetData>
    <row r="1" spans="1:3" x14ac:dyDescent="0.25">
      <c r="A1" s="2" t="s">
        <v>62</v>
      </c>
      <c r="B1" s="3" t="s">
        <v>63</v>
      </c>
      <c r="C1" s="3" t="s">
        <v>64</v>
      </c>
    </row>
    <row r="2" spans="1:3" x14ac:dyDescent="0.25">
      <c r="A2" s="6">
        <v>46023</v>
      </c>
      <c r="B2" s="1">
        <v>263</v>
      </c>
      <c r="C2" s="1">
        <v>392</v>
      </c>
    </row>
    <row r="3" spans="1:3" x14ac:dyDescent="0.25">
      <c r="A3" s="6">
        <v>46082</v>
      </c>
      <c r="B3" s="1">
        <v>260</v>
      </c>
      <c r="C3" s="1">
        <v>387</v>
      </c>
    </row>
    <row r="4" spans="1:3" x14ac:dyDescent="0.25">
      <c r="A4" s="6">
        <v>46113</v>
      </c>
      <c r="B4" s="1">
        <v>278</v>
      </c>
      <c r="C4" s="1">
        <v>414</v>
      </c>
    </row>
    <row r="5" spans="1:3" x14ac:dyDescent="0.25">
      <c r="A5" s="6">
        <v>46143</v>
      </c>
      <c r="B5" s="1">
        <v>297</v>
      </c>
      <c r="C5" s="1">
        <v>443</v>
      </c>
    </row>
    <row r="6" spans="1:3" x14ac:dyDescent="0.25">
      <c r="A6" s="1"/>
      <c r="B6" s="1"/>
      <c r="C6" s="1"/>
    </row>
    <row r="7" spans="1:3" x14ac:dyDescent="0.25">
      <c r="A7" s="1"/>
      <c r="B7" s="1"/>
      <c r="C7" s="1"/>
    </row>
    <row r="8" spans="1:3" x14ac:dyDescent="0.25">
      <c r="A8" s="1"/>
      <c r="B8" s="1"/>
      <c r="C8" s="1"/>
    </row>
    <row r="9" spans="1:3" x14ac:dyDescent="0.25">
      <c r="A9" s="1"/>
      <c r="B9" s="1"/>
      <c r="C9" s="1"/>
    </row>
    <row r="10" spans="1:3" x14ac:dyDescent="0.25">
      <c r="A10" s="1"/>
      <c r="B10" s="1"/>
      <c r="C10" s="1"/>
    </row>
    <row r="11" spans="1:3" x14ac:dyDescent="0.25">
      <c r="A11" s="1"/>
      <c r="B11" s="1"/>
      <c r="C11" s="1"/>
    </row>
    <row r="12" spans="1:3" x14ac:dyDescent="0.25">
      <c r="A12" s="4" t="s">
        <v>65</v>
      </c>
      <c r="B12" s="5">
        <f>B5</f>
        <v>297</v>
      </c>
      <c r="C12" s="5">
        <f>C5</f>
        <v>443</v>
      </c>
    </row>
  </sheetData>
  <customSheetViews>
    <customSheetView guid="{D41D3FB0-5142-496B-B92F-3F303994F17B}">
      <selection activeCell="C2" sqref="C2"/>
      <pageMargins left="0.7" right="0.7" top="0.75" bottom="0.75" header="0.3" footer="0.3"/>
      <pageSetup paperSize="9" orientation="portrait" r:id="rId1"/>
    </customSheetView>
    <customSheetView guid="{8C6872F1-3F68-40AF-8D1B-A15A7751F0C2}">
      <selection activeCell="C24" sqref="C24"/>
      <pageMargins left="0.7" right="0.7" top="0.75" bottom="0.75" header="0.3" footer="0.3"/>
      <pageSetup paperSize="9" orientation="portrait" r:id="rId2"/>
    </customSheetView>
    <customSheetView guid="{D015136D-255F-4042-9389-EB535F138010}" showPageBreaks="1">
      <selection activeCell="B5" sqref="B5"/>
      <pageMargins left="0.7" right="0.7" top="0.75" bottom="0.75" header="0.3" footer="0.3"/>
      <pageSetup paperSize="9" orientation="portrait" r:id="rId3"/>
    </customSheetView>
  </customSheetView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workbookViewId="0">
      <selection activeCell="G23" sqref="G23"/>
    </sheetView>
  </sheetViews>
  <sheetFormatPr baseColWidth="10" defaultRowHeight="15" x14ac:dyDescent="0.25"/>
  <cols>
    <col min="1" max="1" width="13.7109375" bestFit="1" customWidth="1"/>
    <col min="3" max="3" width="12" customWidth="1"/>
    <col min="4" max="5" width="15.85546875" bestFit="1" customWidth="1"/>
  </cols>
  <sheetData>
    <row r="1" spans="1:5" ht="16.5" x14ac:dyDescent="0.25">
      <c r="A1" s="68" t="s">
        <v>244</v>
      </c>
      <c r="B1" s="68"/>
      <c r="C1" s="68"/>
      <c r="D1" s="68"/>
      <c r="E1" s="68"/>
    </row>
    <row r="2" spans="1:5" ht="15.75" customHeight="1" x14ac:dyDescent="0.25">
      <c r="A2" s="12"/>
      <c r="B2" s="69" t="s">
        <v>67</v>
      </c>
      <c r="C2" s="69"/>
      <c r="D2" s="69"/>
      <c r="E2" s="69"/>
    </row>
    <row r="3" spans="1:5" x14ac:dyDescent="0.25">
      <c r="A3" s="70" t="s">
        <v>68</v>
      </c>
      <c r="B3" s="71">
        <v>46113</v>
      </c>
      <c r="C3" s="73">
        <v>46143</v>
      </c>
      <c r="D3" s="13" t="s">
        <v>69</v>
      </c>
      <c r="E3" s="13" t="s">
        <v>70</v>
      </c>
    </row>
    <row r="4" spans="1:5" ht="29.25" customHeight="1" x14ac:dyDescent="0.25">
      <c r="A4" s="70"/>
      <c r="B4" s="72"/>
      <c r="C4" s="73"/>
      <c r="D4" s="13" t="s">
        <v>243</v>
      </c>
      <c r="E4" s="13" t="s">
        <v>243</v>
      </c>
    </row>
    <row r="5" spans="1:5" x14ac:dyDescent="0.25">
      <c r="A5" s="14" t="s">
        <v>71</v>
      </c>
      <c r="B5" s="15">
        <v>82.27</v>
      </c>
      <c r="C5" s="15">
        <v>88.03</v>
      </c>
      <c r="D5" s="15">
        <f>+C5-B5</f>
        <v>5.7600000000000051</v>
      </c>
      <c r="E5" s="16">
        <f>+D5/B5</f>
        <v>7.0013370608970532E-2</v>
      </c>
    </row>
    <row r="6" spans="1:5" x14ac:dyDescent="0.25">
      <c r="A6" s="17" t="s">
        <v>72</v>
      </c>
      <c r="B6" s="18">
        <v>277.96888354700849</v>
      </c>
      <c r="C6" s="18">
        <f>B6+(B6*E5)</f>
        <v>297.43042200854694</v>
      </c>
      <c r="D6" s="18">
        <f>+C6-B6</f>
        <v>19.461538461538453</v>
      </c>
      <c r="E6" s="19">
        <f>+D6/B6</f>
        <v>7.0013370608970449E-2</v>
      </c>
    </row>
    <row r="7" spans="1:5" ht="15.75" thickBot="1" x14ac:dyDescent="0.3">
      <c r="A7" s="20" t="s">
        <v>73</v>
      </c>
      <c r="B7" s="21">
        <v>414.20659722222217</v>
      </c>
      <c r="C7" s="21">
        <f>B7+(B7*E6)</f>
        <v>443.20659722222217</v>
      </c>
      <c r="D7" s="21">
        <f>+C7-B7</f>
        <v>29</v>
      </c>
      <c r="E7" s="22">
        <f>+D7/B7</f>
        <v>7.0013370608970477E-2</v>
      </c>
    </row>
    <row r="20" ht="15.75" customHeight="1" x14ac:dyDescent="0.25"/>
  </sheetData>
  <customSheetViews>
    <customSheetView guid="{D41D3FB0-5142-496B-B92F-3F303994F17B}">
      <selection activeCell="G23" sqref="G23"/>
      <pageMargins left="0.7" right="0.7" top="0.75" bottom="0.75" header="0.3" footer="0.3"/>
      <pageSetup paperSize="9" orientation="portrait" r:id="rId1"/>
    </customSheetView>
    <customSheetView guid="{8C6872F1-3F68-40AF-8D1B-A15A7751F0C2}">
      <selection activeCell="E7" sqref="A1:E7"/>
      <pageMargins left="0.7" right="0.7" top="0.75" bottom="0.75" header="0.3" footer="0.3"/>
      <pageSetup paperSize="9" orientation="portrait" r:id="rId2"/>
    </customSheetView>
    <customSheetView guid="{D015136D-255F-4042-9389-EB535F138010}" showPageBreaks="1">
      <selection activeCell="F15" sqref="F15"/>
      <pageMargins left="0.7" right="0.7" top="0.75" bottom="0.75" header="0.3" footer="0.3"/>
      <pageSetup paperSize="9" orientation="portrait" r:id="rId3"/>
    </customSheetView>
  </customSheetViews>
  <mergeCells count="5">
    <mergeCell ref="A1:E1"/>
    <mergeCell ref="B2:E2"/>
    <mergeCell ref="A3:A4"/>
    <mergeCell ref="B3:B4"/>
    <mergeCell ref="C3:C4"/>
  </mergeCell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vt:lpstr>
      <vt:lpstr>Costo por negocio</vt:lpstr>
      <vt:lpstr>Costo Combustible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González</dc:creator>
  <cp:lastModifiedBy>Rodrigo Coutinho</cp:lastModifiedBy>
  <dcterms:created xsi:type="dcterms:W3CDTF">2026-01-02T14:12:34Z</dcterms:created>
  <dcterms:modified xsi:type="dcterms:W3CDTF">2026-05-08T14:44:18Z</dcterms:modified>
</cp:coreProperties>
</file>